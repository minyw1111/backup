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1권_스프레드시트\기출변형문제\정답\"/>
    </mc:Choice>
  </mc:AlternateContent>
  <bookViews>
    <workbookView xWindow="0" yWindow="0" windowWidth="17050" windowHeight="12440" tabRatio="879"/>
  </bookViews>
  <sheets>
    <sheet name="기본작업1" sheetId="1" r:id="rId1"/>
    <sheet name="기본작업2" sheetId="9" r:id="rId2"/>
    <sheet name="계산작업" sheetId="3" r:id="rId3"/>
    <sheet name="분석작업1" sheetId="8" r:id="rId4"/>
    <sheet name="분석작업2" sheetId="5" r:id="rId5"/>
    <sheet name="기타작업1" sheetId="6" r:id="rId6"/>
    <sheet name="기타작업2" sheetId="10" r:id="rId7"/>
    <sheet name="기타작업3" sheetId="7" r:id="rId8"/>
  </sheets>
  <functionGroups builtInGroupCount="18"/>
  <definedNames>
    <definedName name="_xlnm._FilterDatabase" localSheetId="0" hidden="1">기본작업1!$B$3:$I$20</definedName>
    <definedName name="_xlnm._FilterDatabase" localSheetId="1" hidden="1">기본작업2!$B$3:$I$20</definedName>
    <definedName name="_xlnm._FilterDatabase" localSheetId="4" hidden="1">분석작업2!$B$2:$F$21</definedName>
    <definedName name="_xlnm.Criteria" localSheetId="0">기본작업1!$B$22:$B$23</definedName>
    <definedName name="_xlnm.Criteria" localSheetId="1">기본작업2!#REF!</definedName>
    <definedName name="_xlnm.Extract" localSheetId="0">기본작업1!$B$27:$E$27</definedName>
    <definedName name="_xlnm.Extract" localSheetId="1">기본작업2!#REF!</definedName>
    <definedName name="_xlnm.Print_Area" localSheetId="1">기본작업2!$B$3:$I$20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C29" i="3" l="1" a="1"/>
  <c r="C29" i="3" s="1"/>
  <c r="C28" i="3" a="1"/>
  <c r="C28" i="3" s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4" i="3"/>
  <c r="K8" i="3"/>
  <c r="K7" i="3"/>
  <c r="K5" i="3"/>
  <c r="K14" i="3"/>
  <c r="K21" i="3"/>
  <c r="K22" i="3"/>
  <c r="K16" i="3"/>
  <c r="K15" i="3"/>
  <c r="K13" i="3"/>
  <c r="K17" i="3"/>
  <c r="K11" i="3"/>
  <c r="K18" i="3"/>
  <c r="K10" i="3"/>
  <c r="K23" i="3"/>
  <c r="K19" i="3"/>
  <c r="K9" i="3"/>
  <c r="K6" i="3"/>
  <c r="K12" i="3"/>
  <c r="K20" i="3"/>
  <c r="K4" i="3"/>
  <c r="I5" i="3" l="1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4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온라인게임.accdb;DefaultDir=E:\영진(2021년)\1급\excel\스프레드시트(파일) - 최종\모의고사;DriverId=25;FIL=MS Access;MaxBufferSize=2048;PageTimeout=5;" command="SELECT 판매량분석.장르, 판매량분석.회사명, 판매량분석.출시일, 판매량분석.정기권, 판매량분석.정액권_x000d__x000a_FROM 판매량분석 판매량분석"/>
  </connection>
  <connection id="2" name="MS Access Database_Query1" type="1" refreshedVersion="6">
    <dbPr connection="DSN=MS Access Database;DBQ=E:\영진(2021년)\1급\excel\문제변환(2차)\엑셀파일(변환2)\모의고사\온라인게임.accdb;DefaultDir=E:\영진(2021년)\1급\excel\문제변환(2차)\엑셀파일(변환2)\모의고사;DriverId=25;FIL=MS Access;MaxBufferSize=2048;PageTimeout=5;" command="SELECT 판매량분석.회사명, 판매량분석.장르, 판매량분석.출시일, 판매량분석.정기권, 판매량분석.정액권_x000d__x000a_FROM 판매량분석 판매량분석"/>
  </connection>
  <connection id="3" name="MS Access Database_Query2" type="1" refreshedVersion="6">
    <dbPr connection="DSN=MS Access Database;DBQ=E:\영진(2023년)\1급\2023년컴활1급\스프레드시트\기출변형문제\온라인게임.accdb;DefaultDir=E:\영진(2023년)\1급\2023년컴활1급\스프레드시트\기출변형문제;DriverId=25;FIL=MS Access;MaxBufferSize=2048;PageTimeout=5;" command="SELECT 판매량분석.장르, 판매량분석.회사명, 판매량분석.출시일, 판매량분석.정기권, 판매량분석.정액권_x000d__x000a_FROM 판매량분석 판매량분석"/>
  </connection>
</connections>
</file>

<file path=xl/sharedStrings.xml><?xml version="1.0" encoding="utf-8"?>
<sst xmlns="http://schemas.openxmlformats.org/spreadsheetml/2006/main" count="470" uniqueCount="132">
  <si>
    <t>게임명</t>
    <phoneticPr fontId="4" type="noConversion"/>
  </si>
  <si>
    <t>게임파일코드</t>
    <phoneticPr fontId="4" type="noConversion"/>
  </si>
  <si>
    <t>장르</t>
    <phoneticPr fontId="4" type="noConversion"/>
  </si>
  <si>
    <t>출시일</t>
    <phoneticPr fontId="4" type="noConversion"/>
  </si>
  <si>
    <t>회사명</t>
    <phoneticPr fontId="4" type="noConversion"/>
  </si>
  <si>
    <t>파일크기(MB)</t>
    <phoneticPr fontId="4" type="noConversion"/>
  </si>
  <si>
    <t>조회수</t>
  </si>
  <si>
    <t>다운로드수</t>
  </si>
  <si>
    <t>신비한세계일주모험</t>
    <phoneticPr fontId="4" type="noConversion"/>
  </si>
  <si>
    <t>C0033</t>
  </si>
  <si>
    <t>퍼즐</t>
  </si>
  <si>
    <t>겜노리</t>
  </si>
  <si>
    <t>미스터리PI</t>
    <phoneticPr fontId="4" type="noConversion"/>
  </si>
  <si>
    <t>C0083</t>
  </si>
  <si>
    <t>게임군</t>
  </si>
  <si>
    <t>터보샌드위치</t>
    <phoneticPr fontId="4" type="noConversion"/>
  </si>
  <si>
    <t>C0093</t>
  </si>
  <si>
    <t>게임메니아</t>
  </si>
  <si>
    <t>마트의여왕</t>
    <phoneticPr fontId="4" type="noConversion"/>
  </si>
  <si>
    <t>C0133</t>
  </si>
  <si>
    <t>사만다스위프트</t>
    <phoneticPr fontId="4" type="noConversion"/>
  </si>
  <si>
    <t>C0143</t>
  </si>
  <si>
    <t>워머스머더클럽</t>
    <phoneticPr fontId="4" type="noConversion"/>
  </si>
  <si>
    <t>C0163</t>
  </si>
  <si>
    <t>보글보글요리교실</t>
    <phoneticPr fontId="4" type="noConversion"/>
  </si>
  <si>
    <t>K0031</t>
  </si>
  <si>
    <t>아케이드</t>
  </si>
  <si>
    <t>프린세스아나벨</t>
    <phoneticPr fontId="4" type="noConversion"/>
  </si>
  <si>
    <t>K0041</t>
  </si>
  <si>
    <t>비쥬월드트위스트</t>
    <phoneticPr fontId="4" type="noConversion"/>
  </si>
  <si>
    <t>K0061</t>
  </si>
  <si>
    <t>후루비치파티</t>
    <phoneticPr fontId="4" type="noConversion"/>
  </si>
  <si>
    <t>K0101</t>
  </si>
  <si>
    <t>제인은호텔리어</t>
    <phoneticPr fontId="4" type="noConversion"/>
  </si>
  <si>
    <t>K0131</t>
  </si>
  <si>
    <t>러브하우스2</t>
    <phoneticPr fontId="4" type="noConversion"/>
  </si>
  <si>
    <t>P0054</t>
  </si>
  <si>
    <t>액션</t>
  </si>
  <si>
    <t>불멸의 해전</t>
    <phoneticPr fontId="4" type="noConversion"/>
  </si>
  <si>
    <t>P0064</t>
  </si>
  <si>
    <t>WW2퍼시픽히어</t>
    <phoneticPr fontId="4" type="noConversion"/>
  </si>
  <si>
    <t>P0104</t>
  </si>
  <si>
    <t>머쉬룸에이지</t>
    <phoneticPr fontId="4" type="noConversion"/>
  </si>
  <si>
    <t>P0114</t>
  </si>
  <si>
    <t>안나의찬란한농장</t>
    <phoneticPr fontId="4" type="noConversion"/>
  </si>
  <si>
    <t>P0134</t>
  </si>
  <si>
    <t>프린세스아나벨</t>
    <phoneticPr fontId="4" type="noConversion"/>
  </si>
  <si>
    <t>P0174</t>
  </si>
  <si>
    <t>[표1]</t>
    <phoneticPr fontId="4" type="noConversion"/>
  </si>
  <si>
    <t>핸드폰 게임 다운로드 현황</t>
    <phoneticPr fontId="4" type="noConversion"/>
  </si>
  <si>
    <t>게임코드</t>
    <phoneticPr fontId="4" type="noConversion"/>
  </si>
  <si>
    <t>파일출시일</t>
    <phoneticPr fontId="4" type="noConversion"/>
  </si>
  <si>
    <t>조회수</t>
    <phoneticPr fontId="4" type="noConversion"/>
  </si>
  <si>
    <t>다운로드수</t>
    <phoneticPr fontId="4" type="noConversion"/>
  </si>
  <si>
    <t>파일크기(MB)</t>
    <phoneticPr fontId="4" type="noConversion"/>
  </si>
  <si>
    <t>제작사</t>
    <phoneticPr fontId="4" type="noConversion"/>
  </si>
  <si>
    <t>게임구매하기</t>
    <phoneticPr fontId="4" type="noConversion"/>
  </si>
  <si>
    <t>적립액</t>
    <phoneticPr fontId="4" type="noConversion"/>
  </si>
  <si>
    <t>판매액</t>
    <phoneticPr fontId="4" type="noConversion"/>
  </si>
  <si>
    <t>다운로드비율(%)</t>
    <phoneticPr fontId="4" type="noConversion"/>
  </si>
  <si>
    <t>A0041</t>
  </si>
  <si>
    <t>A0031</t>
  </si>
  <si>
    <t>A0101</t>
  </si>
  <si>
    <t>A0061</t>
  </si>
  <si>
    <t>A0131</t>
  </si>
  <si>
    <t>P0024</t>
  </si>
  <si>
    <t>C0053</t>
  </si>
  <si>
    <t>P0044</t>
  </si>
  <si>
    <t>[표3] 적용비율</t>
    <phoneticPr fontId="4" type="noConversion"/>
  </si>
  <si>
    <t>[표2]</t>
    <phoneticPr fontId="4" type="noConversion"/>
  </si>
  <si>
    <t>출시년도</t>
    <phoneticPr fontId="4" type="noConversion"/>
  </si>
  <si>
    <t>평균다운로드수</t>
    <phoneticPr fontId="4" type="noConversion"/>
  </si>
  <si>
    <t>적용비율</t>
    <phoneticPr fontId="4" type="noConversion"/>
  </si>
  <si>
    <t>[표4]</t>
    <phoneticPr fontId="4" type="noConversion"/>
  </si>
  <si>
    <t>파일크기</t>
    <phoneticPr fontId="4" type="noConversion"/>
  </si>
  <si>
    <t>단가</t>
    <phoneticPr fontId="4" type="noConversion"/>
  </si>
  <si>
    <t>장르</t>
  </si>
  <si>
    <t>출시일</t>
  </si>
  <si>
    <t>회사명</t>
  </si>
  <si>
    <t>게임명</t>
    <phoneticPr fontId="4" type="noConversion"/>
  </si>
  <si>
    <t>회사명</t>
    <phoneticPr fontId="4" type="noConversion"/>
  </si>
  <si>
    <t>출시일</t>
    <phoneticPr fontId="4" type="noConversion"/>
  </si>
  <si>
    <t>러브하우스2</t>
    <phoneticPr fontId="4" type="noConversion"/>
  </si>
  <si>
    <t>머쉬룸에이지</t>
    <phoneticPr fontId="4" type="noConversion"/>
  </si>
  <si>
    <t>미스터리PI</t>
    <phoneticPr fontId="4" type="noConversion"/>
  </si>
  <si>
    <t>사만다스위프트</t>
    <phoneticPr fontId="4" type="noConversion"/>
  </si>
  <si>
    <t>프린세스아나벨</t>
    <phoneticPr fontId="4" type="noConversion"/>
  </si>
  <si>
    <t>보글보글요리교실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</si>
  <si>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</si>
  <si>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</si>
  <si>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</si>
  <si>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후루비치파티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</si>
  <si>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</si>
  <si>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</si>
  <si>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</si>
  <si>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</si>
  <si>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</si>
  <si>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</si>
  <si>
    <t>국내인터넷 이용현황 (사업체수)</t>
    <phoneticPr fontId="4" type="noConversion"/>
  </si>
  <si>
    <t>전체사업체</t>
  </si>
  <si>
    <t>가능</t>
  </si>
  <si>
    <t>불가능</t>
  </si>
  <si>
    <t>[표1]</t>
    <phoneticPr fontId="1" type="noConversion"/>
  </si>
  <si>
    <t>핸드폰 게임</t>
    <phoneticPr fontId="1" type="noConversion"/>
  </si>
  <si>
    <t>게임명</t>
    <phoneticPr fontId="4" type="noConversion"/>
  </si>
  <si>
    <t>장르</t>
    <phoneticPr fontId="4" type="noConversion"/>
  </si>
  <si>
    <t>출시일</t>
    <phoneticPr fontId="4" type="noConversion"/>
  </si>
  <si>
    <t>러브하우스2</t>
    <phoneticPr fontId="4" type="noConversion"/>
  </si>
  <si>
    <t>미스터리PI</t>
    <phoneticPr fontId="4" type="noConversion"/>
  </si>
  <si>
    <t>프린세스아나벨</t>
    <phoneticPr fontId="4" type="noConversion"/>
  </si>
  <si>
    <t>마트의여왕</t>
    <phoneticPr fontId="4" type="noConversion"/>
  </si>
  <si>
    <t>WW2퍼시픽히어</t>
    <phoneticPr fontId="4" type="noConversion"/>
  </si>
  <si>
    <t>불멸의 해전</t>
    <phoneticPr fontId="4" type="noConversion"/>
  </si>
  <si>
    <t>터보샌드위치</t>
    <phoneticPr fontId="4" type="noConversion"/>
  </si>
  <si>
    <t>비쥬월드트위스트</t>
    <phoneticPr fontId="4" type="noConversion"/>
  </si>
  <si>
    <t>신비한세계일주모험</t>
    <phoneticPr fontId="4" type="noConversion"/>
  </si>
  <si>
    <t>안나의찬란한농장</t>
    <phoneticPr fontId="4" type="noConversion"/>
  </si>
  <si>
    <t>워머스머더클럽</t>
    <phoneticPr fontId="4" type="noConversion"/>
  </si>
  <si>
    <t>제인은호텔리어</t>
    <phoneticPr fontId="4" type="noConversion"/>
  </si>
  <si>
    <t>매직볼4</t>
    <phoneticPr fontId="4" type="noConversion"/>
  </si>
  <si>
    <t>웹디의 몸짱프로젝트</t>
    <phoneticPr fontId="4" type="noConversion"/>
  </si>
  <si>
    <t>(모두)</t>
  </si>
  <si>
    <t>총합계</t>
  </si>
  <si>
    <t>2020년</t>
  </si>
  <si>
    <t>합계 : 정기권</t>
  </si>
  <si>
    <t>합계 : 정액권</t>
  </si>
  <si>
    <t>아케이드 요약</t>
  </si>
  <si>
    <t>액션 요약</t>
  </si>
  <si>
    <t>퍼즐 요약</t>
  </si>
  <si>
    <t>조건</t>
    <phoneticPr fontId="1" type="noConversion"/>
  </si>
  <si>
    <t>2021년</t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</si>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</sst>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[Blue][=100]&quot;▲&quot;;[Red][=50]&quot;▼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5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/>
    </xf>
    <xf numFmtId="0" fontId="6" fillId="0" borderId="1" xfId="2" applyFont="1" applyFill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/>
    </xf>
    <xf numFmtId="41" fontId="6" fillId="0" borderId="1" xfId="1" applyFont="1" applyFill="1" applyBorder="1" applyAlignment="1">
      <alignment vertical="center" wrapText="1"/>
    </xf>
    <xf numFmtId="41" fontId="3" fillId="0" borderId="1" xfId="1" applyFont="1" applyBorder="1" applyAlignment="1">
      <alignment vertical="center"/>
    </xf>
    <xf numFmtId="0" fontId="7" fillId="0" borderId="0" xfId="0" applyFont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0" borderId="1" xfId="2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/>
    </xf>
    <xf numFmtId="41" fontId="9" fillId="0" borderId="1" xfId="1" applyFont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41" fontId="6" fillId="0" borderId="1" xfId="1" applyFont="1" applyFill="1" applyBorder="1" applyAlignment="1">
      <alignment horizontal="right" vertical="center" wrapText="1"/>
    </xf>
    <xf numFmtId="41" fontId="9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horizontal="center" vertical="center"/>
    </xf>
    <xf numFmtId="41" fontId="3" fillId="0" borderId="0" xfId="1" applyFont="1" applyAlignment="1">
      <alignment vertical="center"/>
    </xf>
    <xf numFmtId="0" fontId="9" fillId="0" borderId="0" xfId="0" applyFont="1" applyFill="1" applyAlignment="1">
      <alignment vertical="center"/>
    </xf>
    <xf numFmtId="14" fontId="9" fillId="0" borderId="0" xfId="0" applyNumberFormat="1" applyFont="1" applyAlignment="1">
      <alignment vertical="center"/>
    </xf>
    <xf numFmtId="41" fontId="9" fillId="0" borderId="0" xfId="1" applyFont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41" fontId="3" fillId="0" borderId="0" xfId="0" applyNumberFormat="1" applyFont="1" applyFill="1" applyAlignment="1">
      <alignment vertical="center"/>
    </xf>
    <xf numFmtId="43" fontId="3" fillId="0" borderId="0" xfId="0" applyNumberFormat="1" applyFont="1" applyFill="1" applyAlignment="1">
      <alignment vertical="center"/>
    </xf>
    <xf numFmtId="9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9" fillId="0" borderId="1" xfId="1" applyFont="1" applyBorder="1" applyAlignment="1">
      <alignment horizontal="center" vertical="center"/>
    </xf>
    <xf numFmtId="0" fontId="6" fillId="0" borderId="0" xfId="2" applyFont="1" applyFill="1" applyBorder="1" applyAlignment="1">
      <alignment horizontal="center" vertical="center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6" fillId="0" borderId="1" xfId="1" applyNumberFormat="1" applyFont="1" applyFill="1" applyBorder="1" applyAlignment="1">
      <alignment vertical="center" wrapText="1"/>
    </xf>
    <xf numFmtId="0" fontId="12" fillId="4" borderId="2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Sheet2" xfId="2"/>
  </cellStyles>
  <dxfs count="5"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기타작업1!$B$4</c:f>
              <c:strCache>
                <c:ptCount val="1"/>
                <c:pt idx="0">
                  <c:v>가능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기타작업1!$C$4:$E$4</c:f>
              <c:numCache>
                <c:formatCode>_(* #,##0_);_(* \(#,##0\);_(* "-"_);_(@_)</c:formatCode>
                <c:ptCount val="3"/>
                <c:pt idx="0">
                  <c:v>426349</c:v>
                </c:pt>
                <c:pt idx="1">
                  <c:v>427690</c:v>
                </c:pt>
                <c:pt idx="2">
                  <c:v>1255919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4D-44C8-B012-2F927D696611}"/>
            </c:ext>
          </c:extLst>
        </c:ser>
        <c:ser>
          <c:idx val="2"/>
          <c:order val="2"/>
          <c:tx>
            <c:strRef>
              <c:f>기타작업1!$B$5</c:f>
              <c:strCache>
                <c:ptCount val="1"/>
                <c:pt idx="0">
                  <c:v>불가능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기타작업1!$C$5:$E$5</c:f>
              <c:numCache>
                <c:formatCode>_(* #,##0_);_(* \(#,##0\);_(* "-"_);_(@_)</c:formatCode>
                <c:ptCount val="3"/>
                <c:pt idx="0">
                  <c:v>70242</c:v>
                </c:pt>
                <c:pt idx="1">
                  <c:v>68268</c:v>
                </c:pt>
                <c:pt idx="2">
                  <c:v>1899136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19679312"/>
        <c:axId val="1119682224"/>
      </c:barChart>
      <c:lineChart>
        <c:grouping val="standard"/>
        <c:varyColors val="0"/>
        <c:ser>
          <c:idx val="0"/>
          <c:order val="0"/>
          <c:tx>
            <c:strRef>
              <c:f>기타작업1!$B$3</c:f>
              <c:strCache>
                <c:ptCount val="1"/>
                <c:pt idx="0">
                  <c:v>전체사업체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기타작업1!$C$2:$E$2</c:f>
              <c:numCache>
                <c:formatCode>General</c:formatCode>
                <c:ptCount val="3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</c:numCache>
            </c:numRef>
          </c:cat>
          <c:val>
            <c:numRef>
              <c:f>기타작업1!$C$3:$E$3</c:f>
              <c:numCache>
                <c:formatCode>_(* #,##0_);_(* \(#,##0\);_(* "-"_);_(@_)</c:formatCode>
                <c:ptCount val="3"/>
                <c:pt idx="0">
                  <c:v>496591</c:v>
                </c:pt>
                <c:pt idx="1">
                  <c:v>495958</c:v>
                </c:pt>
                <c:pt idx="2">
                  <c:v>3155055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4D-44C8-B012-2F927D69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03040"/>
        <c:axId val="36596384"/>
      </c:lineChart>
      <c:catAx>
        <c:axId val="111967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19682224"/>
        <c:crosses val="autoZero"/>
        <c:auto val="1"/>
        <c:lblAlgn val="ctr"/>
        <c:lblOffset val="100"/>
        <c:noMultiLvlLbl val="0"/>
      </c:catAx>
      <c:valAx>
        <c:axId val="111968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1119679312"/>
        <c:crosses val="autoZero"/>
        <c:crossBetween val="between"/>
      </c:valAx>
      <c:valAx>
        <c:axId val="36596384"/>
        <c:scaling>
          <c:orientation val="minMax"/>
          <c:max val="4100000"/>
          <c:min val="1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endParaRPr lang="ko-KR"/>
          </a:p>
        </c:txPr>
        <c:crossAx val="36603040"/>
        <c:crosses val="max"/>
        <c:crossBetween val="between"/>
        <c:majorUnit val="1000000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굴림" panose="020B0600000101010101" pitchFamily="50" charset="-127"/>
                    <a:ea typeface="굴림" panose="020B0600000101010101" pitchFamily="50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36603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596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굴림" panose="020B0600000101010101" pitchFamily="50" charset="-127"/>
          <a:ea typeface="굴림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5</xdr:col>
      <xdr:colOff>0</xdr:colOff>
      <xdr:row>27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12700</xdr:rowOff>
        </xdr:from>
        <xdr:to>
          <xdr:col>5</xdr:col>
          <xdr:colOff>12700</xdr:colOff>
          <xdr:row>1</xdr:row>
          <xdr:rowOff>120650</xdr:rowOff>
        </xdr:to>
        <xdr:sp macro="" textlink="">
          <xdr:nvSpPr>
            <xdr:cNvPr id="7169" name="게임검색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0.801675115741" createdVersion="6" refreshedVersion="6" minRefreshableVersion="3" recordCount="43">
  <cacheSource type="external" connectionId="3"/>
  <cacheFields count="5">
    <cacheField name="장르" numFmtId="0" sqlType="-9">
      <sharedItems count="3">
        <s v="액션"/>
        <s v="아케이드"/>
        <s v="퍼즐"/>
      </sharedItems>
    </cacheField>
    <cacheField name="회사명" numFmtId="0" sqlType="-9">
      <sharedItems count="4">
        <s v="게임메니아"/>
        <s v="게임군"/>
        <s v="겜노리"/>
        <s v="노래나무"/>
      </sharedItems>
    </cacheField>
    <cacheField name="출시일" numFmtId="0" sqlType="11">
      <sharedItems containsSemiMixedTypes="0" containsNonDate="0" containsDate="1" containsString="0" minDate="2020-03-12T00:00:00" maxDate="2022-11-15T00:00:00" count="15">
        <d v="2022-06-12T00:00:00"/>
        <d v="2022-06-13T00:00:00"/>
        <d v="2022-04-03T00:00:00"/>
        <d v="2020-03-12T00:00:00"/>
        <d v="2020-08-25T00:00:00"/>
        <d v="2021-06-22T00:00:00"/>
        <d v="2022-08-07T00:00:00"/>
        <d v="2022-05-02T00:00:00"/>
        <d v="2021-01-06T00:00:00"/>
        <d v="2021-03-19T00:00:00"/>
        <d v="2022-11-14T00:00:00"/>
        <d v="2022-01-18T00:00:00"/>
        <d v="2022-02-10T00:00:00"/>
        <d v="2022-03-01T00:00:00"/>
        <d v="2021-03-11T00:00:00"/>
      </sharedItems>
      <fieldGroup base="2">
        <rangePr groupBy="years" startDate="2020-03-12T00:00:00" endDate="2022-11-15T00:00:00"/>
        <groupItems count="5">
          <s v="&lt;2020-03-12"/>
          <s v="2020년"/>
          <s v="2021년"/>
          <s v="2022년"/>
          <s v="&gt;2022-11-15"/>
        </groupItems>
      </fieldGroup>
    </cacheField>
    <cacheField name="정기권" numFmtId="0" sqlType="8">
      <sharedItems containsSemiMixedTypes="0" containsString="0" containsNumber="1" containsInteger="1" minValue="4000" maxValue="6000" count="3">
        <n v="6000"/>
        <n v="5000"/>
        <n v="4000"/>
      </sharedItems>
    </cacheField>
    <cacheField name="정액권" numFmtId="0" sqlType="8">
      <sharedItems containsSemiMixedTypes="0" containsString="0" containsNumber="1" containsInteger="1" minValue="5200" maxValue="7800" count="3">
        <n v="7800"/>
        <n v="6500"/>
        <n v="52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x v="0"/>
    <x v="0"/>
    <x v="0"/>
  </r>
  <r>
    <x v="1"/>
    <x v="1"/>
    <x v="1"/>
    <x v="1"/>
    <x v="1"/>
  </r>
  <r>
    <x v="1"/>
    <x v="1"/>
    <x v="2"/>
    <x v="1"/>
    <x v="1"/>
  </r>
  <r>
    <x v="0"/>
    <x v="0"/>
    <x v="1"/>
    <x v="0"/>
    <x v="0"/>
  </r>
  <r>
    <x v="0"/>
    <x v="1"/>
    <x v="1"/>
    <x v="0"/>
    <x v="0"/>
  </r>
  <r>
    <x v="0"/>
    <x v="1"/>
    <x v="3"/>
    <x v="0"/>
    <x v="0"/>
  </r>
  <r>
    <x v="2"/>
    <x v="1"/>
    <x v="4"/>
    <x v="2"/>
    <x v="2"/>
  </r>
  <r>
    <x v="0"/>
    <x v="2"/>
    <x v="5"/>
    <x v="0"/>
    <x v="0"/>
  </r>
  <r>
    <x v="0"/>
    <x v="1"/>
    <x v="3"/>
    <x v="0"/>
    <x v="0"/>
  </r>
  <r>
    <x v="2"/>
    <x v="1"/>
    <x v="6"/>
    <x v="2"/>
    <x v="2"/>
  </r>
  <r>
    <x v="2"/>
    <x v="1"/>
    <x v="3"/>
    <x v="2"/>
    <x v="2"/>
  </r>
  <r>
    <x v="2"/>
    <x v="0"/>
    <x v="7"/>
    <x v="2"/>
    <x v="2"/>
  </r>
  <r>
    <x v="1"/>
    <x v="1"/>
    <x v="4"/>
    <x v="1"/>
    <x v="1"/>
  </r>
  <r>
    <x v="2"/>
    <x v="0"/>
    <x v="0"/>
    <x v="2"/>
    <x v="2"/>
  </r>
  <r>
    <x v="0"/>
    <x v="0"/>
    <x v="8"/>
    <x v="0"/>
    <x v="0"/>
  </r>
  <r>
    <x v="1"/>
    <x v="0"/>
    <x v="9"/>
    <x v="1"/>
    <x v="1"/>
  </r>
  <r>
    <x v="1"/>
    <x v="2"/>
    <x v="10"/>
    <x v="1"/>
    <x v="1"/>
  </r>
  <r>
    <x v="2"/>
    <x v="1"/>
    <x v="3"/>
    <x v="2"/>
    <x v="2"/>
  </r>
  <r>
    <x v="2"/>
    <x v="1"/>
    <x v="2"/>
    <x v="2"/>
    <x v="2"/>
  </r>
  <r>
    <x v="0"/>
    <x v="0"/>
    <x v="11"/>
    <x v="0"/>
    <x v="0"/>
  </r>
  <r>
    <x v="2"/>
    <x v="2"/>
    <x v="9"/>
    <x v="2"/>
    <x v="2"/>
  </r>
  <r>
    <x v="1"/>
    <x v="0"/>
    <x v="1"/>
    <x v="1"/>
    <x v="1"/>
  </r>
  <r>
    <x v="0"/>
    <x v="0"/>
    <x v="9"/>
    <x v="0"/>
    <x v="0"/>
  </r>
  <r>
    <x v="2"/>
    <x v="0"/>
    <x v="1"/>
    <x v="2"/>
    <x v="2"/>
  </r>
  <r>
    <x v="2"/>
    <x v="3"/>
    <x v="12"/>
    <x v="2"/>
    <x v="2"/>
  </r>
  <r>
    <x v="1"/>
    <x v="0"/>
    <x v="0"/>
    <x v="1"/>
    <x v="1"/>
  </r>
  <r>
    <x v="2"/>
    <x v="0"/>
    <x v="9"/>
    <x v="2"/>
    <x v="2"/>
  </r>
  <r>
    <x v="2"/>
    <x v="2"/>
    <x v="5"/>
    <x v="2"/>
    <x v="2"/>
  </r>
  <r>
    <x v="1"/>
    <x v="2"/>
    <x v="9"/>
    <x v="1"/>
    <x v="1"/>
  </r>
  <r>
    <x v="0"/>
    <x v="2"/>
    <x v="13"/>
    <x v="0"/>
    <x v="0"/>
  </r>
  <r>
    <x v="2"/>
    <x v="2"/>
    <x v="11"/>
    <x v="2"/>
    <x v="2"/>
  </r>
  <r>
    <x v="0"/>
    <x v="0"/>
    <x v="0"/>
    <x v="0"/>
    <x v="0"/>
  </r>
  <r>
    <x v="1"/>
    <x v="0"/>
    <x v="7"/>
    <x v="1"/>
    <x v="1"/>
  </r>
  <r>
    <x v="2"/>
    <x v="0"/>
    <x v="8"/>
    <x v="2"/>
    <x v="2"/>
  </r>
  <r>
    <x v="2"/>
    <x v="2"/>
    <x v="13"/>
    <x v="2"/>
    <x v="2"/>
  </r>
  <r>
    <x v="0"/>
    <x v="0"/>
    <x v="7"/>
    <x v="0"/>
    <x v="0"/>
  </r>
  <r>
    <x v="1"/>
    <x v="1"/>
    <x v="3"/>
    <x v="1"/>
    <x v="1"/>
  </r>
  <r>
    <x v="0"/>
    <x v="2"/>
    <x v="14"/>
    <x v="0"/>
    <x v="0"/>
  </r>
  <r>
    <x v="0"/>
    <x v="3"/>
    <x v="12"/>
    <x v="0"/>
    <x v="0"/>
  </r>
  <r>
    <x v="2"/>
    <x v="2"/>
    <x v="10"/>
    <x v="2"/>
    <x v="2"/>
  </r>
  <r>
    <x v="1"/>
    <x v="0"/>
    <x v="0"/>
    <x v="1"/>
    <x v="1"/>
  </r>
  <r>
    <x v="1"/>
    <x v="2"/>
    <x v="14"/>
    <x v="1"/>
    <x v="1"/>
  </r>
  <r>
    <x v="0"/>
    <x v="1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3:E16" firstHeaderRow="0" firstDataRow="1" firstDataCol="2" rowPageCount="1" colPageCount="1"/>
  <pivotFields count="5">
    <pivotField axis="axisRow" compact="0" outline="0" showAll="0">
      <items count="4">
        <item x="1"/>
        <item x="0"/>
        <item x="2"/>
        <item t="default"/>
      </items>
    </pivotField>
    <pivotField axis="axisPage" compact="0" outline="0" showAll="0">
      <items count="5">
        <item x="1"/>
        <item x="0"/>
        <item x="2"/>
        <item x="3"/>
        <item t="default"/>
      </items>
    </pivotField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dataField="1" compact="0" outline="0" showAll="0"/>
    <pivotField dataField="1" compact="0" outline="0" showAll="0"/>
  </pivotFields>
  <rowFields count="2">
    <field x="0"/>
    <field x="2"/>
  </rowFields>
  <rowItems count="13">
    <i>
      <x/>
      <x v="1"/>
    </i>
    <i r="1">
      <x v="2"/>
    </i>
    <i r="1">
      <x v="3"/>
    </i>
    <i t="default">
      <x/>
    </i>
    <i>
      <x v="1"/>
      <x v="1"/>
    </i>
    <i r="1">
      <x v="2"/>
    </i>
    <i r="1">
      <x v="3"/>
    </i>
    <i t="default">
      <x v="1"/>
    </i>
    <i>
      <x v="2"/>
      <x v="1"/>
    </i>
    <i r="1">
      <x v="2"/>
    </i>
    <i r="1">
      <x v="3"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합계 : 정기권" fld="3" baseField="2" baseItem="1" numFmtId="176"/>
    <dataField name="합계 : 정액권" fld="4" baseField="2" baseItem="1" numFmtId="176"/>
  </dataField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36"/>
  <sheetViews>
    <sheetView tabSelected="1" workbookViewId="0"/>
  </sheetViews>
  <sheetFormatPr defaultRowHeight="17"/>
  <cols>
    <col min="1" max="1" width="3.58203125" customWidth="1"/>
    <col min="2" max="2" width="18.58203125" customWidth="1"/>
    <col min="3" max="3" width="12.6640625" customWidth="1"/>
    <col min="4" max="4" width="12.1640625" customWidth="1"/>
    <col min="5" max="5" width="14.75" customWidth="1"/>
    <col min="6" max="6" width="14.1640625" customWidth="1"/>
    <col min="7" max="7" width="13" customWidth="1"/>
    <col min="9" max="9" width="12.16406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2" t="s">
        <v>5</v>
      </c>
      <c r="H3" s="2" t="s">
        <v>6</v>
      </c>
      <c r="I3" s="2" t="s">
        <v>7</v>
      </c>
    </row>
    <row r="4" spans="2:9">
      <c r="B4" s="3" t="s">
        <v>8</v>
      </c>
      <c r="C4" s="3" t="s">
        <v>9</v>
      </c>
      <c r="D4" s="3" t="s">
        <v>10</v>
      </c>
      <c r="E4" s="4">
        <v>44611</v>
      </c>
      <c r="F4" s="3" t="s">
        <v>11</v>
      </c>
      <c r="G4" s="5">
        <v>100</v>
      </c>
      <c r="H4" s="6">
        <v>568.9</v>
      </c>
      <c r="I4" s="6">
        <v>284.45</v>
      </c>
    </row>
    <row r="5" spans="2:9">
      <c r="B5" s="3" t="s">
        <v>12</v>
      </c>
      <c r="C5" s="3" t="s">
        <v>13</v>
      </c>
      <c r="D5" s="3" t="s">
        <v>10</v>
      </c>
      <c r="E5" s="4">
        <v>44267</v>
      </c>
      <c r="F5" s="3" t="s">
        <v>14</v>
      </c>
      <c r="G5" s="5">
        <v>100</v>
      </c>
      <c r="H5" s="6">
        <v>1000</v>
      </c>
      <c r="I5" s="6">
        <v>500</v>
      </c>
    </row>
    <row r="6" spans="2:9">
      <c r="B6" s="3" t="s">
        <v>15</v>
      </c>
      <c r="C6" s="3" t="s">
        <v>16</v>
      </c>
      <c r="D6" s="3" t="s">
        <v>10</v>
      </c>
      <c r="E6" s="4">
        <v>44567</v>
      </c>
      <c r="F6" s="3" t="s">
        <v>17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18</v>
      </c>
      <c r="C7" s="3" t="s">
        <v>19</v>
      </c>
      <c r="D7" s="3" t="s">
        <v>10</v>
      </c>
      <c r="E7" s="4">
        <v>44433</v>
      </c>
      <c r="F7" s="3" t="s">
        <v>14</v>
      </c>
      <c r="G7" s="5">
        <v>100</v>
      </c>
      <c r="H7" s="6">
        <v>1032.2</v>
      </c>
      <c r="I7" s="6">
        <v>516.1</v>
      </c>
    </row>
    <row r="8" spans="2:9">
      <c r="B8" s="3" t="s">
        <v>20</v>
      </c>
      <c r="C8" s="3" t="s">
        <v>21</v>
      </c>
      <c r="D8" s="3" t="s">
        <v>10</v>
      </c>
      <c r="E8" s="4">
        <v>44267</v>
      </c>
      <c r="F8" s="3" t="s">
        <v>14</v>
      </c>
      <c r="G8" s="5">
        <v>100</v>
      </c>
      <c r="H8" s="6">
        <v>459.2</v>
      </c>
      <c r="I8" s="6">
        <v>229.6</v>
      </c>
    </row>
    <row r="9" spans="2:9">
      <c r="B9" s="3" t="s">
        <v>22</v>
      </c>
      <c r="C9" s="3" t="s">
        <v>23</v>
      </c>
      <c r="D9" s="3" t="s">
        <v>10</v>
      </c>
      <c r="E9" s="4">
        <v>44611</v>
      </c>
      <c r="F9" s="3" t="s">
        <v>17</v>
      </c>
      <c r="G9" s="5">
        <v>100</v>
      </c>
      <c r="H9" s="6">
        <v>1200</v>
      </c>
      <c r="I9" s="6">
        <v>600</v>
      </c>
    </row>
    <row r="10" spans="2:9">
      <c r="B10" s="3" t="s">
        <v>24</v>
      </c>
      <c r="C10" s="3" t="s">
        <v>25</v>
      </c>
      <c r="D10" s="3" t="s">
        <v>26</v>
      </c>
      <c r="E10" s="4">
        <v>44433</v>
      </c>
      <c r="F10" s="3" t="s">
        <v>14</v>
      </c>
      <c r="G10" s="5">
        <v>50</v>
      </c>
      <c r="H10" s="6">
        <v>859.2</v>
      </c>
      <c r="I10" s="6">
        <v>429.6</v>
      </c>
    </row>
    <row r="11" spans="2:9">
      <c r="B11" s="3" t="s">
        <v>27</v>
      </c>
      <c r="C11" s="3" t="s">
        <v>28</v>
      </c>
      <c r="D11" s="3" t="s">
        <v>26</v>
      </c>
      <c r="E11" s="4">
        <v>44267</v>
      </c>
      <c r="F11" s="3" t="s">
        <v>14</v>
      </c>
      <c r="G11" s="5">
        <v>50</v>
      </c>
      <c r="H11" s="6">
        <v>859.2</v>
      </c>
      <c r="I11" s="6">
        <v>429.6</v>
      </c>
    </row>
    <row r="12" spans="2:9">
      <c r="B12" s="3" t="s">
        <v>29</v>
      </c>
      <c r="C12" s="3" t="s">
        <v>30</v>
      </c>
      <c r="D12" s="3" t="s">
        <v>26</v>
      </c>
      <c r="E12" s="4">
        <v>44611</v>
      </c>
      <c r="F12" s="3" t="s">
        <v>17</v>
      </c>
      <c r="G12" s="5">
        <v>50</v>
      </c>
      <c r="H12" s="6">
        <v>1350</v>
      </c>
      <c r="I12" s="6">
        <v>675</v>
      </c>
    </row>
    <row r="13" spans="2:9">
      <c r="B13" s="3" t="s">
        <v>31</v>
      </c>
      <c r="C13" s="3" t="s">
        <v>32</v>
      </c>
      <c r="D13" s="3" t="s">
        <v>26</v>
      </c>
      <c r="E13" s="4">
        <v>44631</v>
      </c>
      <c r="F13" s="3" t="s">
        <v>11</v>
      </c>
      <c r="G13" s="5">
        <v>50</v>
      </c>
      <c r="H13" s="6">
        <v>1203.2</v>
      </c>
      <c r="I13" s="6">
        <v>601.6</v>
      </c>
    </row>
    <row r="14" spans="2:9">
      <c r="B14" s="3" t="s">
        <v>33</v>
      </c>
      <c r="C14" s="3" t="s">
        <v>34</v>
      </c>
      <c r="D14" s="3" t="s">
        <v>26</v>
      </c>
      <c r="E14" s="4">
        <v>44611</v>
      </c>
      <c r="F14" s="3" t="s">
        <v>11</v>
      </c>
      <c r="G14" s="5">
        <v>50</v>
      </c>
      <c r="H14" s="6">
        <v>859.2</v>
      </c>
      <c r="I14" s="6">
        <v>429.6</v>
      </c>
    </row>
    <row r="15" spans="2:9">
      <c r="B15" s="3" t="s">
        <v>35</v>
      </c>
      <c r="C15" s="3" t="s">
        <v>36</v>
      </c>
      <c r="D15" s="3" t="s">
        <v>37</v>
      </c>
      <c r="E15" s="4">
        <v>44267</v>
      </c>
      <c r="F15" s="3" t="s">
        <v>14</v>
      </c>
      <c r="G15" s="5">
        <v>60</v>
      </c>
      <c r="H15" s="6">
        <v>943.4</v>
      </c>
      <c r="I15" s="6">
        <v>471.7</v>
      </c>
    </row>
    <row r="16" spans="2:9">
      <c r="B16" s="3" t="s">
        <v>38</v>
      </c>
      <c r="C16" s="3" t="s">
        <v>39</v>
      </c>
      <c r="D16" s="3" t="s">
        <v>37</v>
      </c>
      <c r="E16" s="4">
        <v>44567</v>
      </c>
      <c r="F16" s="3" t="s">
        <v>17</v>
      </c>
      <c r="G16" s="5">
        <v>60</v>
      </c>
      <c r="H16" s="6">
        <v>943.4</v>
      </c>
      <c r="I16" s="6">
        <v>471.7</v>
      </c>
    </row>
    <row r="17" spans="2:9">
      <c r="B17" s="3" t="s">
        <v>40</v>
      </c>
      <c r="C17" s="3" t="s">
        <v>41</v>
      </c>
      <c r="D17" s="3" t="s">
        <v>37</v>
      </c>
      <c r="E17" s="4">
        <v>44433</v>
      </c>
      <c r="F17" s="3" t="s">
        <v>14</v>
      </c>
      <c r="G17" s="5">
        <v>60</v>
      </c>
      <c r="H17" s="6">
        <v>943.4</v>
      </c>
      <c r="I17" s="6">
        <v>471.7</v>
      </c>
    </row>
    <row r="18" spans="2:9">
      <c r="B18" s="3" t="s">
        <v>42</v>
      </c>
      <c r="C18" s="3" t="s">
        <v>43</v>
      </c>
      <c r="D18" s="3" t="s">
        <v>37</v>
      </c>
      <c r="E18" s="4">
        <v>44267</v>
      </c>
      <c r="F18" s="3" t="s">
        <v>14</v>
      </c>
      <c r="G18" s="5">
        <v>60</v>
      </c>
      <c r="H18" s="6">
        <v>943.4</v>
      </c>
      <c r="I18" s="6">
        <v>471.7</v>
      </c>
    </row>
    <row r="19" spans="2:9">
      <c r="B19" s="3" t="s">
        <v>44</v>
      </c>
      <c r="C19" s="3" t="s">
        <v>45</v>
      </c>
      <c r="D19" s="3" t="s">
        <v>37</v>
      </c>
      <c r="E19" s="4">
        <v>44611</v>
      </c>
      <c r="F19" s="3" t="s">
        <v>17</v>
      </c>
      <c r="G19" s="5">
        <v>60</v>
      </c>
      <c r="H19" s="6">
        <v>943.4</v>
      </c>
      <c r="I19" s="6">
        <v>471.7</v>
      </c>
    </row>
    <row r="20" spans="2:9">
      <c r="B20" s="3" t="s">
        <v>46</v>
      </c>
      <c r="C20" s="3" t="s">
        <v>47</v>
      </c>
      <c r="D20" s="3" t="s">
        <v>37</v>
      </c>
      <c r="E20" s="4">
        <v>44631</v>
      </c>
      <c r="F20" s="3" t="s">
        <v>11</v>
      </c>
      <c r="G20" s="5">
        <v>60</v>
      </c>
      <c r="H20" s="6">
        <v>568.9</v>
      </c>
      <c r="I20" s="6">
        <v>284.45</v>
      </c>
    </row>
    <row r="22" spans="2:9">
      <c r="B22" s="42" t="s">
        <v>129</v>
      </c>
    </row>
    <row r="23" spans="2:9">
      <c r="B23" t="b">
        <f>OR(AND(D4="액션",I4&gt;=400),AND(D4="퍼즐",I4&gt;=400))</f>
        <v>0</v>
      </c>
    </row>
    <row r="27" spans="2:9">
      <c r="B27" s="1" t="s">
        <v>1</v>
      </c>
      <c r="C27" s="1" t="s">
        <v>2</v>
      </c>
      <c r="D27" s="1" t="s">
        <v>4</v>
      </c>
      <c r="E27" s="2" t="s">
        <v>7</v>
      </c>
    </row>
    <row r="28" spans="2:9">
      <c r="B28" s="3" t="s">
        <v>13</v>
      </c>
      <c r="C28" s="3" t="s">
        <v>10</v>
      </c>
      <c r="D28" s="3" t="s">
        <v>14</v>
      </c>
      <c r="E28" s="6">
        <v>500</v>
      </c>
    </row>
    <row r="29" spans="2:9">
      <c r="B29" s="3" t="s">
        <v>16</v>
      </c>
      <c r="C29" s="3" t="s">
        <v>10</v>
      </c>
      <c r="D29" s="3" t="s">
        <v>17</v>
      </c>
      <c r="E29" s="6">
        <v>512.54999999999995</v>
      </c>
    </row>
    <row r="30" spans="2:9">
      <c r="B30" s="3" t="s">
        <v>19</v>
      </c>
      <c r="C30" s="3" t="s">
        <v>10</v>
      </c>
      <c r="D30" s="3" t="s">
        <v>14</v>
      </c>
      <c r="E30" s="6">
        <v>516.1</v>
      </c>
    </row>
    <row r="31" spans="2:9">
      <c r="B31" s="3" t="s">
        <v>23</v>
      </c>
      <c r="C31" s="3" t="s">
        <v>10</v>
      </c>
      <c r="D31" s="3" t="s">
        <v>17</v>
      </c>
      <c r="E31" s="6">
        <v>600</v>
      </c>
    </row>
    <row r="32" spans="2:9">
      <c r="B32" s="3" t="s">
        <v>36</v>
      </c>
      <c r="C32" s="3" t="s">
        <v>37</v>
      </c>
      <c r="D32" s="3" t="s">
        <v>14</v>
      </c>
      <c r="E32" s="6">
        <v>471.7</v>
      </c>
    </row>
    <row r="33" spans="2:5">
      <c r="B33" s="3" t="s">
        <v>39</v>
      </c>
      <c r="C33" s="3" t="s">
        <v>37</v>
      </c>
      <c r="D33" s="3" t="s">
        <v>17</v>
      </c>
      <c r="E33" s="6">
        <v>471.7</v>
      </c>
    </row>
    <row r="34" spans="2:5">
      <c r="B34" s="3" t="s">
        <v>41</v>
      </c>
      <c r="C34" s="3" t="s">
        <v>37</v>
      </c>
      <c r="D34" s="3" t="s">
        <v>14</v>
      </c>
      <c r="E34" s="6">
        <v>471.7</v>
      </c>
    </row>
    <row r="35" spans="2:5">
      <c r="B35" s="3" t="s">
        <v>43</v>
      </c>
      <c r="C35" s="3" t="s">
        <v>37</v>
      </c>
      <c r="D35" s="3" t="s">
        <v>14</v>
      </c>
      <c r="E35" s="6">
        <v>471.7</v>
      </c>
    </row>
    <row r="36" spans="2:5">
      <c r="B36" s="3" t="s">
        <v>45</v>
      </c>
      <c r="C36" s="3" t="s">
        <v>37</v>
      </c>
      <c r="D36" s="3" t="s">
        <v>17</v>
      </c>
      <c r="E36" s="6">
        <v>471.7</v>
      </c>
    </row>
  </sheetData>
  <phoneticPr fontId="1" type="noConversion"/>
  <conditionalFormatting sqref="B4:I20">
    <cfRule type="expression" dxfId="4" priority="1">
      <formula>MOD(MONTH($E4),2)&lt;&gt;0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20"/>
  <sheetViews>
    <sheetView workbookViewId="0"/>
  </sheetViews>
  <sheetFormatPr defaultRowHeight="17"/>
  <cols>
    <col min="1" max="1" width="3.58203125" customWidth="1"/>
    <col min="2" max="2" width="18.58203125" customWidth="1"/>
    <col min="3" max="3" width="12.6640625" customWidth="1"/>
    <col min="4" max="4" width="12.1640625" customWidth="1"/>
    <col min="5" max="5" width="14.75" customWidth="1"/>
    <col min="6" max="6" width="14.1640625" customWidth="1"/>
    <col min="7" max="7" width="13" customWidth="1"/>
    <col min="9" max="9" width="12.1640625" customWidth="1"/>
  </cols>
  <sheetData>
    <row r="3" spans="2:9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2" t="s">
        <v>5</v>
      </c>
      <c r="H3" s="2" t="s">
        <v>6</v>
      </c>
      <c r="I3" s="2" t="s">
        <v>7</v>
      </c>
    </row>
    <row r="4" spans="2:9">
      <c r="B4" s="3" t="s">
        <v>8</v>
      </c>
      <c r="C4" s="3" t="s">
        <v>9</v>
      </c>
      <c r="D4" s="3" t="s">
        <v>10</v>
      </c>
      <c r="E4" s="4">
        <v>44611</v>
      </c>
      <c r="F4" s="3" t="s">
        <v>11</v>
      </c>
      <c r="G4" s="5">
        <v>100</v>
      </c>
      <c r="H4" s="6">
        <v>568.9</v>
      </c>
      <c r="I4" s="6">
        <v>284.45</v>
      </c>
    </row>
    <row r="5" spans="2:9">
      <c r="B5" s="3" t="s">
        <v>12</v>
      </c>
      <c r="C5" s="3" t="s">
        <v>13</v>
      </c>
      <c r="D5" s="3" t="s">
        <v>10</v>
      </c>
      <c r="E5" s="4">
        <v>44267</v>
      </c>
      <c r="F5" s="3" t="s">
        <v>14</v>
      </c>
      <c r="G5" s="5">
        <v>100</v>
      </c>
      <c r="H5" s="6">
        <v>1000</v>
      </c>
      <c r="I5" s="6">
        <v>500</v>
      </c>
    </row>
    <row r="6" spans="2:9">
      <c r="B6" s="3" t="s">
        <v>15</v>
      </c>
      <c r="C6" s="3" t="s">
        <v>16</v>
      </c>
      <c r="D6" s="3" t="s">
        <v>10</v>
      </c>
      <c r="E6" s="4">
        <v>44567</v>
      </c>
      <c r="F6" s="3" t="s">
        <v>17</v>
      </c>
      <c r="G6" s="5">
        <v>100</v>
      </c>
      <c r="H6" s="6">
        <v>1025.0999999999999</v>
      </c>
      <c r="I6" s="6">
        <v>512.54999999999995</v>
      </c>
    </row>
    <row r="7" spans="2:9">
      <c r="B7" s="3" t="s">
        <v>18</v>
      </c>
      <c r="C7" s="3" t="s">
        <v>19</v>
      </c>
      <c r="D7" s="3" t="s">
        <v>10</v>
      </c>
      <c r="E7" s="4">
        <v>44433</v>
      </c>
      <c r="F7" s="3" t="s">
        <v>14</v>
      </c>
      <c r="G7" s="5">
        <v>100</v>
      </c>
      <c r="H7" s="6">
        <v>1032.2</v>
      </c>
      <c r="I7" s="6">
        <v>516.1</v>
      </c>
    </row>
    <row r="8" spans="2:9">
      <c r="B8" s="3" t="s">
        <v>20</v>
      </c>
      <c r="C8" s="3" t="s">
        <v>21</v>
      </c>
      <c r="D8" s="3" t="s">
        <v>10</v>
      </c>
      <c r="E8" s="4">
        <v>44267</v>
      </c>
      <c r="F8" s="3" t="s">
        <v>14</v>
      </c>
      <c r="G8" s="5">
        <v>100</v>
      </c>
      <c r="H8" s="6">
        <v>459.2</v>
      </c>
      <c r="I8" s="6">
        <v>229.6</v>
      </c>
    </row>
    <row r="9" spans="2:9">
      <c r="B9" s="3" t="s">
        <v>22</v>
      </c>
      <c r="C9" s="3" t="s">
        <v>23</v>
      </c>
      <c r="D9" s="3" t="s">
        <v>10</v>
      </c>
      <c r="E9" s="4">
        <v>44611</v>
      </c>
      <c r="F9" s="3" t="s">
        <v>17</v>
      </c>
      <c r="G9" s="5">
        <v>100</v>
      </c>
      <c r="H9" s="6">
        <v>1200</v>
      </c>
      <c r="I9" s="6">
        <v>600</v>
      </c>
    </row>
    <row r="10" spans="2:9">
      <c r="B10" s="3" t="s">
        <v>24</v>
      </c>
      <c r="C10" s="3" t="s">
        <v>25</v>
      </c>
      <c r="D10" s="3" t="s">
        <v>26</v>
      </c>
      <c r="E10" s="4">
        <v>44433</v>
      </c>
      <c r="F10" s="3" t="s">
        <v>14</v>
      </c>
      <c r="G10" s="5">
        <v>50</v>
      </c>
      <c r="H10" s="6">
        <v>859.2</v>
      </c>
      <c r="I10" s="6">
        <v>429.6</v>
      </c>
    </row>
    <row r="11" spans="2:9">
      <c r="B11" s="3" t="s">
        <v>27</v>
      </c>
      <c r="C11" s="3" t="s">
        <v>28</v>
      </c>
      <c r="D11" s="3" t="s">
        <v>26</v>
      </c>
      <c r="E11" s="4">
        <v>44267</v>
      </c>
      <c r="F11" s="3" t="s">
        <v>14</v>
      </c>
      <c r="G11" s="5">
        <v>50</v>
      </c>
      <c r="H11" s="6">
        <v>859.2</v>
      </c>
      <c r="I11" s="6">
        <v>429.6</v>
      </c>
    </row>
    <row r="12" spans="2:9">
      <c r="B12" s="3" t="s">
        <v>29</v>
      </c>
      <c r="C12" s="3" t="s">
        <v>30</v>
      </c>
      <c r="D12" s="3" t="s">
        <v>26</v>
      </c>
      <c r="E12" s="4">
        <v>44611</v>
      </c>
      <c r="F12" s="3" t="s">
        <v>17</v>
      </c>
      <c r="G12" s="5">
        <v>50</v>
      </c>
      <c r="H12" s="6">
        <v>1350</v>
      </c>
      <c r="I12" s="6">
        <v>675</v>
      </c>
    </row>
    <row r="13" spans="2:9">
      <c r="B13" s="3" t="s">
        <v>31</v>
      </c>
      <c r="C13" s="3" t="s">
        <v>32</v>
      </c>
      <c r="D13" s="3" t="s">
        <v>26</v>
      </c>
      <c r="E13" s="4">
        <v>44631</v>
      </c>
      <c r="F13" s="3" t="s">
        <v>11</v>
      </c>
      <c r="G13" s="5">
        <v>50</v>
      </c>
      <c r="H13" s="6">
        <v>1203.2</v>
      </c>
      <c r="I13" s="6">
        <v>601.6</v>
      </c>
    </row>
    <row r="14" spans="2:9">
      <c r="B14" s="3" t="s">
        <v>33</v>
      </c>
      <c r="C14" s="3" t="s">
        <v>34</v>
      </c>
      <c r="D14" s="3" t="s">
        <v>26</v>
      </c>
      <c r="E14" s="4">
        <v>44611</v>
      </c>
      <c r="F14" s="3" t="s">
        <v>11</v>
      </c>
      <c r="G14" s="5">
        <v>50</v>
      </c>
      <c r="H14" s="6">
        <v>859.2</v>
      </c>
      <c r="I14" s="6">
        <v>429.6</v>
      </c>
    </row>
    <row r="15" spans="2:9">
      <c r="B15" s="3" t="s">
        <v>35</v>
      </c>
      <c r="C15" s="3" t="s">
        <v>36</v>
      </c>
      <c r="D15" s="3" t="s">
        <v>37</v>
      </c>
      <c r="E15" s="4">
        <v>44267</v>
      </c>
      <c r="F15" s="3" t="s">
        <v>14</v>
      </c>
      <c r="G15" s="5">
        <v>60</v>
      </c>
      <c r="H15" s="6">
        <v>943.4</v>
      </c>
      <c r="I15" s="6">
        <v>471.7</v>
      </c>
    </row>
    <row r="16" spans="2:9">
      <c r="B16" s="3" t="s">
        <v>38</v>
      </c>
      <c r="C16" s="3" t="s">
        <v>39</v>
      </c>
      <c r="D16" s="3" t="s">
        <v>37</v>
      </c>
      <c r="E16" s="4">
        <v>44567</v>
      </c>
      <c r="F16" s="3" t="s">
        <v>17</v>
      </c>
      <c r="G16" s="5">
        <v>60</v>
      </c>
      <c r="H16" s="6">
        <v>943.4</v>
      </c>
      <c r="I16" s="6">
        <v>471.7</v>
      </c>
    </row>
    <row r="17" spans="2:9">
      <c r="B17" s="3" t="s">
        <v>40</v>
      </c>
      <c r="C17" s="3" t="s">
        <v>41</v>
      </c>
      <c r="D17" s="3" t="s">
        <v>37</v>
      </c>
      <c r="E17" s="4">
        <v>44433</v>
      </c>
      <c r="F17" s="3" t="s">
        <v>14</v>
      </c>
      <c r="G17" s="5">
        <v>60</v>
      </c>
      <c r="H17" s="6">
        <v>943.4</v>
      </c>
      <c r="I17" s="6">
        <v>471.7</v>
      </c>
    </row>
    <row r="18" spans="2:9">
      <c r="B18" s="3" t="s">
        <v>42</v>
      </c>
      <c r="C18" s="3" t="s">
        <v>43</v>
      </c>
      <c r="D18" s="3" t="s">
        <v>37</v>
      </c>
      <c r="E18" s="4">
        <v>44267</v>
      </c>
      <c r="F18" s="3" t="s">
        <v>14</v>
      </c>
      <c r="G18" s="5">
        <v>60</v>
      </c>
      <c r="H18" s="6">
        <v>943.4</v>
      </c>
      <c r="I18" s="6">
        <v>471.7</v>
      </c>
    </row>
    <row r="19" spans="2:9">
      <c r="B19" s="3" t="s">
        <v>44</v>
      </c>
      <c r="C19" s="3" t="s">
        <v>45</v>
      </c>
      <c r="D19" s="3" t="s">
        <v>37</v>
      </c>
      <c r="E19" s="4">
        <v>44611</v>
      </c>
      <c r="F19" s="3" t="s">
        <v>17</v>
      </c>
      <c r="G19" s="5">
        <v>60</v>
      </c>
      <c r="H19" s="6">
        <v>943.4</v>
      </c>
      <c r="I19" s="6">
        <v>471.7</v>
      </c>
    </row>
    <row r="20" spans="2:9">
      <c r="B20" s="3" t="s">
        <v>27</v>
      </c>
      <c r="C20" s="3" t="s">
        <v>47</v>
      </c>
      <c r="D20" s="3" t="s">
        <v>37</v>
      </c>
      <c r="E20" s="4">
        <v>44631</v>
      </c>
      <c r="F20" s="3" t="s">
        <v>11</v>
      </c>
      <c r="G20" s="5">
        <v>60</v>
      </c>
      <c r="H20" s="6">
        <v>568.9</v>
      </c>
      <c r="I20" s="6">
        <v>284.45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&amp;C총 &amp;N 페이지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2"/>
  <sheetViews>
    <sheetView workbookViewId="0">
      <selection activeCell="H21" sqref="H21"/>
    </sheetView>
  </sheetViews>
  <sheetFormatPr defaultRowHeight="17"/>
  <cols>
    <col min="2" max="2" width="13.25" customWidth="1"/>
    <col min="3" max="3" width="16.6640625" customWidth="1"/>
    <col min="5" max="5" width="12.6640625" customWidth="1"/>
    <col min="6" max="6" width="13.1640625" bestFit="1" customWidth="1"/>
    <col min="7" max="8" width="12.6640625" customWidth="1"/>
    <col min="9" max="10" width="11.25" customWidth="1"/>
    <col min="11" max="11" width="15.58203125" customWidth="1"/>
  </cols>
  <sheetData>
    <row r="1" spans="1:12" ht="23">
      <c r="A1" s="7" t="s">
        <v>48</v>
      </c>
      <c r="B1" s="8" t="s">
        <v>49</v>
      </c>
      <c r="C1" s="8"/>
      <c r="D1" s="8"/>
      <c r="E1" s="8"/>
      <c r="F1" s="8"/>
      <c r="G1" s="8"/>
      <c r="H1" s="8"/>
      <c r="I1" s="8"/>
      <c r="J1" s="8"/>
      <c r="K1" s="8"/>
      <c r="L1" s="7"/>
    </row>
    <row r="2" spans="1:12">
      <c r="A2" s="7"/>
      <c r="B2" s="7"/>
      <c r="C2" s="7"/>
      <c r="D2" s="7"/>
      <c r="E2" s="7"/>
      <c r="F2" s="7"/>
      <c r="G2" s="7"/>
      <c r="H2" s="7"/>
      <c r="I2" s="9"/>
      <c r="J2" s="7"/>
      <c r="K2" s="7"/>
      <c r="L2" s="7"/>
    </row>
    <row r="3" spans="1:12">
      <c r="A3" s="10" t="s">
        <v>50</v>
      </c>
      <c r="B3" s="11" t="s">
        <v>51</v>
      </c>
      <c r="C3" s="12" t="s">
        <v>2</v>
      </c>
      <c r="D3" s="11" t="s">
        <v>52</v>
      </c>
      <c r="E3" s="11" t="s">
        <v>53</v>
      </c>
      <c r="F3" s="11" t="s">
        <v>54</v>
      </c>
      <c r="G3" s="10" t="s">
        <v>55</v>
      </c>
      <c r="H3" s="13" t="s">
        <v>56</v>
      </c>
      <c r="I3" s="12" t="s">
        <v>57</v>
      </c>
      <c r="J3" s="12" t="s">
        <v>58</v>
      </c>
      <c r="K3" s="12" t="s">
        <v>59</v>
      </c>
      <c r="L3" s="7"/>
    </row>
    <row r="4" spans="1:12">
      <c r="A4" s="3" t="s">
        <v>36</v>
      </c>
      <c r="B4" s="14">
        <v>44202</v>
      </c>
      <c r="C4" s="1" t="str">
        <f>IF(AND(LEFT(A4,1)="A",RIGHT(A4,1)="1"),"액션",IF(AND(LEFT(A4,1)="P",RIGHT(A4,1)="4"),"퍼즐","아케이드"))</f>
        <v>퍼즐</v>
      </c>
      <c r="D4" s="15">
        <v>1500</v>
      </c>
      <c r="E4" s="15">
        <v>471.7</v>
      </c>
      <c r="F4" s="5">
        <v>40</v>
      </c>
      <c r="G4" s="16" t="s">
        <v>14</v>
      </c>
      <c r="H4" s="17">
        <v>10200</v>
      </c>
      <c r="I4" s="18">
        <f>ROUNDUP(SUMPRODUCT(D4:E4,$F$27:$G$27),-2)</f>
        <v>800</v>
      </c>
      <c r="J4" s="19">
        <f>F4*HLOOKUP(F4,$F$30:$J$31,2)*(1-IF(E4&lt;500,10%,0%))</f>
        <v>18000</v>
      </c>
      <c r="K4" s="19">
        <f>fn다운로드비율(A4,D4,E4)</f>
        <v>31.446666666666665</v>
      </c>
      <c r="L4" s="7"/>
    </row>
    <row r="5" spans="1:12">
      <c r="A5" s="3" t="s">
        <v>43</v>
      </c>
      <c r="B5" s="14">
        <v>44202</v>
      </c>
      <c r="C5" s="1" t="str">
        <f t="shared" ref="C5:C23" si="0">IF(AND(LEFT(A5,1)="A",RIGHT(A5,1)="1"),"액션",IF(AND(LEFT(A5,1)="P",RIGHT(A5,1)="4"),"퍼즐","아케이드"))</f>
        <v>퍼즐</v>
      </c>
      <c r="D5" s="15">
        <v>1450</v>
      </c>
      <c r="E5" s="15">
        <v>471.7</v>
      </c>
      <c r="F5" s="5">
        <v>60</v>
      </c>
      <c r="G5" s="16" t="s">
        <v>14</v>
      </c>
      <c r="H5" s="17">
        <v>10200</v>
      </c>
      <c r="I5" s="18">
        <f t="shared" ref="I5:I23" si="1">ROUNDUP(SUMPRODUCT(D5:E5,$F$27:$G$27),-2)</f>
        <v>800</v>
      </c>
      <c r="J5" s="19">
        <f t="shared" ref="J5:J23" si="2">F5*HLOOKUP(F5,$F$30:$J$31,2)*(1-IF(E5&lt;500,10%,0%))</f>
        <v>37800</v>
      </c>
      <c r="K5" s="19">
        <f t="shared" ref="K5:K23" si="3">fn다운로드비율(A5,D5,E5)</f>
        <v>32.531034482758621</v>
      </c>
      <c r="L5" s="7"/>
    </row>
    <row r="6" spans="1:12">
      <c r="A6" s="3" t="s">
        <v>13</v>
      </c>
      <c r="B6" s="14">
        <v>44266</v>
      </c>
      <c r="C6" s="1" t="str">
        <f t="shared" si="0"/>
        <v>아케이드</v>
      </c>
      <c r="D6" s="20">
        <v>3000</v>
      </c>
      <c r="E6" s="15">
        <v>500</v>
      </c>
      <c r="F6" s="5">
        <v>100</v>
      </c>
      <c r="G6" s="16" t="s">
        <v>14</v>
      </c>
      <c r="H6" s="17">
        <v>6800</v>
      </c>
      <c r="I6" s="18">
        <f t="shared" si="1"/>
        <v>1300</v>
      </c>
      <c r="J6" s="19">
        <f t="shared" si="2"/>
        <v>80000</v>
      </c>
      <c r="K6" s="19">
        <f t="shared" si="3"/>
        <v>16.666666666666664</v>
      </c>
      <c r="L6" s="7"/>
    </row>
    <row r="7" spans="1:12">
      <c r="A7" s="3" t="s">
        <v>21</v>
      </c>
      <c r="B7" s="14">
        <v>44266</v>
      </c>
      <c r="C7" s="1" t="str">
        <f t="shared" si="0"/>
        <v>아케이드</v>
      </c>
      <c r="D7" s="15">
        <v>459.2</v>
      </c>
      <c r="E7" s="15">
        <v>229.6</v>
      </c>
      <c r="F7" s="5">
        <v>100</v>
      </c>
      <c r="G7" s="16" t="s">
        <v>14</v>
      </c>
      <c r="H7" s="17">
        <v>6800</v>
      </c>
      <c r="I7" s="18">
        <f t="shared" si="1"/>
        <v>300</v>
      </c>
      <c r="J7" s="19">
        <f t="shared" si="2"/>
        <v>72000</v>
      </c>
      <c r="K7" s="19">
        <f t="shared" si="3"/>
        <v>50</v>
      </c>
      <c r="L7" s="7"/>
    </row>
    <row r="8" spans="1:12">
      <c r="A8" s="3" t="s">
        <v>60</v>
      </c>
      <c r="B8" s="14">
        <v>44274</v>
      </c>
      <c r="C8" s="1" t="str">
        <f t="shared" si="0"/>
        <v>액션</v>
      </c>
      <c r="D8" s="15">
        <v>450</v>
      </c>
      <c r="E8" s="15">
        <v>429.6</v>
      </c>
      <c r="F8" s="5">
        <v>50</v>
      </c>
      <c r="G8" s="16" t="s">
        <v>14</v>
      </c>
      <c r="H8" s="17">
        <v>8500</v>
      </c>
      <c r="I8" s="18">
        <f t="shared" si="1"/>
        <v>500</v>
      </c>
      <c r="J8" s="19">
        <f t="shared" si="2"/>
        <v>27000</v>
      </c>
      <c r="K8" s="19">
        <f t="shared" si="3"/>
        <v>105.46666666666667</v>
      </c>
      <c r="L8" s="7"/>
    </row>
    <row r="9" spans="1:12">
      <c r="A9" s="3" t="s">
        <v>19</v>
      </c>
      <c r="B9" s="14">
        <v>44274</v>
      </c>
      <c r="C9" s="1" t="str">
        <f t="shared" si="0"/>
        <v>아케이드</v>
      </c>
      <c r="D9" s="15">
        <v>1032.2</v>
      </c>
      <c r="E9" s="15">
        <v>516.1</v>
      </c>
      <c r="F9" s="5">
        <v>20</v>
      </c>
      <c r="G9" s="16" t="s">
        <v>14</v>
      </c>
      <c r="H9" s="17">
        <v>6800</v>
      </c>
      <c r="I9" s="18">
        <f t="shared" si="1"/>
        <v>700</v>
      </c>
      <c r="J9" s="19">
        <f t="shared" si="2"/>
        <v>8000</v>
      </c>
      <c r="K9" s="19">
        <f t="shared" si="3"/>
        <v>50</v>
      </c>
      <c r="L9" s="7"/>
    </row>
    <row r="10" spans="1:12">
      <c r="A10" s="3" t="s">
        <v>61</v>
      </c>
      <c r="B10" s="14">
        <v>44274</v>
      </c>
      <c r="C10" s="1" t="str">
        <f t="shared" si="0"/>
        <v>액션</v>
      </c>
      <c r="D10" s="20">
        <v>2577.6</v>
      </c>
      <c r="E10" s="15">
        <v>429.6</v>
      </c>
      <c r="F10" s="5">
        <v>50</v>
      </c>
      <c r="G10" s="16" t="s">
        <v>14</v>
      </c>
      <c r="H10" s="17">
        <v>8500</v>
      </c>
      <c r="I10" s="18">
        <f t="shared" si="1"/>
        <v>1100</v>
      </c>
      <c r="J10" s="19">
        <f t="shared" si="2"/>
        <v>27000</v>
      </c>
      <c r="K10" s="19">
        <f t="shared" si="3"/>
        <v>26.666666666666668</v>
      </c>
      <c r="L10" s="7"/>
    </row>
    <row r="11" spans="1:12">
      <c r="A11" s="3" t="s">
        <v>41</v>
      </c>
      <c r="B11" s="14">
        <v>44274</v>
      </c>
      <c r="C11" s="1" t="str">
        <f t="shared" si="0"/>
        <v>퍼즐</v>
      </c>
      <c r="D11" s="20">
        <v>2830.2</v>
      </c>
      <c r="E11" s="15">
        <v>471.7</v>
      </c>
      <c r="F11" s="5">
        <v>60</v>
      </c>
      <c r="G11" s="16" t="s">
        <v>14</v>
      </c>
      <c r="H11" s="17">
        <v>10200</v>
      </c>
      <c r="I11" s="18">
        <f t="shared" si="1"/>
        <v>1200</v>
      </c>
      <c r="J11" s="19">
        <f t="shared" si="2"/>
        <v>37800</v>
      </c>
      <c r="K11" s="19">
        <f t="shared" si="3"/>
        <v>16.666666666666668</v>
      </c>
      <c r="L11" s="7"/>
    </row>
    <row r="12" spans="1:12">
      <c r="A12" s="3" t="s">
        <v>39</v>
      </c>
      <c r="B12" s="14">
        <v>44274</v>
      </c>
      <c r="C12" s="1" t="str">
        <f t="shared" si="0"/>
        <v>퍼즐</v>
      </c>
      <c r="D12" s="15">
        <v>943.4</v>
      </c>
      <c r="E12" s="15">
        <v>471.7</v>
      </c>
      <c r="F12" s="5">
        <v>60</v>
      </c>
      <c r="G12" s="16" t="s">
        <v>17</v>
      </c>
      <c r="H12" s="17">
        <v>10200</v>
      </c>
      <c r="I12" s="18">
        <f t="shared" si="1"/>
        <v>700</v>
      </c>
      <c r="J12" s="19">
        <f t="shared" si="2"/>
        <v>37800</v>
      </c>
      <c r="K12" s="19">
        <f t="shared" si="3"/>
        <v>50</v>
      </c>
      <c r="L12" s="7"/>
    </row>
    <row r="13" spans="1:12">
      <c r="A13" s="3" t="s">
        <v>16</v>
      </c>
      <c r="B13" s="14">
        <v>44369</v>
      </c>
      <c r="C13" s="1" t="str">
        <f t="shared" si="0"/>
        <v>아케이드</v>
      </c>
      <c r="D13" s="15">
        <v>1025.0999999999999</v>
      </c>
      <c r="E13" s="15">
        <v>512.54999999999995</v>
      </c>
      <c r="F13" s="5">
        <v>100</v>
      </c>
      <c r="G13" s="16" t="s">
        <v>17</v>
      </c>
      <c r="H13" s="17">
        <v>6800</v>
      </c>
      <c r="I13" s="18">
        <f t="shared" si="1"/>
        <v>700</v>
      </c>
      <c r="J13" s="19">
        <f t="shared" si="2"/>
        <v>80000</v>
      </c>
      <c r="K13" s="19">
        <f t="shared" si="3"/>
        <v>50</v>
      </c>
      <c r="L13" s="7"/>
    </row>
    <row r="14" spans="1:12">
      <c r="A14" s="3" t="s">
        <v>47</v>
      </c>
      <c r="B14" s="14">
        <v>44369</v>
      </c>
      <c r="C14" s="1" t="str">
        <f t="shared" si="0"/>
        <v>퍼즐</v>
      </c>
      <c r="D14" s="15">
        <v>365</v>
      </c>
      <c r="E14" s="15">
        <v>284.45</v>
      </c>
      <c r="F14" s="5">
        <v>60</v>
      </c>
      <c r="G14" s="16" t="s">
        <v>11</v>
      </c>
      <c r="H14" s="17">
        <v>10200</v>
      </c>
      <c r="I14" s="18">
        <f t="shared" si="1"/>
        <v>400</v>
      </c>
      <c r="J14" s="19">
        <f t="shared" si="2"/>
        <v>37800</v>
      </c>
      <c r="K14" s="19">
        <f t="shared" si="3"/>
        <v>77.93150684931507</v>
      </c>
      <c r="L14" s="7"/>
    </row>
    <row r="15" spans="1:12">
      <c r="A15" s="3" t="s">
        <v>62</v>
      </c>
      <c r="B15" s="14">
        <v>44579</v>
      </c>
      <c r="C15" s="1" t="str">
        <f t="shared" si="0"/>
        <v>액션</v>
      </c>
      <c r="D15" s="20">
        <v>3609.6</v>
      </c>
      <c r="E15" s="15">
        <v>601.6</v>
      </c>
      <c r="F15" s="5">
        <v>50</v>
      </c>
      <c r="G15" s="16" t="s">
        <v>11</v>
      </c>
      <c r="H15" s="17">
        <v>8500</v>
      </c>
      <c r="I15" s="18">
        <f t="shared" si="1"/>
        <v>1600</v>
      </c>
      <c r="J15" s="19">
        <f t="shared" si="2"/>
        <v>30000</v>
      </c>
      <c r="K15" s="19">
        <f t="shared" si="3"/>
        <v>26.666666666666668</v>
      </c>
      <c r="L15" s="7"/>
    </row>
    <row r="16" spans="1:12">
      <c r="A16" s="3" t="s">
        <v>63</v>
      </c>
      <c r="B16" s="14">
        <v>44579</v>
      </c>
      <c r="C16" s="1" t="str">
        <f t="shared" si="0"/>
        <v>액션</v>
      </c>
      <c r="D16" s="15">
        <v>1350</v>
      </c>
      <c r="E16" s="15">
        <v>675</v>
      </c>
      <c r="F16" s="5">
        <v>50</v>
      </c>
      <c r="G16" s="16" t="s">
        <v>17</v>
      </c>
      <c r="H16" s="17">
        <v>8500</v>
      </c>
      <c r="I16" s="18">
        <f t="shared" si="1"/>
        <v>900</v>
      </c>
      <c r="J16" s="19">
        <f t="shared" si="2"/>
        <v>30000</v>
      </c>
      <c r="K16" s="19">
        <f t="shared" si="3"/>
        <v>60</v>
      </c>
      <c r="L16" s="7"/>
    </row>
    <row r="17" spans="1:12">
      <c r="A17" s="3" t="s">
        <v>9</v>
      </c>
      <c r="B17" s="14">
        <v>44602</v>
      </c>
      <c r="C17" s="1" t="str">
        <f t="shared" si="0"/>
        <v>아케이드</v>
      </c>
      <c r="D17" s="15">
        <v>780</v>
      </c>
      <c r="E17" s="15">
        <v>284.45</v>
      </c>
      <c r="F17" s="5">
        <v>100</v>
      </c>
      <c r="G17" s="16" t="s">
        <v>11</v>
      </c>
      <c r="H17" s="17">
        <v>6800</v>
      </c>
      <c r="I17" s="18">
        <f t="shared" si="1"/>
        <v>500</v>
      </c>
      <c r="J17" s="19">
        <f t="shared" si="2"/>
        <v>72000</v>
      </c>
      <c r="K17" s="19">
        <f t="shared" si="3"/>
        <v>36.467948717948715</v>
      </c>
      <c r="L17" s="7"/>
    </row>
    <row r="18" spans="1:12">
      <c r="A18" s="3" t="s">
        <v>45</v>
      </c>
      <c r="B18" s="14">
        <v>44602</v>
      </c>
      <c r="C18" s="1" t="str">
        <f t="shared" si="0"/>
        <v>퍼즐</v>
      </c>
      <c r="D18" s="15">
        <v>500</v>
      </c>
      <c r="E18" s="15">
        <v>471.7</v>
      </c>
      <c r="F18" s="5">
        <v>60</v>
      </c>
      <c r="G18" s="16" t="s">
        <v>17</v>
      </c>
      <c r="H18" s="17">
        <v>10200</v>
      </c>
      <c r="I18" s="18">
        <f t="shared" si="1"/>
        <v>500</v>
      </c>
      <c r="J18" s="19">
        <f t="shared" si="2"/>
        <v>37800</v>
      </c>
      <c r="K18" s="19">
        <f t="shared" si="3"/>
        <v>94.34</v>
      </c>
      <c r="L18" s="7"/>
    </row>
    <row r="19" spans="1:12">
      <c r="A19" s="3" t="s">
        <v>23</v>
      </c>
      <c r="B19" s="14">
        <v>44621</v>
      </c>
      <c r="C19" s="1" t="str">
        <f t="shared" si="0"/>
        <v>아케이드</v>
      </c>
      <c r="D19" s="20">
        <v>3600</v>
      </c>
      <c r="E19" s="15">
        <v>600</v>
      </c>
      <c r="F19" s="5">
        <v>100</v>
      </c>
      <c r="G19" s="16" t="s">
        <v>17</v>
      </c>
      <c r="H19" s="17">
        <v>6800</v>
      </c>
      <c r="I19" s="18">
        <f t="shared" si="1"/>
        <v>1500</v>
      </c>
      <c r="J19" s="19">
        <f t="shared" si="2"/>
        <v>80000</v>
      </c>
      <c r="K19" s="19">
        <f t="shared" si="3"/>
        <v>16.666666666666664</v>
      </c>
      <c r="L19" s="7"/>
    </row>
    <row r="20" spans="1:12">
      <c r="A20" s="3" t="s">
        <v>64</v>
      </c>
      <c r="B20" s="14">
        <v>44621</v>
      </c>
      <c r="C20" s="1" t="str">
        <f t="shared" si="0"/>
        <v>액션</v>
      </c>
      <c r="D20" s="15">
        <v>859.2</v>
      </c>
      <c r="E20" s="15">
        <v>429.6</v>
      </c>
      <c r="F20" s="5">
        <v>50</v>
      </c>
      <c r="G20" s="16" t="s">
        <v>11</v>
      </c>
      <c r="H20" s="17">
        <v>8500</v>
      </c>
      <c r="I20" s="18">
        <f t="shared" si="1"/>
        <v>600</v>
      </c>
      <c r="J20" s="19">
        <f t="shared" si="2"/>
        <v>27000</v>
      </c>
      <c r="K20" s="19">
        <f t="shared" si="3"/>
        <v>60</v>
      </c>
      <c r="L20" s="7"/>
    </row>
    <row r="21" spans="1:12">
      <c r="A21" s="3" t="s">
        <v>65</v>
      </c>
      <c r="B21" s="14">
        <v>44654</v>
      </c>
      <c r="C21" s="1" t="str">
        <f t="shared" si="0"/>
        <v>퍼즐</v>
      </c>
      <c r="D21" s="15">
        <v>859.2</v>
      </c>
      <c r="E21" s="15">
        <v>429.6</v>
      </c>
      <c r="F21" s="5">
        <v>60</v>
      </c>
      <c r="G21" s="16" t="s">
        <v>11</v>
      </c>
      <c r="H21" s="17">
        <v>10200</v>
      </c>
      <c r="I21" s="18">
        <f t="shared" si="1"/>
        <v>600</v>
      </c>
      <c r="J21" s="19">
        <f t="shared" si="2"/>
        <v>37800</v>
      </c>
      <c r="K21" s="19">
        <f t="shared" si="3"/>
        <v>50</v>
      </c>
      <c r="L21" s="7"/>
    </row>
    <row r="22" spans="1:12">
      <c r="A22" s="3" t="s">
        <v>66</v>
      </c>
      <c r="B22" s="14">
        <v>44654</v>
      </c>
      <c r="C22" s="1" t="str">
        <f t="shared" si="0"/>
        <v>아케이드</v>
      </c>
      <c r="D22" s="20">
        <v>3306.9</v>
      </c>
      <c r="E22" s="15">
        <v>551.15</v>
      </c>
      <c r="F22" s="5">
        <v>100</v>
      </c>
      <c r="G22" s="16" t="s">
        <v>11</v>
      </c>
      <c r="H22" s="17">
        <v>6800</v>
      </c>
      <c r="I22" s="18">
        <f t="shared" si="1"/>
        <v>1400</v>
      </c>
      <c r="J22" s="19">
        <f t="shared" si="2"/>
        <v>80000</v>
      </c>
      <c r="K22" s="19">
        <f t="shared" si="3"/>
        <v>16.666666666666664</v>
      </c>
      <c r="L22" s="7"/>
    </row>
    <row r="23" spans="1:12">
      <c r="A23" s="3" t="s">
        <v>67</v>
      </c>
      <c r="B23" s="14">
        <v>44683</v>
      </c>
      <c r="C23" s="1" t="str">
        <f t="shared" si="0"/>
        <v>퍼즐</v>
      </c>
      <c r="D23" s="15">
        <v>943.4</v>
      </c>
      <c r="E23" s="15">
        <v>471.7</v>
      </c>
      <c r="F23" s="5">
        <v>60</v>
      </c>
      <c r="G23" s="16" t="s">
        <v>17</v>
      </c>
      <c r="H23" s="17">
        <v>10200</v>
      </c>
      <c r="I23" s="18">
        <f t="shared" si="1"/>
        <v>700</v>
      </c>
      <c r="J23" s="19">
        <f t="shared" si="2"/>
        <v>37800</v>
      </c>
      <c r="K23" s="19">
        <f t="shared" si="3"/>
        <v>50</v>
      </c>
      <c r="L23" s="7"/>
    </row>
    <row r="24" spans="1:12">
      <c r="A24" s="21"/>
      <c r="B24" s="22"/>
      <c r="C24" s="21"/>
      <c r="D24" s="23"/>
      <c r="E24" s="21"/>
      <c r="F24" s="21"/>
      <c r="G24" s="21"/>
      <c r="H24" s="21"/>
      <c r="I24" s="21"/>
      <c r="J24" s="21"/>
      <c r="K24" s="21"/>
      <c r="L24" s="7"/>
    </row>
    <row r="25" spans="1:12">
      <c r="A25" s="24"/>
      <c r="B25" s="24"/>
      <c r="C25" s="24"/>
      <c r="D25" s="24"/>
      <c r="E25" s="25" t="s">
        <v>68</v>
      </c>
      <c r="F25" s="24"/>
      <c r="G25" s="21"/>
      <c r="H25" s="24"/>
      <c r="I25" s="24"/>
      <c r="J25" s="25"/>
      <c r="K25" s="24"/>
      <c r="L25" s="9"/>
    </row>
    <row r="26" spans="1:12">
      <c r="A26" s="24"/>
      <c r="B26" s="25" t="s">
        <v>69</v>
      </c>
      <c r="C26" s="24"/>
      <c r="D26" s="24"/>
      <c r="E26" s="26"/>
      <c r="F26" s="1" t="s">
        <v>52</v>
      </c>
      <c r="G26" s="1" t="s">
        <v>53</v>
      </c>
      <c r="H26" s="24"/>
      <c r="I26" s="24"/>
      <c r="J26" s="27"/>
      <c r="K26" s="28"/>
      <c r="L26" s="7"/>
    </row>
    <row r="27" spans="1:12">
      <c r="A27" s="21"/>
      <c r="B27" s="11" t="s">
        <v>70</v>
      </c>
      <c r="C27" s="12" t="s">
        <v>71</v>
      </c>
      <c r="D27" s="24"/>
      <c r="E27" s="1" t="s">
        <v>72</v>
      </c>
      <c r="F27" s="29">
        <v>0.3</v>
      </c>
      <c r="G27" s="29">
        <v>0.7</v>
      </c>
      <c r="H27" s="21"/>
      <c r="I27" s="21"/>
      <c r="J27" s="21"/>
      <c r="K27" s="24"/>
      <c r="L27" s="7"/>
    </row>
    <row r="28" spans="1:12">
      <c r="A28" s="21"/>
      <c r="B28" s="30">
        <v>2021</v>
      </c>
      <c r="C28" s="19">
        <f t="array" ref="C28">AVERAGE(IF(YEAR($B$4:$B$23)=B28,$E$4:$E$23))</f>
        <v>435.33636363636356</v>
      </c>
      <c r="D28" s="31"/>
      <c r="E28" s="24"/>
      <c r="F28" s="24"/>
      <c r="G28" s="24"/>
      <c r="H28" s="21"/>
      <c r="I28" s="21"/>
      <c r="J28" s="21"/>
      <c r="K28" s="24"/>
      <c r="L28" s="7"/>
    </row>
    <row r="29" spans="1:12">
      <c r="A29" s="21"/>
      <c r="B29" s="30">
        <v>2022</v>
      </c>
      <c r="C29" s="19">
        <f t="array" ref="C29">AVERAGE(IF(YEAR($B$4:$B$23)=B29,$E$4:$E$23))</f>
        <v>501.64444444444445</v>
      </c>
      <c r="D29" s="24"/>
      <c r="E29" s="32" t="s">
        <v>73</v>
      </c>
      <c r="F29" s="33"/>
      <c r="G29" s="33"/>
      <c r="H29" s="21"/>
      <c r="I29" s="21"/>
      <c r="J29" s="21"/>
      <c r="K29" s="24"/>
      <c r="L29" s="7"/>
    </row>
    <row r="30" spans="1:12">
      <c r="A30" s="21"/>
      <c r="B30" s="21"/>
      <c r="C30" s="21"/>
      <c r="D30" s="24"/>
      <c r="E30" s="1" t="s">
        <v>74</v>
      </c>
      <c r="F30" s="26">
        <v>10</v>
      </c>
      <c r="G30" s="19">
        <v>40</v>
      </c>
      <c r="H30" s="19">
        <v>50</v>
      </c>
      <c r="I30" s="18">
        <v>60</v>
      </c>
      <c r="J30" s="18">
        <v>70</v>
      </c>
      <c r="K30" s="21"/>
      <c r="L30" s="7"/>
    </row>
    <row r="31" spans="1:12">
      <c r="A31" s="21"/>
      <c r="B31" s="21"/>
      <c r="C31" s="21"/>
      <c r="D31" s="24"/>
      <c r="E31" s="1" t="s">
        <v>75</v>
      </c>
      <c r="F31" s="19">
        <v>400</v>
      </c>
      <c r="G31" s="19">
        <v>500</v>
      </c>
      <c r="H31" s="19">
        <v>600</v>
      </c>
      <c r="I31" s="19">
        <v>700</v>
      </c>
      <c r="J31" s="19">
        <v>800</v>
      </c>
      <c r="K31" s="24"/>
      <c r="L31" s="7"/>
    </row>
    <row r="32" spans="1:12">
      <c r="A32" s="21"/>
      <c r="B32" s="21"/>
      <c r="C32" s="21"/>
      <c r="D32" s="24"/>
      <c r="E32" s="33"/>
      <c r="F32" s="33"/>
      <c r="G32" s="33"/>
      <c r="H32" s="25"/>
      <c r="I32" s="24"/>
      <c r="J32" s="24"/>
      <c r="K32" s="24"/>
      <c r="L32" s="7"/>
    </row>
  </sheetData>
  <phoneticPr fontId="1" type="noConversion"/>
  <conditionalFormatting sqref="B26">
    <cfRule type="expression" dxfId="3" priority="4" stopIfTrue="1">
      <formula>$D26&gt;=95</formula>
    </cfRule>
  </conditionalFormatting>
  <conditionalFormatting sqref="E25">
    <cfRule type="expression" dxfId="2" priority="3" stopIfTrue="1">
      <formula>$D26&gt;=95</formula>
    </cfRule>
  </conditionalFormatting>
  <conditionalFormatting sqref="B26">
    <cfRule type="expression" dxfId="1" priority="2" stopIfTrue="1">
      <formula>$D26&gt;=95</formula>
    </cfRule>
  </conditionalFormatting>
  <conditionalFormatting sqref="E25">
    <cfRule type="expression" dxfId="0" priority="1" stopIfTrue="1">
      <formula>$D26&gt;=95</formula>
    </cfRule>
  </conditionalFormatting>
  <pageMargins left="0.7" right="0.7" top="0.75" bottom="0.75" header="0.3" footer="0.3"/>
  <pageSetup paperSize="9" orientation="portrait" r:id="rId1"/>
  <ignoredErrors>
    <ignoredError sqref="I4:I23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6"/>
  <sheetViews>
    <sheetView workbookViewId="0"/>
  </sheetViews>
  <sheetFormatPr defaultRowHeight="17"/>
  <cols>
    <col min="2" max="2" width="12.25" customWidth="1"/>
    <col min="3" max="3" width="8.9140625" customWidth="1"/>
    <col min="4" max="7" width="12.5" bestFit="1" customWidth="1"/>
  </cols>
  <sheetData>
    <row r="1" spans="2:5">
      <c r="B1" s="43" t="s">
        <v>78</v>
      </c>
      <c r="C1" t="s">
        <v>121</v>
      </c>
    </row>
    <row r="3" spans="2:5">
      <c r="B3" s="43" t="s">
        <v>76</v>
      </c>
      <c r="C3" s="43" t="s">
        <v>77</v>
      </c>
      <c r="D3" t="s">
        <v>124</v>
      </c>
      <c r="E3" t="s">
        <v>125</v>
      </c>
    </row>
    <row r="4" spans="2:5">
      <c r="B4" t="s">
        <v>26</v>
      </c>
      <c r="C4" t="s">
        <v>123</v>
      </c>
      <c r="D4" s="44">
        <v>10000</v>
      </c>
      <c r="E4" s="44">
        <v>13000</v>
      </c>
    </row>
    <row r="5" spans="2:5">
      <c r="C5" t="s">
        <v>130</v>
      </c>
      <c r="D5" s="44">
        <v>15000</v>
      </c>
      <c r="E5" s="44">
        <v>19500</v>
      </c>
    </row>
    <row r="6" spans="2:5">
      <c r="C6" t="s">
        <v>131</v>
      </c>
      <c r="D6" s="44">
        <v>35000</v>
      </c>
      <c r="E6" s="44">
        <v>45500</v>
      </c>
    </row>
    <row r="7" spans="2:5">
      <c r="B7" t="s">
        <v>126</v>
      </c>
      <c r="D7" s="44">
        <v>60000</v>
      </c>
      <c r="E7" s="44">
        <v>78000</v>
      </c>
    </row>
    <row r="8" spans="2:5">
      <c r="B8" t="s">
        <v>37</v>
      </c>
      <c r="C8" t="s">
        <v>123</v>
      </c>
      <c r="D8" s="44">
        <v>18000</v>
      </c>
      <c r="E8" s="44">
        <v>23400</v>
      </c>
    </row>
    <row r="9" spans="2:5">
      <c r="C9" t="s">
        <v>130</v>
      </c>
      <c r="D9" s="44">
        <v>24000</v>
      </c>
      <c r="E9" s="44">
        <v>31200</v>
      </c>
    </row>
    <row r="10" spans="2:5">
      <c r="C10" t="s">
        <v>131</v>
      </c>
      <c r="D10" s="44">
        <v>48000</v>
      </c>
      <c r="E10" s="44">
        <v>62400</v>
      </c>
    </row>
    <row r="11" spans="2:5">
      <c r="B11" t="s">
        <v>127</v>
      </c>
      <c r="D11" s="44">
        <v>90000</v>
      </c>
      <c r="E11" s="44">
        <v>117000</v>
      </c>
    </row>
    <row r="12" spans="2:5">
      <c r="B12" t="s">
        <v>10</v>
      </c>
      <c r="C12" t="s">
        <v>123</v>
      </c>
      <c r="D12" s="44">
        <v>12000</v>
      </c>
      <c r="E12" s="44">
        <v>15600</v>
      </c>
    </row>
    <row r="13" spans="2:5">
      <c r="C13" t="s">
        <v>130</v>
      </c>
      <c r="D13" s="44">
        <v>16000</v>
      </c>
      <c r="E13" s="44">
        <v>20800</v>
      </c>
    </row>
    <row r="14" spans="2:5">
      <c r="C14" t="s">
        <v>131</v>
      </c>
      <c r="D14" s="44">
        <v>36000</v>
      </c>
      <c r="E14" s="44">
        <v>46800</v>
      </c>
    </row>
    <row r="15" spans="2:5">
      <c r="B15" t="s">
        <v>128</v>
      </c>
      <c r="D15" s="44">
        <v>64000</v>
      </c>
      <c r="E15" s="44">
        <v>83200</v>
      </c>
    </row>
    <row r="16" spans="2:5">
      <c r="B16" t="s">
        <v>122</v>
      </c>
      <c r="D16" s="44">
        <v>214000</v>
      </c>
      <c r="E16" s="44">
        <v>278200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F22"/>
  <sheetViews>
    <sheetView workbookViewId="0"/>
  </sheetViews>
  <sheetFormatPr defaultRowHeight="17"/>
  <cols>
    <col min="2" max="2" width="18.9140625" customWidth="1"/>
    <col min="4" max="4" width="14.33203125" customWidth="1"/>
    <col min="5" max="5" width="14.58203125" customWidth="1"/>
    <col min="6" max="6" width="11.33203125" customWidth="1"/>
  </cols>
  <sheetData>
    <row r="1" spans="1:6">
      <c r="A1" s="34"/>
      <c r="B1" s="34"/>
      <c r="C1" s="34"/>
      <c r="D1" s="34"/>
      <c r="E1" s="34"/>
      <c r="F1" s="34"/>
    </row>
    <row r="2" spans="1:6">
      <c r="A2" s="34"/>
      <c r="B2" s="35" t="s">
        <v>79</v>
      </c>
      <c r="C2" s="35" t="s">
        <v>2</v>
      </c>
      <c r="D2" s="35" t="s">
        <v>80</v>
      </c>
      <c r="E2" s="35" t="s">
        <v>81</v>
      </c>
      <c r="F2" s="36" t="s">
        <v>6</v>
      </c>
    </row>
    <row r="3" spans="1:6">
      <c r="A3" s="34"/>
      <c r="B3" s="16" t="s">
        <v>82</v>
      </c>
      <c r="C3" s="16" t="s">
        <v>37</v>
      </c>
      <c r="D3" s="16" t="s">
        <v>14</v>
      </c>
      <c r="E3" s="37">
        <v>44267</v>
      </c>
      <c r="F3" s="6">
        <v>450</v>
      </c>
    </row>
    <row r="4" spans="1:6">
      <c r="A4" s="34"/>
      <c r="B4" s="16" t="s">
        <v>83</v>
      </c>
      <c r="C4" s="16" t="s">
        <v>37</v>
      </c>
      <c r="D4" s="16" t="s">
        <v>14</v>
      </c>
      <c r="E4" s="37">
        <v>44267</v>
      </c>
      <c r="F4" s="6">
        <v>1924</v>
      </c>
    </row>
    <row r="5" spans="1:6">
      <c r="A5" s="34"/>
      <c r="B5" s="16" t="s">
        <v>84</v>
      </c>
      <c r="C5" s="16" t="s">
        <v>10</v>
      </c>
      <c r="D5" s="16" t="s">
        <v>14</v>
      </c>
      <c r="E5" s="37">
        <v>44267</v>
      </c>
      <c r="F5" s="6">
        <v>1000</v>
      </c>
    </row>
    <row r="6" spans="1:6">
      <c r="A6" s="34"/>
      <c r="B6" s="16" t="s">
        <v>85</v>
      </c>
      <c r="C6" s="16" t="s">
        <v>10</v>
      </c>
      <c r="D6" s="16" t="s">
        <v>14</v>
      </c>
      <c r="E6" s="37">
        <v>44267</v>
      </c>
      <c r="F6" s="6">
        <v>459.2</v>
      </c>
    </row>
    <row r="7" spans="1:6">
      <c r="A7" s="34"/>
      <c r="B7" s="16" t="s">
        <v>86</v>
      </c>
      <c r="C7" s="16" t="s">
        <v>26</v>
      </c>
      <c r="D7" s="16" t="s">
        <v>14</v>
      </c>
      <c r="E7" s="37">
        <v>44267</v>
      </c>
      <c r="F7" s="6">
        <v>859.2</v>
      </c>
    </row>
    <row r="8" spans="1:6" hidden="1">
      <c r="A8" s="34"/>
      <c r="B8" s="16" t="s">
        <v>18</v>
      </c>
      <c r="C8" s="16" t="s">
        <v>10</v>
      </c>
      <c r="D8" s="16" t="s">
        <v>14</v>
      </c>
      <c r="E8" s="37">
        <v>44433</v>
      </c>
      <c r="F8" s="6">
        <v>8500</v>
      </c>
    </row>
    <row r="9" spans="1:6" hidden="1">
      <c r="A9" s="34"/>
      <c r="B9" s="16" t="s">
        <v>87</v>
      </c>
      <c r="C9" s="16" t="s">
        <v>26</v>
      </c>
      <c r="D9" s="16" t="s">
        <v>14</v>
      </c>
      <c r="E9" s="37">
        <v>44433</v>
      </c>
      <c r="F9" s="6">
        <v>859.2</v>
      </c>
    </row>
    <row r="10" spans="1:6" hidden="1">
      <c r="A10" s="34"/>
      <c r="B10" s="16" t="s">
        <v>88</v>
      </c>
      <c r="C10" s="16" t="s">
        <v>37</v>
      </c>
      <c r="D10" s="16" t="s">
        <v>14</v>
      </c>
      <c r="E10" s="37">
        <v>44433</v>
      </c>
      <c r="F10" s="6">
        <v>943.4</v>
      </c>
    </row>
    <row r="11" spans="1:6" hidden="1">
      <c r="A11" s="34"/>
      <c r="B11" s="16" t="s">
        <v>89</v>
      </c>
      <c r="C11" s="16" t="s">
        <v>37</v>
      </c>
      <c r="D11" s="16" t="s">
        <v>17</v>
      </c>
      <c r="E11" s="37">
        <v>44567</v>
      </c>
      <c r="F11" s="6">
        <v>943.4</v>
      </c>
    </row>
    <row r="12" spans="1:6" hidden="1">
      <c r="A12" s="34"/>
      <c r="B12" s="16" t="s">
        <v>90</v>
      </c>
      <c r="C12" s="16" t="s">
        <v>10</v>
      </c>
      <c r="D12" s="16" t="s">
        <v>17</v>
      </c>
      <c r="E12" s="37">
        <v>44567</v>
      </c>
      <c r="F12" s="6">
        <v>1025.0999999999999</v>
      </c>
    </row>
    <row r="13" spans="1:6" hidden="1">
      <c r="A13" s="34"/>
      <c r="B13" s="16" t="s">
        <v>27</v>
      </c>
      <c r="C13" s="16" t="s">
        <v>37</v>
      </c>
      <c r="D13" s="16" t="s">
        <v>11</v>
      </c>
      <c r="E13" s="37">
        <v>44631</v>
      </c>
      <c r="F13" s="6">
        <v>568.9</v>
      </c>
    </row>
    <row r="14" spans="1:6" hidden="1">
      <c r="A14" s="34"/>
      <c r="B14" s="16" t="s">
        <v>91</v>
      </c>
      <c r="C14" s="16" t="s">
        <v>26</v>
      </c>
      <c r="D14" s="16" t="s">
        <v>11</v>
      </c>
      <c r="E14" s="37">
        <v>44631</v>
      </c>
      <c r="F14" s="6">
        <v>1203.2</v>
      </c>
    </row>
    <row r="15" spans="1:6" hidden="1">
      <c r="A15" s="34"/>
      <c r="B15" s="16" t="s">
        <v>92</v>
      </c>
      <c r="C15" s="16" t="s">
        <v>26</v>
      </c>
      <c r="D15" s="16" t="s">
        <v>17</v>
      </c>
      <c r="E15" s="37">
        <v>44639</v>
      </c>
      <c r="F15" s="6">
        <v>3350</v>
      </c>
    </row>
    <row r="16" spans="1:6" hidden="1">
      <c r="A16" s="34"/>
      <c r="B16" s="16" t="s">
        <v>93</v>
      </c>
      <c r="C16" s="16" t="s">
        <v>10</v>
      </c>
      <c r="D16" s="16" t="s">
        <v>11</v>
      </c>
      <c r="E16" s="37">
        <v>44639</v>
      </c>
      <c r="F16" s="6">
        <v>568.9</v>
      </c>
    </row>
    <row r="17" spans="1:6" hidden="1">
      <c r="A17" s="34"/>
      <c r="B17" s="16" t="s">
        <v>44</v>
      </c>
      <c r="C17" s="16" t="s">
        <v>37</v>
      </c>
      <c r="D17" s="16" t="s">
        <v>17</v>
      </c>
      <c r="E17" s="37">
        <v>44639</v>
      </c>
      <c r="F17" s="6">
        <v>943.4</v>
      </c>
    </row>
    <row r="18" spans="1:6" hidden="1">
      <c r="A18" s="34"/>
      <c r="B18" s="16" t="s">
        <v>94</v>
      </c>
      <c r="C18" s="16" t="s">
        <v>10</v>
      </c>
      <c r="D18" s="16" t="s">
        <v>17</v>
      </c>
      <c r="E18" s="37">
        <v>44639</v>
      </c>
      <c r="F18" s="6">
        <v>4200</v>
      </c>
    </row>
    <row r="19" spans="1:6" hidden="1">
      <c r="A19" s="34"/>
      <c r="B19" s="16" t="s">
        <v>95</v>
      </c>
      <c r="C19" s="16" t="s">
        <v>26</v>
      </c>
      <c r="D19" s="16" t="s">
        <v>11</v>
      </c>
      <c r="E19" s="37">
        <v>44639</v>
      </c>
      <c r="F19" s="6">
        <v>859.2</v>
      </c>
    </row>
    <row r="20" spans="1:6">
      <c r="A20" s="34"/>
      <c r="B20" s="16" t="s">
        <v>96</v>
      </c>
      <c r="C20" s="16" t="s">
        <v>37</v>
      </c>
      <c r="D20" s="16" t="s">
        <v>11</v>
      </c>
      <c r="E20" s="37">
        <v>44734</v>
      </c>
      <c r="F20" s="6">
        <v>859.2</v>
      </c>
    </row>
    <row r="21" spans="1:6">
      <c r="A21" s="34"/>
      <c r="B21" s="16" t="s">
        <v>97</v>
      </c>
      <c r="C21" s="16" t="s">
        <v>10</v>
      </c>
      <c r="D21" s="16" t="s">
        <v>11</v>
      </c>
      <c r="E21" s="37">
        <v>44734</v>
      </c>
      <c r="F21" s="6">
        <v>1102.3</v>
      </c>
    </row>
    <row r="22" spans="1:6">
      <c r="A22" s="34"/>
      <c r="B22" s="34"/>
      <c r="C22" s="34"/>
      <c r="D22" s="34"/>
      <c r="E22" s="34"/>
      <c r="F22" s="34"/>
    </row>
  </sheetData>
  <autoFilter ref="B2:F21">
    <filterColumn colId="3">
      <customFilters>
        <customFilter operator="lessThan" val="44317"/>
        <customFilter operator="greaterThan" val="44682"/>
      </customFilters>
    </filterColumn>
  </autoFilter>
  <phoneticPr fontId="1" type="noConversion"/>
  <dataValidations count="1">
    <dataValidation type="date" allowBlank="1" showInputMessage="1" showErrorMessage="1" errorTitle="출시일(2021~2022)" error="2021-01-01 ~ 2022-12-31에 해당한 날짜를 입력하세요." promptTitle="출시일 기간" prompt="2021~2022년" sqref="E3:E21">
      <formula1>44197</formula1>
      <formula2>44926</formula2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5"/>
  <sheetViews>
    <sheetView workbookViewId="0"/>
  </sheetViews>
  <sheetFormatPr defaultRowHeight="17"/>
  <cols>
    <col min="2" max="5" width="20.5" customWidth="1"/>
  </cols>
  <sheetData>
    <row r="1" spans="1:5" ht="23">
      <c r="A1" s="7"/>
      <c r="B1" s="46" t="s">
        <v>98</v>
      </c>
      <c r="C1" s="46"/>
      <c r="D1" s="46"/>
      <c r="E1" s="46"/>
    </row>
    <row r="2" spans="1:5">
      <c r="A2" s="38"/>
      <c r="B2" s="39"/>
      <c r="C2" s="40">
        <v>2020</v>
      </c>
      <c r="D2" s="40">
        <v>2021</v>
      </c>
      <c r="E2" s="40">
        <v>2022</v>
      </c>
    </row>
    <row r="3" spans="1:5">
      <c r="A3" s="38"/>
      <c r="B3" s="40" t="s">
        <v>99</v>
      </c>
      <c r="C3" s="41">
        <v>496591</v>
      </c>
      <c r="D3" s="41">
        <v>495958</v>
      </c>
      <c r="E3" s="41">
        <v>3155055</v>
      </c>
    </row>
    <row r="4" spans="1:5">
      <c r="A4" s="38"/>
      <c r="B4" s="40" t="s">
        <v>100</v>
      </c>
      <c r="C4" s="41">
        <v>426349</v>
      </c>
      <c r="D4" s="41">
        <v>427690</v>
      </c>
      <c r="E4" s="41">
        <v>1255919</v>
      </c>
    </row>
    <row r="5" spans="1:5">
      <c r="A5" s="38"/>
      <c r="B5" s="40" t="s">
        <v>101</v>
      </c>
      <c r="C5" s="41">
        <v>70242</v>
      </c>
      <c r="D5" s="41">
        <v>68268</v>
      </c>
      <c r="E5" s="41">
        <v>1899136</v>
      </c>
    </row>
  </sheetData>
  <mergeCells count="1">
    <mergeCell ref="B1:E1"/>
  </mergeCells>
  <phoneticPr fontId="1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I16"/>
  <sheetViews>
    <sheetView workbookViewId="0"/>
  </sheetViews>
  <sheetFormatPr defaultRowHeight="17"/>
  <cols>
    <col min="2" max="2" width="18.58203125" customWidth="1"/>
    <col min="3" max="3" width="12.33203125" bestFit="1" customWidth="1"/>
    <col min="4" max="4" width="8.5" bestFit="1" customWidth="1"/>
    <col min="5" max="5" width="10.75" bestFit="1" customWidth="1"/>
    <col min="6" max="6" width="10.4140625" bestFit="1" customWidth="1"/>
    <col min="7" max="7" width="12.58203125" bestFit="1" customWidth="1"/>
    <col min="8" max="8" width="7.08203125" bestFit="1" customWidth="1"/>
    <col min="9" max="9" width="10.4140625" bestFit="1" customWidth="1"/>
  </cols>
  <sheetData>
    <row r="5" spans="2:9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2" t="s">
        <v>5</v>
      </c>
      <c r="H5" s="2" t="s">
        <v>6</v>
      </c>
      <c r="I5" s="2" t="s">
        <v>7</v>
      </c>
    </row>
    <row r="6" spans="2:9">
      <c r="B6" s="3" t="s">
        <v>8</v>
      </c>
      <c r="C6" s="3" t="s">
        <v>9</v>
      </c>
      <c r="D6" s="3" t="s">
        <v>10</v>
      </c>
      <c r="E6" s="4">
        <v>44611</v>
      </c>
      <c r="F6" s="3" t="s">
        <v>11</v>
      </c>
      <c r="G6" s="45">
        <v>100</v>
      </c>
      <c r="H6" s="6">
        <v>568.9</v>
      </c>
      <c r="I6" s="6">
        <v>284.45</v>
      </c>
    </row>
    <row r="7" spans="2:9">
      <c r="B7" s="3" t="s">
        <v>12</v>
      </c>
      <c r="C7" s="3" t="s">
        <v>13</v>
      </c>
      <c r="D7" s="3" t="s">
        <v>10</v>
      </c>
      <c r="E7" s="4">
        <v>44267</v>
      </c>
      <c r="F7" s="3" t="s">
        <v>14</v>
      </c>
      <c r="G7" s="45">
        <v>100</v>
      </c>
      <c r="H7" s="6">
        <v>1000</v>
      </c>
      <c r="I7" s="6">
        <v>500</v>
      </c>
    </row>
    <row r="8" spans="2:9">
      <c r="B8" s="3" t="s">
        <v>15</v>
      </c>
      <c r="C8" s="3" t="s">
        <v>16</v>
      </c>
      <c r="D8" s="3" t="s">
        <v>10</v>
      </c>
      <c r="E8" s="4">
        <v>44567</v>
      </c>
      <c r="F8" s="3" t="s">
        <v>17</v>
      </c>
      <c r="G8" s="45">
        <v>100</v>
      </c>
      <c r="H8" s="6">
        <v>1025.0999999999999</v>
      </c>
      <c r="I8" s="6">
        <v>512.54999999999995</v>
      </c>
    </row>
    <row r="9" spans="2:9">
      <c r="B9" s="3" t="s">
        <v>18</v>
      </c>
      <c r="C9" s="3" t="s">
        <v>19</v>
      </c>
      <c r="D9" s="3" t="s">
        <v>10</v>
      </c>
      <c r="E9" s="4">
        <v>44433</v>
      </c>
      <c r="F9" s="3" t="s">
        <v>14</v>
      </c>
      <c r="G9" s="45">
        <v>100</v>
      </c>
      <c r="H9" s="6">
        <v>1032.2</v>
      </c>
      <c r="I9" s="6">
        <v>516.1</v>
      </c>
    </row>
    <row r="10" spans="2:9">
      <c r="B10" s="3" t="s">
        <v>20</v>
      </c>
      <c r="C10" s="3" t="s">
        <v>21</v>
      </c>
      <c r="D10" s="3" t="s">
        <v>10</v>
      </c>
      <c r="E10" s="4">
        <v>44267</v>
      </c>
      <c r="F10" s="3" t="s">
        <v>14</v>
      </c>
      <c r="G10" s="45">
        <v>100</v>
      </c>
      <c r="H10" s="6">
        <v>459.2</v>
      </c>
      <c r="I10" s="6">
        <v>229.6</v>
      </c>
    </row>
    <row r="11" spans="2:9">
      <c r="B11" s="3" t="s">
        <v>22</v>
      </c>
      <c r="C11" s="3" t="s">
        <v>23</v>
      </c>
      <c r="D11" s="3" t="s">
        <v>10</v>
      </c>
      <c r="E11" s="4">
        <v>44611</v>
      </c>
      <c r="F11" s="3" t="s">
        <v>17</v>
      </c>
      <c r="G11" s="45">
        <v>100</v>
      </c>
      <c r="H11" s="6">
        <v>1200</v>
      </c>
      <c r="I11" s="6">
        <v>600</v>
      </c>
    </row>
    <row r="12" spans="2:9">
      <c r="B12" s="3" t="s">
        <v>24</v>
      </c>
      <c r="C12" s="3" t="s">
        <v>25</v>
      </c>
      <c r="D12" s="3" t="s">
        <v>26</v>
      </c>
      <c r="E12" s="4">
        <v>44433</v>
      </c>
      <c r="F12" s="3" t="s">
        <v>14</v>
      </c>
      <c r="G12" s="45">
        <v>50</v>
      </c>
      <c r="H12" s="6">
        <v>859.2</v>
      </c>
      <c r="I12" s="6">
        <v>429.6</v>
      </c>
    </row>
    <row r="13" spans="2:9">
      <c r="B13" s="3" t="s">
        <v>27</v>
      </c>
      <c r="C13" s="3" t="s">
        <v>28</v>
      </c>
      <c r="D13" s="3" t="s">
        <v>26</v>
      </c>
      <c r="E13" s="4">
        <v>44267</v>
      </c>
      <c r="F13" s="3" t="s">
        <v>14</v>
      </c>
      <c r="G13" s="45">
        <v>50</v>
      </c>
      <c r="H13" s="6">
        <v>859.2</v>
      </c>
      <c r="I13" s="6">
        <v>429.6</v>
      </c>
    </row>
    <row r="14" spans="2:9">
      <c r="B14" s="3" t="s">
        <v>29</v>
      </c>
      <c r="C14" s="3" t="s">
        <v>30</v>
      </c>
      <c r="D14" s="3" t="s">
        <v>26</v>
      </c>
      <c r="E14" s="4">
        <v>44611</v>
      </c>
      <c r="F14" s="3" t="s">
        <v>17</v>
      </c>
      <c r="G14" s="45">
        <v>50</v>
      </c>
      <c r="H14" s="6">
        <v>1350</v>
      </c>
      <c r="I14" s="6">
        <v>675</v>
      </c>
    </row>
    <row r="15" spans="2:9">
      <c r="B15" s="3" t="s">
        <v>31</v>
      </c>
      <c r="C15" s="3" t="s">
        <v>32</v>
      </c>
      <c r="D15" s="3" t="s">
        <v>26</v>
      </c>
      <c r="E15" s="4">
        <v>44631</v>
      </c>
      <c r="F15" s="3" t="s">
        <v>11</v>
      </c>
      <c r="G15" s="45">
        <v>50</v>
      </c>
      <c r="H15" s="6">
        <v>1203.2</v>
      </c>
      <c r="I15" s="6">
        <v>601.6</v>
      </c>
    </row>
    <row r="16" spans="2:9">
      <c r="B16" s="3" t="s">
        <v>33</v>
      </c>
      <c r="C16" s="3" t="s">
        <v>34</v>
      </c>
      <c r="D16" s="3" t="s">
        <v>26</v>
      </c>
      <c r="E16" s="4">
        <v>44611</v>
      </c>
      <c r="F16" s="3" t="s">
        <v>11</v>
      </c>
      <c r="G16" s="45">
        <v>50</v>
      </c>
      <c r="H16" s="6">
        <v>859.2</v>
      </c>
      <c r="I16" s="6">
        <v>429.6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2"/>
  <sheetViews>
    <sheetView workbookViewId="0"/>
  </sheetViews>
  <sheetFormatPr defaultRowHeight="17"/>
  <cols>
    <col min="1" max="1" width="15.25" customWidth="1"/>
    <col min="2" max="2" width="19.08203125" customWidth="1"/>
    <col min="3" max="3" width="11.4140625" customWidth="1"/>
    <col min="4" max="4" width="17" customWidth="1"/>
    <col min="5" max="5" width="14.4140625" customWidth="1"/>
  </cols>
  <sheetData>
    <row r="1" spans="1:5">
      <c r="A1" s="34" t="s">
        <v>102</v>
      </c>
      <c r="B1" s="34" t="s">
        <v>103</v>
      </c>
      <c r="C1" s="34"/>
      <c r="D1" s="34"/>
    </row>
    <row r="2" spans="1:5">
      <c r="A2" s="34"/>
      <c r="B2" s="34"/>
      <c r="C2" s="34"/>
      <c r="D2" s="34"/>
    </row>
    <row r="3" spans="1:5">
      <c r="A3" s="35" t="s">
        <v>1</v>
      </c>
      <c r="B3" s="35" t="s">
        <v>104</v>
      </c>
      <c r="C3" s="35" t="s">
        <v>105</v>
      </c>
      <c r="D3" s="35" t="s">
        <v>106</v>
      </c>
      <c r="E3" s="35" t="s">
        <v>4</v>
      </c>
    </row>
    <row r="4" spans="1:5">
      <c r="A4" s="3" t="s">
        <v>36</v>
      </c>
      <c r="B4" s="3" t="s">
        <v>107</v>
      </c>
      <c r="C4" s="3" t="s">
        <v>37</v>
      </c>
      <c r="D4" s="4">
        <v>44267</v>
      </c>
      <c r="E4" s="3" t="s">
        <v>14</v>
      </c>
    </row>
    <row r="5" spans="1:5">
      <c r="A5" s="3" t="s">
        <v>43</v>
      </c>
      <c r="B5" s="3" t="s">
        <v>83</v>
      </c>
      <c r="C5" s="3" t="s">
        <v>37</v>
      </c>
      <c r="D5" s="4">
        <v>44267</v>
      </c>
      <c r="E5" s="3" t="s">
        <v>14</v>
      </c>
    </row>
    <row r="6" spans="1:5">
      <c r="A6" s="3" t="s">
        <v>13</v>
      </c>
      <c r="B6" s="3" t="s">
        <v>108</v>
      </c>
      <c r="C6" s="3" t="s">
        <v>10</v>
      </c>
      <c r="D6" s="4">
        <v>44267</v>
      </c>
      <c r="E6" s="3" t="s">
        <v>14</v>
      </c>
    </row>
    <row r="7" spans="1:5">
      <c r="A7" s="3" t="s">
        <v>21</v>
      </c>
      <c r="B7" s="3" t="s">
        <v>85</v>
      </c>
      <c r="C7" s="3" t="s">
        <v>10</v>
      </c>
      <c r="D7" s="4">
        <v>44267</v>
      </c>
      <c r="E7" s="3" t="s">
        <v>14</v>
      </c>
    </row>
    <row r="8" spans="1:5">
      <c r="A8" s="3" t="s">
        <v>28</v>
      </c>
      <c r="B8" s="3" t="s">
        <v>109</v>
      </c>
      <c r="C8" s="3" t="s">
        <v>26</v>
      </c>
      <c r="D8" s="4">
        <v>44267</v>
      </c>
      <c r="E8" s="3" t="s">
        <v>14</v>
      </c>
    </row>
    <row r="9" spans="1:5">
      <c r="A9" s="3" t="s">
        <v>19</v>
      </c>
      <c r="B9" s="3" t="s">
        <v>110</v>
      </c>
      <c r="C9" s="3" t="s">
        <v>10</v>
      </c>
      <c r="D9" s="4">
        <v>44433</v>
      </c>
      <c r="E9" s="3" t="s">
        <v>14</v>
      </c>
    </row>
    <row r="10" spans="1:5">
      <c r="A10" s="3" t="s">
        <v>25</v>
      </c>
      <c r="B10" s="3" t="s">
        <v>24</v>
      </c>
      <c r="C10" s="3" t="s">
        <v>26</v>
      </c>
      <c r="D10" s="4">
        <v>44433</v>
      </c>
      <c r="E10" s="3" t="s">
        <v>14</v>
      </c>
    </row>
    <row r="11" spans="1:5">
      <c r="A11" s="3" t="s">
        <v>41</v>
      </c>
      <c r="B11" s="3" t="s">
        <v>111</v>
      </c>
      <c r="C11" s="3" t="s">
        <v>37</v>
      </c>
      <c r="D11" s="4">
        <v>44433</v>
      </c>
      <c r="E11" s="3" t="s">
        <v>14</v>
      </c>
    </row>
    <row r="12" spans="1:5">
      <c r="A12" s="3" t="s">
        <v>39</v>
      </c>
      <c r="B12" s="3" t="s">
        <v>112</v>
      </c>
      <c r="C12" s="3" t="s">
        <v>37</v>
      </c>
      <c r="D12" s="4">
        <v>44567</v>
      </c>
      <c r="E12" s="3" t="s">
        <v>17</v>
      </c>
    </row>
    <row r="13" spans="1:5">
      <c r="A13" s="3" t="s">
        <v>16</v>
      </c>
      <c r="B13" s="3" t="s">
        <v>113</v>
      </c>
      <c r="C13" s="3" t="s">
        <v>10</v>
      </c>
      <c r="D13" s="4">
        <v>44567</v>
      </c>
      <c r="E13" s="3" t="s">
        <v>17</v>
      </c>
    </row>
    <row r="14" spans="1:5">
      <c r="A14" s="3" t="s">
        <v>47</v>
      </c>
      <c r="B14" s="3" t="s">
        <v>109</v>
      </c>
      <c r="C14" s="3" t="s">
        <v>37</v>
      </c>
      <c r="D14" s="4">
        <v>44631</v>
      </c>
      <c r="E14" s="3" t="s">
        <v>11</v>
      </c>
    </row>
    <row r="15" spans="1:5">
      <c r="A15" s="3" t="s">
        <v>32</v>
      </c>
      <c r="B15" s="3" t="s">
        <v>91</v>
      </c>
      <c r="C15" s="3" t="s">
        <v>26</v>
      </c>
      <c r="D15" s="4">
        <v>44631</v>
      </c>
      <c r="E15" s="3" t="s">
        <v>11</v>
      </c>
    </row>
    <row r="16" spans="1:5">
      <c r="A16" s="3" t="s">
        <v>30</v>
      </c>
      <c r="B16" s="3" t="s">
        <v>114</v>
      </c>
      <c r="C16" s="3" t="s">
        <v>26</v>
      </c>
      <c r="D16" s="4">
        <v>44639</v>
      </c>
      <c r="E16" s="3" t="s">
        <v>17</v>
      </c>
    </row>
    <row r="17" spans="1:5">
      <c r="A17" s="3" t="s">
        <v>9</v>
      </c>
      <c r="B17" s="3" t="s">
        <v>115</v>
      </c>
      <c r="C17" s="3" t="s">
        <v>10</v>
      </c>
      <c r="D17" s="4">
        <v>44639</v>
      </c>
      <c r="E17" s="3" t="s">
        <v>11</v>
      </c>
    </row>
    <row r="18" spans="1:5">
      <c r="A18" s="3" t="s">
        <v>45</v>
      </c>
      <c r="B18" s="3" t="s">
        <v>116</v>
      </c>
      <c r="C18" s="3" t="s">
        <v>37</v>
      </c>
      <c r="D18" s="4">
        <v>44639</v>
      </c>
      <c r="E18" s="3" t="s">
        <v>17</v>
      </c>
    </row>
    <row r="19" spans="1:5">
      <c r="A19" s="3" t="s">
        <v>23</v>
      </c>
      <c r="B19" s="3" t="s">
        <v>117</v>
      </c>
      <c r="C19" s="3" t="s">
        <v>10</v>
      </c>
      <c r="D19" s="4">
        <v>44639</v>
      </c>
      <c r="E19" s="3" t="s">
        <v>17</v>
      </c>
    </row>
    <row r="20" spans="1:5">
      <c r="A20" s="3" t="s">
        <v>34</v>
      </c>
      <c r="B20" s="3" t="s">
        <v>118</v>
      </c>
      <c r="C20" s="3" t="s">
        <v>26</v>
      </c>
      <c r="D20" s="4">
        <v>44639</v>
      </c>
      <c r="E20" s="3" t="s">
        <v>11</v>
      </c>
    </row>
    <row r="21" spans="1:5">
      <c r="A21" s="3" t="s">
        <v>65</v>
      </c>
      <c r="B21" s="3" t="s">
        <v>119</v>
      </c>
      <c r="C21" s="3" t="s">
        <v>37</v>
      </c>
      <c r="D21" s="4">
        <v>44734</v>
      </c>
      <c r="E21" s="3" t="s">
        <v>11</v>
      </c>
    </row>
    <row r="22" spans="1:5">
      <c r="A22" s="3" t="s">
        <v>66</v>
      </c>
      <c r="B22" s="3" t="s">
        <v>120</v>
      </c>
      <c r="C22" s="3" t="s">
        <v>10</v>
      </c>
      <c r="D22" s="4">
        <v>44734</v>
      </c>
      <c r="E22" s="3" t="s">
        <v>11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게임검색">
          <controlPr defaultSize="0" autoLine="0" r:id="rId4">
            <anchor moveWithCells="1">
              <from>
                <xdr:col>4</xdr:col>
                <xdr:colOff>19050</xdr:colOff>
                <xdr:row>0</xdr:row>
                <xdr:rowOff>12700</xdr:rowOff>
              </from>
              <to>
                <xdr:col>5</xdr:col>
                <xdr:colOff>12700</xdr:colOff>
                <xdr:row>1</xdr:row>
                <xdr:rowOff>120650</xdr:rowOff>
              </to>
            </anchor>
          </controlPr>
        </control>
      </mc:Choice>
      <mc:Fallback>
        <control shapeId="7169" r:id="rId3" name="게임검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기본작업1</vt:lpstr>
      <vt:lpstr>기본작업2</vt:lpstr>
      <vt:lpstr>계산작업</vt:lpstr>
      <vt:lpstr>분석작업1</vt:lpstr>
      <vt:lpstr>분석작업2</vt:lpstr>
      <vt:lpstr>기타작업1</vt:lpstr>
      <vt:lpstr>기타작업2</vt:lpstr>
      <vt:lpstr>기타작업3</vt:lpstr>
      <vt:lpstr>기본작업1!Criteria</vt:lpstr>
      <vt:lpstr>기본작업1!Extract</vt:lpstr>
      <vt:lpstr>기본작업2!Print_Area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2022-04-29T11:38:04Z</cp:lastPrinted>
  <dcterms:created xsi:type="dcterms:W3CDTF">2020-04-07T06:00:22Z</dcterms:created>
  <dcterms:modified xsi:type="dcterms:W3CDTF">2022-07-16T07:42:26Z</dcterms:modified>
</cp:coreProperties>
</file>