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E:\영진(2022년)\1급\엑셀\기출문제3회\"/>
    </mc:Choice>
  </mc:AlternateContent>
  <bookViews>
    <workbookView xWindow="0" yWindow="0" windowWidth="31929" windowHeight="15300" tabRatio="896"/>
  </bookViews>
  <sheets>
    <sheet name="기본작업-1" sheetId="1" r:id="rId1"/>
    <sheet name="기본작업-2" sheetId="2" r:id="rId2"/>
    <sheet name="계산작업" sheetId="9" r:id="rId3"/>
    <sheet name="분석작업-1" sheetId="4" r:id="rId4"/>
    <sheet name="분석작업-2" sheetId="5" r:id="rId5"/>
    <sheet name="기타작업-1" sheetId="6" r:id="rId6"/>
    <sheet name="기타작업-2" sheetId="7" r:id="rId7"/>
    <sheet name="기타작업-3" sheetId="8" r:id="rId8"/>
  </sheets>
  <definedNames>
    <definedName name="_xlnm._FilterDatabase" localSheetId="0" hidden="1">'기본작업-1'!$B$2:$I$23</definedName>
    <definedName name="_xlnm.Criteria" localSheetId="0">'기본작업-1'!#REF!</definedName>
    <definedName name="_xlnm.Extract" localSheetId="0">'기본작업-1'!#REF!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9" i="5" l="1"/>
  <c r="H19" i="5"/>
  <c r="I18" i="5"/>
  <c r="H18" i="5"/>
  <c r="I17" i="5"/>
  <c r="H17" i="5"/>
  <c r="I16" i="5"/>
  <c r="H16" i="5"/>
  <c r="I15" i="5"/>
  <c r="H15" i="5"/>
  <c r="I14" i="5"/>
  <c r="H14" i="5"/>
  <c r="I13" i="5"/>
  <c r="H13" i="5"/>
  <c r="I12" i="5"/>
  <c r="H12" i="5"/>
  <c r="I11" i="5"/>
  <c r="H11" i="5"/>
  <c r="I10" i="5"/>
  <c r="H10" i="5"/>
  <c r="I9" i="5"/>
  <c r="H9" i="5"/>
  <c r="I8" i="5"/>
  <c r="H8" i="5"/>
  <c r="I7" i="5"/>
  <c r="H7" i="5"/>
  <c r="I6" i="5"/>
  <c r="H6" i="5"/>
  <c r="I5" i="5"/>
  <c r="H5" i="5"/>
  <c r="I4" i="5"/>
  <c r="H4" i="5"/>
</calcChain>
</file>

<file path=xl/sharedStrings.xml><?xml version="1.0" encoding="utf-8"?>
<sst xmlns="http://schemas.openxmlformats.org/spreadsheetml/2006/main" count="355" uniqueCount="162">
  <si>
    <t>[표1]</t>
    <phoneticPr fontId="1" type="noConversion"/>
  </si>
  <si>
    <t>시간외근무</t>
    <phoneticPr fontId="1" type="noConversion"/>
  </si>
  <si>
    <t>세금</t>
    <phoneticPr fontId="1" type="noConversion"/>
  </si>
  <si>
    <t>[표2]</t>
    <phoneticPr fontId="1" type="noConversion"/>
  </si>
  <si>
    <t>[표3]</t>
    <phoneticPr fontId="1" type="noConversion"/>
  </si>
  <si>
    <t>기본급</t>
    <phoneticPr fontId="1" type="noConversion"/>
  </si>
  <si>
    <t>교통비 그래프</t>
    <phoneticPr fontId="1" type="noConversion"/>
  </si>
  <si>
    <t>본사</t>
    <phoneticPr fontId="1" type="noConversion"/>
  </si>
  <si>
    <t>지사</t>
    <phoneticPr fontId="1" type="noConversion"/>
  </si>
  <si>
    <t>[표4]</t>
    <phoneticPr fontId="1" type="noConversion"/>
  </si>
  <si>
    <t>[표5] 시간당수당표</t>
    <phoneticPr fontId="1" type="noConversion"/>
  </si>
  <si>
    <t>A</t>
    <phoneticPr fontId="1" type="noConversion"/>
  </si>
  <si>
    <t>D</t>
    <phoneticPr fontId="1" type="noConversion"/>
  </si>
  <si>
    <t>G</t>
    <phoneticPr fontId="1" type="noConversion"/>
  </si>
  <si>
    <t>C</t>
    <phoneticPr fontId="1" type="noConversion"/>
  </si>
  <si>
    <t>F</t>
    <phoneticPr fontId="1" type="noConversion"/>
  </si>
  <si>
    <t>I</t>
    <phoneticPr fontId="1" type="noConversion"/>
  </si>
  <si>
    <t>시간당수당</t>
    <phoneticPr fontId="1" type="noConversion"/>
  </si>
  <si>
    <t>합계</t>
    <phoneticPr fontId="1" type="noConversion"/>
  </si>
  <si>
    <t>[표1]</t>
    <phoneticPr fontId="1" type="noConversion"/>
  </si>
  <si>
    <t>이름</t>
    <phoneticPr fontId="1" type="noConversion"/>
  </si>
  <si>
    <t>학번</t>
    <phoneticPr fontId="1" type="noConversion"/>
  </si>
  <si>
    <t>출석률</t>
    <phoneticPr fontId="1" type="noConversion"/>
  </si>
  <si>
    <t>이상욱</t>
    <phoneticPr fontId="1" type="noConversion"/>
  </si>
  <si>
    <t>강민이</t>
    <phoneticPr fontId="1" type="noConversion"/>
  </si>
  <si>
    <t>임선우</t>
    <phoneticPr fontId="1" type="noConversion"/>
  </si>
  <si>
    <t>최인경</t>
    <phoneticPr fontId="1" type="noConversion"/>
  </si>
  <si>
    <t>한선인</t>
    <phoneticPr fontId="1" type="noConversion"/>
  </si>
  <si>
    <t>유병선</t>
    <phoneticPr fontId="1" type="noConversion"/>
  </si>
  <si>
    <t>김진주</t>
    <phoneticPr fontId="1" type="noConversion"/>
  </si>
  <si>
    <t>황인혁</t>
    <phoneticPr fontId="1" type="noConversion"/>
  </si>
  <si>
    <t>김한숙</t>
    <phoneticPr fontId="1" type="noConversion"/>
  </si>
  <si>
    <t>여사율</t>
    <phoneticPr fontId="1" type="noConversion"/>
  </si>
  <si>
    <t>이유신</t>
    <phoneticPr fontId="1" type="noConversion"/>
  </si>
  <si>
    <t>박찬욱</t>
    <phoneticPr fontId="1" type="noConversion"/>
  </si>
  <si>
    <t>윤철웅</t>
    <phoneticPr fontId="1" type="noConversion"/>
  </si>
  <si>
    <t>이주민</t>
    <phoneticPr fontId="1" type="noConversion"/>
  </si>
  <si>
    <t>성승대</t>
    <phoneticPr fontId="1" type="noConversion"/>
  </si>
  <si>
    <t>점수</t>
    <phoneticPr fontId="1" type="noConversion"/>
  </si>
  <si>
    <t>제품명</t>
    <phoneticPr fontId="6" type="noConversion"/>
  </si>
  <si>
    <t>지역</t>
    <phoneticPr fontId="6" type="noConversion"/>
  </si>
  <si>
    <t>담당자</t>
    <phoneticPr fontId="1" type="noConversion"/>
  </si>
  <si>
    <t>입고일</t>
    <phoneticPr fontId="1" type="noConversion"/>
  </si>
  <si>
    <t>입고량</t>
    <phoneticPr fontId="1" type="noConversion"/>
  </si>
  <si>
    <t>판매단가</t>
    <phoneticPr fontId="6" type="noConversion"/>
  </si>
  <si>
    <t>판매량</t>
    <phoneticPr fontId="6" type="noConversion"/>
  </si>
  <si>
    <t>매출액</t>
    <phoneticPr fontId="6" type="noConversion"/>
  </si>
  <si>
    <t>순이익</t>
    <phoneticPr fontId="1" type="noConversion"/>
  </si>
  <si>
    <t>프린터</t>
    <phoneticPr fontId="1" type="noConversion"/>
  </si>
  <si>
    <t>광주</t>
    <phoneticPr fontId="1" type="noConversion"/>
  </si>
  <si>
    <t>강정동</t>
    <phoneticPr fontId="1" type="noConversion"/>
  </si>
  <si>
    <t>경기</t>
    <phoneticPr fontId="1" type="noConversion"/>
  </si>
  <si>
    <t>김국영</t>
    <phoneticPr fontId="1" type="noConversion"/>
  </si>
  <si>
    <t>프린터</t>
    <phoneticPr fontId="1" type="noConversion"/>
  </si>
  <si>
    <t>서울</t>
    <phoneticPr fontId="1" type="noConversion"/>
  </si>
  <si>
    <t>김시운</t>
    <phoneticPr fontId="1" type="noConversion"/>
  </si>
  <si>
    <t>노트북</t>
    <phoneticPr fontId="1" type="noConversion"/>
  </si>
  <si>
    <t>노트북</t>
    <phoneticPr fontId="1" type="noConversion"/>
  </si>
  <si>
    <t>서울</t>
    <phoneticPr fontId="1" type="noConversion"/>
  </si>
  <si>
    <t>남세연</t>
    <phoneticPr fontId="1" type="noConversion"/>
  </si>
  <si>
    <t>부산</t>
    <phoneticPr fontId="1" type="noConversion"/>
  </si>
  <si>
    <t>문지섭</t>
    <phoneticPr fontId="1" type="noConversion"/>
  </si>
  <si>
    <t>강원</t>
    <phoneticPr fontId="1" type="noConversion"/>
  </si>
  <si>
    <t>박세균</t>
    <phoneticPr fontId="1" type="noConversion"/>
  </si>
  <si>
    <t>노트북</t>
    <phoneticPr fontId="1" type="noConversion"/>
  </si>
  <si>
    <t>광주</t>
    <phoneticPr fontId="1" type="noConversion"/>
  </si>
  <si>
    <t>송미율</t>
    <phoneticPr fontId="1" type="noConversion"/>
  </si>
  <si>
    <t>강원</t>
    <phoneticPr fontId="1" type="noConversion"/>
  </si>
  <si>
    <t>신수라</t>
    <phoneticPr fontId="1" type="noConversion"/>
  </si>
  <si>
    <t>서울</t>
    <phoneticPr fontId="1" type="noConversion"/>
  </si>
  <si>
    <t>유지원</t>
    <phoneticPr fontId="1" type="noConversion"/>
  </si>
  <si>
    <t>광주</t>
    <phoneticPr fontId="1" type="noConversion"/>
  </si>
  <si>
    <t>윤서민</t>
    <phoneticPr fontId="1" type="noConversion"/>
  </si>
  <si>
    <t>이민우</t>
    <phoneticPr fontId="1" type="noConversion"/>
  </si>
  <si>
    <t>프린터</t>
    <phoneticPr fontId="1" type="noConversion"/>
  </si>
  <si>
    <t>경기</t>
    <phoneticPr fontId="1" type="noConversion"/>
  </si>
  <si>
    <t>이설화</t>
    <phoneticPr fontId="1" type="noConversion"/>
  </si>
  <si>
    <t>노트북</t>
    <phoneticPr fontId="1" type="noConversion"/>
  </si>
  <si>
    <t>경기</t>
    <phoneticPr fontId="1" type="noConversion"/>
  </si>
  <si>
    <t>조강민</t>
    <phoneticPr fontId="1" type="noConversion"/>
  </si>
  <si>
    <t>부산</t>
    <phoneticPr fontId="1" type="noConversion"/>
  </si>
  <si>
    <t>한기석</t>
    <phoneticPr fontId="1" type="noConversion"/>
  </si>
  <si>
    <t>허남용</t>
    <phoneticPr fontId="1" type="noConversion"/>
  </si>
  <si>
    <t>합계</t>
    <phoneticPr fontId="6" type="noConversion"/>
  </si>
  <si>
    <t>이익률</t>
    <phoneticPr fontId="6" type="noConversion"/>
  </si>
  <si>
    <t>전자제품 판매현황</t>
    <phoneticPr fontId="6" type="noConversion"/>
  </si>
  <si>
    <t>복합기</t>
  </si>
  <si>
    <t>교통비</t>
    <phoneticPr fontId="1" type="noConversion"/>
  </si>
  <si>
    <t>기본급</t>
    <phoneticPr fontId="1" type="noConversion"/>
  </si>
  <si>
    <t>식대</t>
    <phoneticPr fontId="1" type="noConversion"/>
  </si>
  <si>
    <t>교통비</t>
    <phoneticPr fontId="1" type="noConversion"/>
  </si>
  <si>
    <t>경기지사</t>
    <phoneticPr fontId="1" type="noConversion"/>
  </si>
  <si>
    <t>생산부</t>
    <phoneticPr fontId="1" type="noConversion"/>
  </si>
  <si>
    <t>영업부</t>
    <phoneticPr fontId="1" type="noConversion"/>
  </si>
  <si>
    <t>관리부</t>
    <phoneticPr fontId="1" type="noConversion"/>
  </si>
  <si>
    <t>연구부</t>
    <phoneticPr fontId="1" type="noConversion"/>
  </si>
  <si>
    <t>사원별 연봉 계약</t>
    <phoneticPr fontId="1" type="noConversion"/>
  </si>
  <si>
    <t>사원명</t>
    <phoneticPr fontId="1" type="noConversion"/>
  </si>
  <si>
    <t>근무부서</t>
    <phoneticPr fontId="1" type="noConversion"/>
  </si>
  <si>
    <t>근무부서</t>
    <phoneticPr fontId="1" type="noConversion"/>
  </si>
  <si>
    <t>성과금</t>
    <phoneticPr fontId="1" type="noConversion"/>
  </si>
  <si>
    <t>업무부서</t>
    <phoneticPr fontId="1" type="noConversion"/>
  </si>
  <si>
    <t>생산부서</t>
  </si>
  <si>
    <t>연구팀</t>
  </si>
  <si>
    <t>영업부서</t>
  </si>
  <si>
    <t>관리부서</t>
  </si>
  <si>
    <t>생산부서</t>
    <phoneticPr fontId="1" type="noConversion"/>
  </si>
  <si>
    <t>관리부서</t>
    <phoneticPr fontId="1" type="noConversion"/>
  </si>
  <si>
    <t>*</t>
    <phoneticPr fontId="1" type="noConversion"/>
  </si>
  <si>
    <t>*</t>
    <phoneticPr fontId="1" type="noConversion"/>
  </si>
  <si>
    <t>*</t>
    <phoneticPr fontId="1" type="noConversion"/>
  </si>
  <si>
    <t>사원번호</t>
    <phoneticPr fontId="1" type="noConversion"/>
  </si>
  <si>
    <t>GH-81</t>
    <phoneticPr fontId="1" type="noConversion"/>
  </si>
  <si>
    <t>GC-99</t>
    <phoneticPr fontId="1" type="noConversion"/>
  </si>
  <si>
    <t>CH-33</t>
    <phoneticPr fontId="1" type="noConversion"/>
  </si>
  <si>
    <t>AB-52</t>
    <phoneticPr fontId="1" type="noConversion"/>
  </si>
  <si>
    <t>GC-15</t>
    <phoneticPr fontId="1" type="noConversion"/>
  </si>
  <si>
    <t>BA-85</t>
    <phoneticPr fontId="1" type="noConversion"/>
  </si>
  <si>
    <t>IA-73</t>
    <phoneticPr fontId="1" type="noConversion"/>
  </si>
  <si>
    <t>IB-86</t>
    <phoneticPr fontId="1" type="noConversion"/>
  </si>
  <si>
    <t>CE-55</t>
    <phoneticPr fontId="1" type="noConversion"/>
  </si>
  <si>
    <t>HI-34</t>
    <phoneticPr fontId="1" type="noConversion"/>
  </si>
  <si>
    <t>EK-21</t>
    <phoneticPr fontId="1" type="noConversion"/>
  </si>
  <si>
    <t>HO-90</t>
    <phoneticPr fontId="1" type="noConversion"/>
  </si>
  <si>
    <t>AB-80</t>
    <phoneticPr fontId="1" type="noConversion"/>
  </si>
  <si>
    <t>CD-67</t>
    <phoneticPr fontId="1" type="noConversion"/>
  </si>
  <si>
    <t>AK-63</t>
    <phoneticPr fontId="1" type="noConversion"/>
  </si>
  <si>
    <t>DF-93</t>
    <phoneticPr fontId="1" type="noConversion"/>
  </si>
  <si>
    <t>BC-18</t>
    <phoneticPr fontId="1" type="noConversion"/>
  </si>
  <si>
    <t>EE-88</t>
    <phoneticPr fontId="1" type="noConversion"/>
  </si>
  <si>
    <t>FK-81</t>
    <phoneticPr fontId="1" type="noConversion"/>
  </si>
  <si>
    <t>FG-80</t>
    <phoneticPr fontId="1" type="noConversion"/>
  </si>
  <si>
    <t>HD-75</t>
    <phoneticPr fontId="1" type="noConversion"/>
  </si>
  <si>
    <t>EF-35</t>
    <phoneticPr fontId="1" type="noConversion"/>
  </si>
  <si>
    <t>DG-77</t>
    <phoneticPr fontId="1" type="noConversion"/>
  </si>
  <si>
    <t>인천본사</t>
  </si>
  <si>
    <t>인천본사</t>
    <phoneticPr fontId="1" type="noConversion"/>
  </si>
  <si>
    <t>수당</t>
    <phoneticPr fontId="1" type="noConversion"/>
  </si>
  <si>
    <t>수당</t>
    <phoneticPr fontId="1" type="noConversion"/>
  </si>
  <si>
    <t>경기지사</t>
  </si>
  <si>
    <t>경기지사</t>
    <phoneticPr fontId="1" type="noConversion"/>
  </si>
  <si>
    <t>경기지사</t>
    <phoneticPr fontId="1" type="noConversion"/>
  </si>
  <si>
    <t>충청지사</t>
  </si>
  <si>
    <t>충청지사</t>
    <phoneticPr fontId="1" type="noConversion"/>
  </si>
  <si>
    <t>제주지사</t>
    <phoneticPr fontId="1" type="noConversion"/>
  </si>
  <si>
    <t>제주지사</t>
    <phoneticPr fontId="1" type="noConversion"/>
  </si>
  <si>
    <t>제주지사</t>
    <phoneticPr fontId="1" type="noConversion"/>
  </si>
  <si>
    <t>관리부서</t>
    <phoneticPr fontId="1" type="noConversion"/>
  </si>
  <si>
    <t>영업부서</t>
    <phoneticPr fontId="1" type="noConversion"/>
  </si>
  <si>
    <t>시간외수당</t>
    <phoneticPr fontId="1" type="noConversion"/>
  </si>
  <si>
    <t>기술부</t>
    <phoneticPr fontId="1" type="noConversion"/>
  </si>
  <si>
    <t>관리부</t>
    <phoneticPr fontId="1" type="noConversion"/>
  </si>
  <si>
    <t>기술부</t>
    <phoneticPr fontId="1" type="noConversion"/>
  </si>
  <si>
    <t>근무부서</t>
    <phoneticPr fontId="1" type="noConversion"/>
  </si>
  <si>
    <t>상여금</t>
    <phoneticPr fontId="1" type="noConversion"/>
  </si>
  <si>
    <t>복지비</t>
    <phoneticPr fontId="1" type="noConversion"/>
  </si>
  <si>
    <t>인사고과</t>
    <phoneticPr fontId="1" type="noConversion"/>
  </si>
  <si>
    <t>근무지</t>
    <phoneticPr fontId="1" type="noConversion"/>
  </si>
  <si>
    <t>근무지</t>
    <phoneticPr fontId="1" type="noConversion"/>
  </si>
  <si>
    <t>근무지</t>
    <phoneticPr fontId="1" type="noConversion"/>
  </si>
  <si>
    <t>근무지</t>
    <phoneticPr fontId="1" type="noConversion"/>
  </si>
  <si>
    <t>연봉계약금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</si>
</sst>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1" formatCode="_-* #,##0_-;\-* #,##0_-;_-* &quot;-&quot;_-;_-@_-"/>
    <numFmt numFmtId="176" formatCode="#,##0_);[Red]\(#,##0\)"/>
    <numFmt numFmtId="177" formatCode="@&quot;에서&quot;"/>
    <numFmt numFmtId="178" formatCode="@&quot;까지&quot;"/>
    <numFmt numFmtId="179" formatCode="mm&quot;월&quot;\ dd&quot;일&quot;"/>
    <numFmt numFmtId="180" formatCode="#,##0_ 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sz val="11"/>
      <name val="돋움"/>
      <family val="3"/>
      <charset val="129"/>
    </font>
    <font>
      <b/>
      <sz val="16"/>
      <name val="맑은 고딕"/>
      <family val="3"/>
      <charset val="129"/>
    </font>
    <font>
      <sz val="8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3" fillId="0" borderId="2" applyNumberFormat="0" applyFill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  <xf numFmtId="41" fontId="4" fillId="0" borderId="0" applyFont="0" applyFill="0" applyBorder="0" applyAlignment="0" applyProtection="0"/>
  </cellStyleXfs>
  <cellXfs count="2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76" fontId="0" fillId="0" borderId="1" xfId="1" applyNumberFormat="1" applyFont="1" applyBorder="1">
      <alignment vertical="center"/>
    </xf>
    <xf numFmtId="176" fontId="0" fillId="0" borderId="1" xfId="0" applyNumberFormat="1" applyBorder="1" applyAlignment="1">
      <alignment horizontal="center" vertical="center"/>
    </xf>
    <xf numFmtId="41" fontId="0" fillId="0" borderId="1" xfId="1" applyFont="1" applyBorder="1">
      <alignment vertical="center"/>
    </xf>
    <xf numFmtId="177" fontId="0" fillId="0" borderId="1" xfId="0" applyNumberFormat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9" fontId="0" fillId="0" borderId="1" xfId="3" applyFont="1" applyBorder="1">
      <alignment vertical="center"/>
    </xf>
    <xf numFmtId="0" fontId="0" fillId="0" borderId="0" xfId="0" applyAlignment="1">
      <alignment horizontal="center" vertical="center"/>
    </xf>
    <xf numFmtId="0" fontId="7" fillId="0" borderId="0" xfId="4" applyFont="1" applyAlignment="1">
      <alignment vertical="center"/>
    </xf>
    <xf numFmtId="0" fontId="7" fillId="0" borderId="1" xfId="4" applyFont="1" applyBorder="1" applyAlignment="1">
      <alignment horizontal="center" vertical="center"/>
    </xf>
    <xf numFmtId="0" fontId="7" fillId="0" borderId="1" xfId="4" applyFont="1" applyFill="1" applyBorder="1" applyAlignment="1">
      <alignment horizontal="center" vertical="center"/>
    </xf>
    <xf numFmtId="179" fontId="7" fillId="0" borderId="1" xfId="4" applyNumberFormat="1" applyFont="1" applyBorder="1" applyAlignment="1">
      <alignment horizontal="center" vertical="center"/>
    </xf>
    <xf numFmtId="41" fontId="7" fillId="0" borderId="1" xfId="1" applyFont="1" applyBorder="1" applyAlignment="1">
      <alignment vertical="center"/>
    </xf>
    <xf numFmtId="41" fontId="8" fillId="0" borderId="1" xfId="5" applyFont="1" applyBorder="1" applyAlignment="1">
      <alignment vertical="center"/>
    </xf>
    <xf numFmtId="41" fontId="0" fillId="0" borderId="1" xfId="0" applyNumberFormat="1" applyBorder="1">
      <alignment vertical="center"/>
    </xf>
    <xf numFmtId="0" fontId="0" fillId="0" borderId="1" xfId="0" applyFill="1" applyBorder="1" applyAlignment="1">
      <alignment horizontal="center" vertical="center"/>
    </xf>
    <xf numFmtId="176" fontId="0" fillId="0" borderId="3" xfId="1" applyNumberFormat="1" applyFont="1" applyFill="1" applyBorder="1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180" fontId="0" fillId="0" borderId="1" xfId="0" applyNumberFormat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7" fillId="0" borderId="1" xfId="4" applyFont="1" applyBorder="1" applyAlignment="1">
      <alignment horizontal="center" vertical="center"/>
    </xf>
    <xf numFmtId="9" fontId="7" fillId="0" borderId="1" xfId="4" applyNumberFormat="1" applyFont="1" applyBorder="1" applyAlignment="1">
      <alignment horizontal="center" vertical="center"/>
    </xf>
    <xf numFmtId="0" fontId="5" fillId="0" borderId="0" xfId="4" applyFont="1" applyAlignment="1">
      <alignment horizontal="center" vertical="center"/>
    </xf>
    <xf numFmtId="0" fontId="3" fillId="0" borderId="2" xfId="2" applyAlignment="1">
      <alignment horizontal="center" vertical="center"/>
    </xf>
  </cellXfs>
  <cellStyles count="6">
    <cellStyle name="백분율" xfId="3" builtinId="5"/>
    <cellStyle name="쉼표 [0]" xfId="1" builtinId="6"/>
    <cellStyle name="쉼표 [0] 2" xfId="5"/>
    <cellStyle name="제목 2" xfId="2" builtinId="17"/>
    <cellStyle name="표준" xfId="0" builtinId="0"/>
    <cellStyle name="표준 2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'기타작업-1'!$B$3</c:f>
              <c:strCache>
                <c:ptCount val="1"/>
                <c:pt idx="0">
                  <c:v>생산부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'기타작업-1'!$C$2:$E$2</c:f>
              <c:strCache>
                <c:ptCount val="3"/>
                <c:pt idx="0">
                  <c:v>상여금</c:v>
                </c:pt>
                <c:pt idx="1">
                  <c:v>복지비</c:v>
                </c:pt>
                <c:pt idx="2">
                  <c:v>교통비</c:v>
                </c:pt>
              </c:strCache>
            </c:strRef>
          </c:cat>
          <c:val>
            <c:numRef>
              <c:f>'기타작업-1'!$C$3:$E$3</c:f>
              <c:numCache>
                <c:formatCode>General</c:formatCode>
                <c:ptCount val="3"/>
                <c:pt idx="0">
                  <c:v>1390000</c:v>
                </c:pt>
                <c:pt idx="1">
                  <c:v>420000</c:v>
                </c:pt>
                <c:pt idx="2">
                  <c:v>570000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3-406F-859C-3AC0C18E22CA}"/>
            </c:ext>
          </c:extLst>
        </c:ser>
        <c:ser>
          <c:idx val="1"/>
          <c:order val="1"/>
          <c:tx>
            <c:strRef>
              <c:f>'기타작업-1'!$B$4</c:f>
              <c:strCache>
                <c:ptCount val="1"/>
                <c:pt idx="0">
                  <c:v>영업부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'기타작업-1'!$C$2:$E$2</c:f>
              <c:strCache>
                <c:ptCount val="3"/>
                <c:pt idx="0">
                  <c:v>상여금</c:v>
                </c:pt>
                <c:pt idx="1">
                  <c:v>복지비</c:v>
                </c:pt>
                <c:pt idx="2">
                  <c:v>교통비</c:v>
                </c:pt>
              </c:strCache>
            </c:strRef>
          </c:cat>
          <c:val>
            <c:numRef>
              <c:f>'기타작업-1'!$C$4:$E$4</c:f>
              <c:numCache>
                <c:formatCode>General</c:formatCode>
                <c:ptCount val="3"/>
                <c:pt idx="0">
                  <c:v>2500000</c:v>
                </c:pt>
                <c:pt idx="1">
                  <c:v>890000</c:v>
                </c:pt>
                <c:pt idx="2">
                  <c:v>740000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D3-406F-859C-3AC0C18E22CA}"/>
            </c:ext>
          </c:extLst>
        </c:ser>
        <c:ser>
          <c:idx val="2"/>
          <c:order val="2"/>
          <c:tx>
            <c:strRef>
              <c:f>'기타작업-1'!$B$5</c:f>
              <c:strCache>
                <c:ptCount val="1"/>
                <c:pt idx="0">
                  <c:v>관리부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'기타작업-1'!$C$2:$E$2</c:f>
              <c:strCache>
                <c:ptCount val="3"/>
                <c:pt idx="0">
                  <c:v>상여금</c:v>
                </c:pt>
                <c:pt idx="1">
                  <c:v>복지비</c:v>
                </c:pt>
                <c:pt idx="2">
                  <c:v>교통비</c:v>
                </c:pt>
              </c:strCache>
            </c:strRef>
          </c:cat>
          <c:val>
            <c:numRef>
              <c:f>'기타작업-1'!$C$5:$E$5</c:f>
              <c:numCache>
                <c:formatCode>General</c:formatCode>
                <c:ptCount val="3"/>
                <c:pt idx="0">
                  <c:v>1650000</c:v>
                </c:pt>
                <c:pt idx="1">
                  <c:v>560000</c:v>
                </c:pt>
                <c:pt idx="2">
                  <c:v>520000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0D3-406F-859C-3AC0C18E22CA}"/>
            </c:ext>
          </c:extLst>
        </c:ser>
        <c:ser>
          <c:idx val="3"/>
          <c:order val="3"/>
          <c:tx>
            <c:strRef>
              <c:f>'기타작업-1'!$B$6</c:f>
              <c:strCache>
                <c:ptCount val="1"/>
                <c:pt idx="0">
                  <c:v>기술부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'기타작업-1'!$C$2:$E$2</c:f>
              <c:strCache>
                <c:ptCount val="3"/>
                <c:pt idx="0">
                  <c:v>상여금</c:v>
                </c:pt>
                <c:pt idx="1">
                  <c:v>복지비</c:v>
                </c:pt>
                <c:pt idx="2">
                  <c:v>교통비</c:v>
                </c:pt>
              </c:strCache>
            </c:strRef>
          </c:cat>
          <c:val>
            <c:numRef>
              <c:f>'기타작업-1'!$C$6:$E$6</c:f>
              <c:numCache>
                <c:formatCode>General</c:formatCode>
                <c:ptCount val="3"/>
                <c:pt idx="0">
                  <c:v>1390000</c:v>
                </c:pt>
                <c:pt idx="1">
                  <c:v>390000</c:v>
                </c:pt>
                <c:pt idx="2">
                  <c:v>410000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0D3-406F-859C-3AC0C18E22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560011471"/>
        <c:axId val="1560008559"/>
        <c:axId val="0"/>
      </c:bar3DChart>
      <c:catAx>
        <c:axId val="15600114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60008559"/>
        <c:crosses val="autoZero"/>
        <c:auto val="1"/>
        <c:lblAlgn val="ctr"/>
        <c:lblOffset val="100"/>
        <c:noMultiLvlLbl val="0"/>
      </c:catAx>
      <c:valAx>
        <c:axId val="15600085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600114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696685</xdr:colOff>
      <xdr:row>7</xdr:row>
      <xdr:rowOff>0</xdr:rowOff>
    </xdr:from>
    <xdr:to>
      <xdr:col>8</xdr:col>
      <xdr:colOff>696684</xdr:colOff>
      <xdr:row>22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484414</xdr:colOff>
          <xdr:row>5</xdr:row>
          <xdr:rowOff>0</xdr:rowOff>
        </xdr:to>
        <xdr:sp macro="" textlink="">
          <xdr:nvSpPr>
            <xdr:cNvPr id="9217" name="cmd등록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I23"/>
  <sheetViews>
    <sheetView tabSelected="1" workbookViewId="0"/>
  </sheetViews>
  <sheetFormatPr defaultRowHeight="17.600000000000001"/>
  <cols>
    <col min="1" max="1" width="2.640625" customWidth="1"/>
    <col min="5" max="5" width="10.78515625" bestFit="1" customWidth="1"/>
    <col min="6" max="6" width="11.85546875" customWidth="1"/>
    <col min="7" max="7" width="11.7109375" bestFit="1" customWidth="1"/>
  </cols>
  <sheetData>
    <row r="2" spans="2:9">
      <c r="B2" s="1" t="s">
        <v>111</v>
      </c>
      <c r="C2" s="1" t="s">
        <v>160</v>
      </c>
      <c r="D2" s="1" t="s">
        <v>101</v>
      </c>
      <c r="E2" s="1" t="s">
        <v>88</v>
      </c>
      <c r="F2" s="1" t="s">
        <v>137</v>
      </c>
      <c r="G2" s="1" t="s">
        <v>1</v>
      </c>
      <c r="H2" s="1" t="s">
        <v>89</v>
      </c>
      <c r="I2" s="1" t="s">
        <v>90</v>
      </c>
    </row>
    <row r="3" spans="2:9">
      <c r="B3" s="1" t="s">
        <v>112</v>
      </c>
      <c r="C3" s="1" t="s">
        <v>142</v>
      </c>
      <c r="D3" s="1" t="s">
        <v>102</v>
      </c>
      <c r="E3" s="3">
        <v>2300000</v>
      </c>
      <c r="F3" s="3">
        <v>228000</v>
      </c>
      <c r="G3" s="4">
        <v>2</v>
      </c>
      <c r="H3" s="3">
        <v>90000</v>
      </c>
      <c r="I3" s="3">
        <v>100000</v>
      </c>
    </row>
    <row r="4" spans="2:9">
      <c r="B4" s="1" t="s">
        <v>113</v>
      </c>
      <c r="C4" s="1" t="s">
        <v>135</v>
      </c>
      <c r="D4" s="1" t="s">
        <v>148</v>
      </c>
      <c r="E4" s="3">
        <v>3300000</v>
      </c>
      <c r="F4" s="3">
        <v>460000</v>
      </c>
      <c r="G4" s="4">
        <v>3</v>
      </c>
      <c r="H4" s="3">
        <v>120000</v>
      </c>
      <c r="I4" s="3">
        <v>120000</v>
      </c>
    </row>
    <row r="5" spans="2:9">
      <c r="B5" s="1" t="s">
        <v>114</v>
      </c>
      <c r="C5" s="1" t="s">
        <v>146</v>
      </c>
      <c r="D5" s="1" t="s">
        <v>105</v>
      </c>
      <c r="E5" s="3">
        <v>3700000</v>
      </c>
      <c r="F5" s="3">
        <v>280000</v>
      </c>
      <c r="G5" s="4" t="s">
        <v>108</v>
      </c>
      <c r="H5" s="3">
        <v>90000</v>
      </c>
      <c r="I5" s="3">
        <v>60000</v>
      </c>
    </row>
    <row r="6" spans="2:9">
      <c r="B6" s="1" t="s">
        <v>115</v>
      </c>
      <c r="C6" s="1" t="s">
        <v>139</v>
      </c>
      <c r="D6" s="1" t="s">
        <v>104</v>
      </c>
      <c r="E6" s="3">
        <v>2300000</v>
      </c>
      <c r="F6" s="3">
        <v>240000</v>
      </c>
      <c r="G6" s="4">
        <v>4</v>
      </c>
      <c r="H6" s="3">
        <v>150000</v>
      </c>
      <c r="I6" s="3">
        <v>60000</v>
      </c>
    </row>
    <row r="7" spans="2:9">
      <c r="B7" s="1" t="s">
        <v>116</v>
      </c>
      <c r="C7" s="1" t="s">
        <v>135</v>
      </c>
      <c r="D7" s="1" t="s">
        <v>147</v>
      </c>
      <c r="E7" s="3">
        <v>2900000</v>
      </c>
      <c r="F7" s="3">
        <v>280000</v>
      </c>
      <c r="G7" s="4">
        <v>2</v>
      </c>
      <c r="H7" s="3">
        <v>60000</v>
      </c>
      <c r="I7" s="3">
        <v>130000</v>
      </c>
    </row>
    <row r="8" spans="2:9">
      <c r="B8" s="1" t="s">
        <v>117</v>
      </c>
      <c r="C8" s="1" t="s">
        <v>141</v>
      </c>
      <c r="D8" s="1" t="s">
        <v>103</v>
      </c>
      <c r="E8" s="3">
        <v>3600000</v>
      </c>
      <c r="F8" s="3">
        <v>200000</v>
      </c>
      <c r="G8" s="4" t="s">
        <v>108</v>
      </c>
      <c r="H8" s="3">
        <v>140000</v>
      </c>
      <c r="I8" s="3">
        <v>50000</v>
      </c>
    </row>
    <row r="9" spans="2:9">
      <c r="B9" s="1" t="s">
        <v>118</v>
      </c>
      <c r="C9" s="1" t="s">
        <v>142</v>
      </c>
      <c r="D9" s="1" t="s">
        <v>105</v>
      </c>
      <c r="E9" s="3">
        <v>2200000</v>
      </c>
      <c r="F9" s="3">
        <v>446000</v>
      </c>
      <c r="G9" s="4">
        <v>5</v>
      </c>
      <c r="H9" s="3">
        <v>100000</v>
      </c>
      <c r="I9" s="3">
        <v>50000</v>
      </c>
    </row>
    <row r="10" spans="2:9">
      <c r="B10" s="1" t="s">
        <v>119</v>
      </c>
      <c r="C10" s="1" t="s">
        <v>139</v>
      </c>
      <c r="D10" s="1" t="s">
        <v>102</v>
      </c>
      <c r="E10" s="3">
        <v>3600000</v>
      </c>
      <c r="F10" s="3">
        <v>228000</v>
      </c>
      <c r="G10" s="4">
        <v>2</v>
      </c>
      <c r="H10" s="3">
        <v>150000</v>
      </c>
      <c r="I10" s="3">
        <v>80000</v>
      </c>
    </row>
    <row r="11" spans="2:9">
      <c r="B11" s="1" t="s">
        <v>120</v>
      </c>
      <c r="C11" s="1" t="s">
        <v>142</v>
      </c>
      <c r="D11" s="1" t="s">
        <v>102</v>
      </c>
      <c r="E11" s="3">
        <v>2900000</v>
      </c>
      <c r="F11" s="3">
        <v>260000</v>
      </c>
      <c r="G11" s="4">
        <v>6</v>
      </c>
      <c r="H11" s="3">
        <v>90000</v>
      </c>
      <c r="I11" s="3">
        <v>70000</v>
      </c>
    </row>
    <row r="12" spans="2:9">
      <c r="B12" s="1" t="s">
        <v>121</v>
      </c>
      <c r="C12" s="1" t="s">
        <v>139</v>
      </c>
      <c r="D12" s="1" t="s">
        <v>103</v>
      </c>
      <c r="E12" s="3">
        <v>1600000</v>
      </c>
      <c r="F12" s="3">
        <v>246000</v>
      </c>
      <c r="G12" s="4" t="s">
        <v>108</v>
      </c>
      <c r="H12" s="3">
        <v>150000</v>
      </c>
      <c r="I12" s="3">
        <v>90000</v>
      </c>
    </row>
    <row r="13" spans="2:9">
      <c r="B13" s="1" t="s">
        <v>122</v>
      </c>
      <c r="C13" s="1" t="s">
        <v>142</v>
      </c>
      <c r="D13" s="1" t="s">
        <v>103</v>
      </c>
      <c r="E13" s="3">
        <v>2000000</v>
      </c>
      <c r="F13" s="3">
        <v>228000</v>
      </c>
      <c r="G13" s="4">
        <v>5</v>
      </c>
      <c r="H13" s="3">
        <v>70000</v>
      </c>
      <c r="I13" s="3">
        <v>50000</v>
      </c>
    </row>
    <row r="14" spans="2:9">
      <c r="B14" s="1" t="s">
        <v>123</v>
      </c>
      <c r="C14" s="1" t="s">
        <v>139</v>
      </c>
      <c r="D14" s="1" t="s">
        <v>103</v>
      </c>
      <c r="E14" s="3">
        <v>1700000</v>
      </c>
      <c r="F14" s="3">
        <v>440000</v>
      </c>
      <c r="G14" s="4">
        <v>3</v>
      </c>
      <c r="H14" s="3">
        <v>90000</v>
      </c>
      <c r="I14" s="3">
        <v>130000</v>
      </c>
    </row>
    <row r="15" spans="2:9">
      <c r="B15" s="1" t="s">
        <v>124</v>
      </c>
      <c r="C15" s="1" t="s">
        <v>139</v>
      </c>
      <c r="D15" s="1" t="s">
        <v>102</v>
      </c>
      <c r="E15" s="3">
        <v>3600000</v>
      </c>
      <c r="F15" s="3">
        <v>428000</v>
      </c>
      <c r="G15" s="4">
        <v>2</v>
      </c>
      <c r="H15" s="3">
        <v>90000</v>
      </c>
      <c r="I15" s="18">
        <v>110000</v>
      </c>
    </row>
    <row r="16" spans="2:9">
      <c r="B16" s="1" t="s">
        <v>125</v>
      </c>
      <c r="C16" s="1" t="s">
        <v>139</v>
      </c>
      <c r="D16" s="1" t="s">
        <v>104</v>
      </c>
      <c r="E16" s="3">
        <v>1600000</v>
      </c>
      <c r="F16" s="3">
        <v>228000</v>
      </c>
      <c r="G16" s="4" t="s">
        <v>108</v>
      </c>
      <c r="H16" s="3">
        <v>90000</v>
      </c>
      <c r="I16" s="3">
        <v>120000</v>
      </c>
    </row>
    <row r="17" spans="2:9">
      <c r="B17" s="1" t="s">
        <v>126</v>
      </c>
      <c r="C17" s="1" t="s">
        <v>145</v>
      </c>
      <c r="D17" s="1" t="s">
        <v>103</v>
      </c>
      <c r="E17" s="3">
        <v>3300000</v>
      </c>
      <c r="F17" s="3">
        <v>220000</v>
      </c>
      <c r="G17" s="4">
        <v>8</v>
      </c>
      <c r="H17" s="3">
        <v>150000</v>
      </c>
      <c r="I17" s="3">
        <v>130000</v>
      </c>
    </row>
    <row r="18" spans="2:9">
      <c r="B18" s="1" t="s">
        <v>127</v>
      </c>
      <c r="C18" s="1" t="s">
        <v>139</v>
      </c>
      <c r="D18" s="1" t="s">
        <v>105</v>
      </c>
      <c r="E18" s="3">
        <v>2500000</v>
      </c>
      <c r="F18" s="3">
        <v>200000</v>
      </c>
      <c r="G18" s="4">
        <v>7</v>
      </c>
      <c r="H18" s="3">
        <v>60000</v>
      </c>
      <c r="I18" s="3">
        <v>100000</v>
      </c>
    </row>
    <row r="19" spans="2:9">
      <c r="B19" s="1" t="s">
        <v>128</v>
      </c>
      <c r="C19" s="1" t="s">
        <v>135</v>
      </c>
      <c r="D19" s="1" t="s">
        <v>104</v>
      </c>
      <c r="E19" s="3">
        <v>1900000</v>
      </c>
      <c r="F19" s="3">
        <v>270000</v>
      </c>
      <c r="G19" s="4" t="s">
        <v>109</v>
      </c>
      <c r="H19" s="3">
        <v>100000</v>
      </c>
      <c r="I19" s="3">
        <v>100000</v>
      </c>
    </row>
    <row r="20" spans="2:9">
      <c r="B20" s="1" t="s">
        <v>129</v>
      </c>
      <c r="C20" s="1" t="s">
        <v>135</v>
      </c>
      <c r="D20" s="1" t="s">
        <v>104</v>
      </c>
      <c r="E20" s="3">
        <v>2800000</v>
      </c>
      <c r="F20" s="3">
        <v>420000</v>
      </c>
      <c r="G20" s="4">
        <v>3</v>
      </c>
      <c r="H20" s="3">
        <v>150000</v>
      </c>
      <c r="I20" s="3">
        <v>60000</v>
      </c>
    </row>
    <row r="21" spans="2:9">
      <c r="B21" s="1" t="s">
        <v>130</v>
      </c>
      <c r="C21" s="1" t="s">
        <v>142</v>
      </c>
      <c r="D21" s="1" t="s">
        <v>103</v>
      </c>
      <c r="E21" s="3">
        <v>2900000</v>
      </c>
      <c r="F21" s="3">
        <v>380000</v>
      </c>
      <c r="G21" s="4">
        <v>6</v>
      </c>
      <c r="H21" s="3">
        <v>90000</v>
      </c>
      <c r="I21" s="3">
        <v>140000</v>
      </c>
    </row>
    <row r="22" spans="2:9">
      <c r="B22" s="1" t="s">
        <v>131</v>
      </c>
      <c r="C22" s="1" t="s">
        <v>142</v>
      </c>
      <c r="D22" s="1" t="s">
        <v>103</v>
      </c>
      <c r="E22" s="3">
        <v>2900000</v>
      </c>
      <c r="F22" s="3">
        <v>370000</v>
      </c>
      <c r="G22" s="4">
        <v>2</v>
      </c>
      <c r="H22" s="3">
        <v>150000</v>
      </c>
      <c r="I22" s="3">
        <v>130000</v>
      </c>
    </row>
    <row r="23" spans="2:9">
      <c r="B23" s="1" t="s">
        <v>132</v>
      </c>
      <c r="C23" s="1" t="s">
        <v>135</v>
      </c>
      <c r="D23" s="1" t="s">
        <v>102</v>
      </c>
      <c r="E23" s="3">
        <v>2400000</v>
      </c>
      <c r="F23" s="3">
        <v>420000</v>
      </c>
      <c r="G23" s="4">
        <v>4</v>
      </c>
      <c r="H23" s="3">
        <v>100000</v>
      </c>
      <c r="I23" s="3">
        <v>120000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0"/>
  <sheetViews>
    <sheetView workbookViewId="0"/>
  </sheetViews>
  <sheetFormatPr defaultRowHeight="17.600000000000001"/>
  <cols>
    <col min="4" max="4" width="9.5703125" bestFit="1" customWidth="1"/>
    <col min="6" max="6" width="10.5" bestFit="1" customWidth="1"/>
  </cols>
  <sheetData>
    <row r="1" spans="1:8">
      <c r="A1" t="s">
        <v>19</v>
      </c>
    </row>
    <row r="2" spans="1:8">
      <c r="A2" s="1" t="s">
        <v>111</v>
      </c>
      <c r="B2" s="1" t="s">
        <v>160</v>
      </c>
      <c r="C2" s="1" t="s">
        <v>101</v>
      </c>
      <c r="D2" s="1" t="s">
        <v>88</v>
      </c>
      <c r="E2" s="1" t="s">
        <v>137</v>
      </c>
      <c r="F2" s="1" t="s">
        <v>1</v>
      </c>
      <c r="G2" s="1" t="s">
        <v>89</v>
      </c>
      <c r="H2" s="1" t="s">
        <v>90</v>
      </c>
    </row>
    <row r="3" spans="1:8">
      <c r="A3" s="1" t="s">
        <v>112</v>
      </c>
      <c r="B3" s="1" t="s">
        <v>142</v>
      </c>
      <c r="C3" s="1" t="s">
        <v>102</v>
      </c>
      <c r="D3" s="3">
        <v>2300000</v>
      </c>
      <c r="E3" s="3">
        <v>228000</v>
      </c>
      <c r="F3" s="4">
        <v>2</v>
      </c>
      <c r="G3" s="3">
        <v>90000</v>
      </c>
      <c r="H3" s="3">
        <v>100000</v>
      </c>
    </row>
    <row r="4" spans="1:8">
      <c r="A4" s="1" t="s">
        <v>113</v>
      </c>
      <c r="B4" s="1" t="s">
        <v>135</v>
      </c>
      <c r="C4" s="1" t="s">
        <v>148</v>
      </c>
      <c r="D4" s="3">
        <v>3300000</v>
      </c>
      <c r="E4" s="3">
        <v>460000</v>
      </c>
      <c r="F4" s="4">
        <v>3</v>
      </c>
      <c r="G4" s="3">
        <v>120000</v>
      </c>
      <c r="H4" s="3">
        <v>120000</v>
      </c>
    </row>
    <row r="5" spans="1:8">
      <c r="A5" s="1" t="s">
        <v>114</v>
      </c>
      <c r="B5" s="1" t="s">
        <v>146</v>
      </c>
      <c r="C5" s="1" t="s">
        <v>105</v>
      </c>
      <c r="D5" s="3">
        <v>3700000</v>
      </c>
      <c r="E5" s="3">
        <v>280000</v>
      </c>
      <c r="F5" s="4" t="s">
        <v>108</v>
      </c>
      <c r="G5" s="3">
        <v>90000</v>
      </c>
      <c r="H5" s="3">
        <v>60000</v>
      </c>
    </row>
    <row r="6" spans="1:8">
      <c r="A6" s="1" t="s">
        <v>115</v>
      </c>
      <c r="B6" s="1" t="s">
        <v>139</v>
      </c>
      <c r="C6" s="1" t="s">
        <v>104</v>
      </c>
      <c r="D6" s="3">
        <v>2300000</v>
      </c>
      <c r="E6" s="3">
        <v>240000</v>
      </c>
      <c r="F6" s="4">
        <v>4</v>
      </c>
      <c r="G6" s="3">
        <v>150000</v>
      </c>
      <c r="H6" s="3">
        <v>60000</v>
      </c>
    </row>
    <row r="7" spans="1:8">
      <c r="A7" s="1" t="s">
        <v>116</v>
      </c>
      <c r="B7" s="1" t="s">
        <v>135</v>
      </c>
      <c r="C7" s="1" t="s">
        <v>147</v>
      </c>
      <c r="D7" s="3">
        <v>2900000</v>
      </c>
      <c r="E7" s="3">
        <v>280000</v>
      </c>
      <c r="F7" s="4">
        <v>2</v>
      </c>
      <c r="G7" s="3">
        <v>60000</v>
      </c>
      <c r="H7" s="3">
        <v>130000</v>
      </c>
    </row>
    <row r="8" spans="1:8">
      <c r="A8" s="1" t="s">
        <v>117</v>
      </c>
      <c r="B8" s="1" t="s">
        <v>141</v>
      </c>
      <c r="C8" s="1" t="s">
        <v>103</v>
      </c>
      <c r="D8" s="3">
        <v>3600000</v>
      </c>
      <c r="E8" s="3">
        <v>200000</v>
      </c>
      <c r="F8" s="4" t="s">
        <v>108</v>
      </c>
      <c r="G8" s="3">
        <v>140000</v>
      </c>
      <c r="H8" s="3">
        <v>50000</v>
      </c>
    </row>
    <row r="9" spans="1:8">
      <c r="A9" s="1" t="s">
        <v>118</v>
      </c>
      <c r="B9" s="1" t="s">
        <v>142</v>
      </c>
      <c r="C9" s="1" t="s">
        <v>105</v>
      </c>
      <c r="D9" s="3">
        <v>2200000</v>
      </c>
      <c r="E9" s="3">
        <v>446000</v>
      </c>
      <c r="F9" s="4">
        <v>5</v>
      </c>
      <c r="G9" s="3">
        <v>100000</v>
      </c>
      <c r="H9" s="3">
        <v>50000</v>
      </c>
    </row>
    <row r="10" spans="1:8">
      <c r="A10" s="1" t="s">
        <v>119</v>
      </c>
      <c r="B10" s="1" t="s">
        <v>139</v>
      </c>
      <c r="C10" s="1" t="s">
        <v>102</v>
      </c>
      <c r="D10" s="3">
        <v>3600000</v>
      </c>
      <c r="E10" s="3">
        <v>228000</v>
      </c>
      <c r="F10" s="4">
        <v>2</v>
      </c>
      <c r="G10" s="3">
        <v>150000</v>
      </c>
      <c r="H10" s="3">
        <v>80000</v>
      </c>
    </row>
    <row r="11" spans="1:8">
      <c r="A11" s="1" t="s">
        <v>120</v>
      </c>
      <c r="B11" s="1" t="s">
        <v>142</v>
      </c>
      <c r="C11" s="1" t="s">
        <v>102</v>
      </c>
      <c r="D11" s="3">
        <v>2900000</v>
      </c>
      <c r="E11" s="3">
        <v>260000</v>
      </c>
      <c r="F11" s="4">
        <v>6</v>
      </c>
      <c r="G11" s="3">
        <v>90000</v>
      </c>
      <c r="H11" s="3">
        <v>70000</v>
      </c>
    </row>
    <row r="12" spans="1:8">
      <c r="A12" s="1" t="s">
        <v>121</v>
      </c>
      <c r="B12" s="1" t="s">
        <v>139</v>
      </c>
      <c r="C12" s="1" t="s">
        <v>103</v>
      </c>
      <c r="D12" s="3">
        <v>1600000</v>
      </c>
      <c r="E12" s="3">
        <v>246000</v>
      </c>
      <c r="F12" s="4" t="s">
        <v>108</v>
      </c>
      <c r="G12" s="3">
        <v>150000</v>
      </c>
      <c r="H12" s="3">
        <v>90000</v>
      </c>
    </row>
    <row r="13" spans="1:8">
      <c r="A13" s="1" t="s">
        <v>122</v>
      </c>
      <c r="B13" s="1" t="s">
        <v>142</v>
      </c>
      <c r="C13" s="1" t="s">
        <v>103</v>
      </c>
      <c r="D13" s="3">
        <v>2000000</v>
      </c>
      <c r="E13" s="3">
        <v>228000</v>
      </c>
      <c r="F13" s="4">
        <v>5</v>
      </c>
      <c r="G13" s="3">
        <v>70000</v>
      </c>
      <c r="H13" s="3">
        <v>50000</v>
      </c>
    </row>
    <row r="14" spans="1:8">
      <c r="A14" s="1" t="s">
        <v>123</v>
      </c>
      <c r="B14" s="1" t="s">
        <v>139</v>
      </c>
      <c r="C14" s="1" t="s">
        <v>103</v>
      </c>
      <c r="D14" s="3">
        <v>1700000</v>
      </c>
      <c r="E14" s="3">
        <v>440000</v>
      </c>
      <c r="F14" s="4">
        <v>3</v>
      </c>
      <c r="G14" s="3">
        <v>90000</v>
      </c>
      <c r="H14" s="3">
        <v>130000</v>
      </c>
    </row>
    <row r="15" spans="1:8">
      <c r="A15" s="1" t="s">
        <v>124</v>
      </c>
      <c r="B15" s="1" t="s">
        <v>139</v>
      </c>
      <c r="C15" s="1" t="s">
        <v>102</v>
      </c>
      <c r="D15" s="3">
        <v>3600000</v>
      </c>
      <c r="E15" s="3">
        <v>428000</v>
      </c>
      <c r="F15" s="4">
        <v>2</v>
      </c>
      <c r="G15" s="3">
        <v>90000</v>
      </c>
      <c r="H15" s="18">
        <v>110000</v>
      </c>
    </row>
    <row r="16" spans="1:8">
      <c r="A16" s="1" t="s">
        <v>125</v>
      </c>
      <c r="B16" s="1" t="s">
        <v>139</v>
      </c>
      <c r="C16" s="1" t="s">
        <v>104</v>
      </c>
      <c r="D16" s="3">
        <v>1600000</v>
      </c>
      <c r="E16" s="3">
        <v>228000</v>
      </c>
      <c r="F16" s="4" t="s">
        <v>108</v>
      </c>
      <c r="G16" s="3">
        <v>90000</v>
      </c>
      <c r="H16" s="3">
        <v>120000</v>
      </c>
    </row>
    <row r="17" spans="1:8">
      <c r="A17" s="1" t="s">
        <v>126</v>
      </c>
      <c r="B17" s="1" t="s">
        <v>145</v>
      </c>
      <c r="C17" s="1" t="s">
        <v>103</v>
      </c>
      <c r="D17" s="3">
        <v>3300000</v>
      </c>
      <c r="E17" s="3">
        <v>220000</v>
      </c>
      <c r="F17" s="4">
        <v>8</v>
      </c>
      <c r="G17" s="3">
        <v>150000</v>
      </c>
      <c r="H17" s="3">
        <v>130000</v>
      </c>
    </row>
    <row r="18" spans="1:8">
      <c r="A18" s="1" t="s">
        <v>127</v>
      </c>
      <c r="B18" s="1" t="s">
        <v>139</v>
      </c>
      <c r="C18" s="1" t="s">
        <v>105</v>
      </c>
      <c r="D18" s="3">
        <v>2500000</v>
      </c>
      <c r="E18" s="3">
        <v>200000</v>
      </c>
      <c r="F18" s="4">
        <v>7</v>
      </c>
      <c r="G18" s="3">
        <v>60000</v>
      </c>
      <c r="H18" s="3">
        <v>100000</v>
      </c>
    </row>
    <row r="19" spans="1:8">
      <c r="A19" s="1" t="s">
        <v>128</v>
      </c>
      <c r="B19" s="1" t="s">
        <v>135</v>
      </c>
      <c r="C19" s="1" t="s">
        <v>104</v>
      </c>
      <c r="D19" s="3">
        <v>1900000</v>
      </c>
      <c r="E19" s="3">
        <v>270000</v>
      </c>
      <c r="F19" s="4" t="s">
        <v>109</v>
      </c>
      <c r="G19" s="3">
        <v>100000</v>
      </c>
      <c r="H19" s="3">
        <v>100000</v>
      </c>
    </row>
    <row r="20" spans="1:8">
      <c r="A20" s="1" t="s">
        <v>129</v>
      </c>
      <c r="B20" s="1" t="s">
        <v>135</v>
      </c>
      <c r="C20" s="1" t="s">
        <v>104</v>
      </c>
      <c r="D20" s="3">
        <v>2800000</v>
      </c>
      <c r="E20" s="3">
        <v>420000</v>
      </c>
      <c r="F20" s="4">
        <v>3</v>
      </c>
      <c r="G20" s="3">
        <v>150000</v>
      </c>
      <c r="H20" s="3">
        <v>60000</v>
      </c>
    </row>
  </sheetData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39"/>
  <sheetViews>
    <sheetView workbookViewId="0"/>
  </sheetViews>
  <sheetFormatPr defaultRowHeight="17.600000000000001"/>
  <cols>
    <col min="1" max="1" width="9.92578125" customWidth="1"/>
    <col min="2" max="2" width="12.7109375" customWidth="1"/>
    <col min="3" max="3" width="13.0703125" customWidth="1"/>
    <col min="4" max="4" width="10.5703125" customWidth="1"/>
    <col min="5" max="5" width="11.0703125" customWidth="1"/>
    <col min="6" max="7" width="12" customWidth="1"/>
    <col min="8" max="8" width="11.92578125" customWidth="1"/>
    <col min="9" max="9" width="12.35546875" customWidth="1"/>
    <col min="10" max="10" width="12.0703125" customWidth="1"/>
  </cols>
  <sheetData>
    <row r="1" spans="1:10">
      <c r="A1" t="s">
        <v>0</v>
      </c>
    </row>
    <row r="2" spans="1:10">
      <c r="A2" s="1" t="s">
        <v>111</v>
      </c>
      <c r="B2" s="1" t="s">
        <v>157</v>
      </c>
      <c r="C2" s="1" t="s">
        <v>101</v>
      </c>
      <c r="D2" s="1" t="s">
        <v>88</v>
      </c>
      <c r="E2" s="1" t="s">
        <v>137</v>
      </c>
      <c r="F2" s="1" t="s">
        <v>1</v>
      </c>
      <c r="G2" s="1" t="s">
        <v>89</v>
      </c>
      <c r="H2" s="1" t="s">
        <v>90</v>
      </c>
      <c r="I2" s="20" t="s">
        <v>149</v>
      </c>
      <c r="J2" s="20" t="s">
        <v>2</v>
      </c>
    </row>
    <row r="3" spans="1:10">
      <c r="A3" s="1" t="s">
        <v>112</v>
      </c>
      <c r="B3" s="1" t="s">
        <v>142</v>
      </c>
      <c r="C3" s="1" t="s">
        <v>102</v>
      </c>
      <c r="D3" s="3">
        <v>2300000</v>
      </c>
      <c r="E3" s="3">
        <v>228000</v>
      </c>
      <c r="F3" s="4">
        <v>2</v>
      </c>
      <c r="G3" s="3">
        <v>90000</v>
      </c>
      <c r="H3" s="3">
        <v>100000</v>
      </c>
      <c r="I3" s="3"/>
      <c r="J3" s="5"/>
    </row>
    <row r="4" spans="1:10">
      <c r="A4" s="1" t="s">
        <v>113</v>
      </c>
      <c r="B4" s="1" t="s">
        <v>135</v>
      </c>
      <c r="C4" s="1" t="s">
        <v>148</v>
      </c>
      <c r="D4" s="3">
        <v>3300000</v>
      </c>
      <c r="E4" s="3">
        <v>460000</v>
      </c>
      <c r="F4" s="4">
        <v>3</v>
      </c>
      <c r="G4" s="3">
        <v>120000</v>
      </c>
      <c r="H4" s="3">
        <v>120000</v>
      </c>
      <c r="I4" s="3"/>
      <c r="J4" s="5"/>
    </row>
    <row r="5" spans="1:10">
      <c r="A5" s="1" t="s">
        <v>114</v>
      </c>
      <c r="B5" s="1" t="s">
        <v>146</v>
      </c>
      <c r="C5" s="1" t="s">
        <v>105</v>
      </c>
      <c r="D5" s="3">
        <v>3700000</v>
      </c>
      <c r="E5" s="3">
        <v>280000</v>
      </c>
      <c r="F5" s="4" t="s">
        <v>108</v>
      </c>
      <c r="G5" s="3">
        <v>90000</v>
      </c>
      <c r="H5" s="3">
        <v>60000</v>
      </c>
      <c r="I5" s="3"/>
      <c r="J5" s="5"/>
    </row>
    <row r="6" spans="1:10">
      <c r="A6" s="1" t="s">
        <v>115</v>
      </c>
      <c r="B6" s="1" t="s">
        <v>139</v>
      </c>
      <c r="C6" s="1" t="s">
        <v>104</v>
      </c>
      <c r="D6" s="3">
        <v>2300000</v>
      </c>
      <c r="E6" s="3">
        <v>240000</v>
      </c>
      <c r="F6" s="4">
        <v>4</v>
      </c>
      <c r="G6" s="3">
        <v>150000</v>
      </c>
      <c r="H6" s="3">
        <v>60000</v>
      </c>
      <c r="I6" s="3"/>
      <c r="J6" s="5"/>
    </row>
    <row r="7" spans="1:10">
      <c r="A7" s="1" t="s">
        <v>116</v>
      </c>
      <c r="B7" s="1" t="s">
        <v>135</v>
      </c>
      <c r="C7" s="1" t="s">
        <v>147</v>
      </c>
      <c r="D7" s="3">
        <v>2900000</v>
      </c>
      <c r="E7" s="3">
        <v>280000</v>
      </c>
      <c r="F7" s="4">
        <v>2</v>
      </c>
      <c r="G7" s="3">
        <v>60000</v>
      </c>
      <c r="H7" s="3">
        <v>130000</v>
      </c>
      <c r="I7" s="3"/>
      <c r="J7" s="5"/>
    </row>
    <row r="8" spans="1:10">
      <c r="A8" s="1" t="s">
        <v>117</v>
      </c>
      <c r="B8" s="1" t="s">
        <v>141</v>
      </c>
      <c r="C8" s="1" t="s">
        <v>103</v>
      </c>
      <c r="D8" s="3">
        <v>3600000</v>
      </c>
      <c r="E8" s="3">
        <v>200000</v>
      </c>
      <c r="F8" s="4" t="s">
        <v>108</v>
      </c>
      <c r="G8" s="3">
        <v>140000</v>
      </c>
      <c r="H8" s="3">
        <v>50000</v>
      </c>
      <c r="I8" s="3"/>
      <c r="J8" s="5"/>
    </row>
    <row r="9" spans="1:10">
      <c r="A9" s="1" t="s">
        <v>118</v>
      </c>
      <c r="B9" s="1" t="s">
        <v>142</v>
      </c>
      <c r="C9" s="1" t="s">
        <v>105</v>
      </c>
      <c r="D9" s="3">
        <v>2200000</v>
      </c>
      <c r="E9" s="3">
        <v>446000</v>
      </c>
      <c r="F9" s="4">
        <v>5</v>
      </c>
      <c r="G9" s="3">
        <v>100000</v>
      </c>
      <c r="H9" s="3">
        <v>50000</v>
      </c>
      <c r="I9" s="3"/>
      <c r="J9" s="5"/>
    </row>
    <row r="10" spans="1:10">
      <c r="A10" s="1" t="s">
        <v>119</v>
      </c>
      <c r="B10" s="1" t="s">
        <v>139</v>
      </c>
      <c r="C10" s="1" t="s">
        <v>102</v>
      </c>
      <c r="D10" s="3">
        <v>3600000</v>
      </c>
      <c r="E10" s="3">
        <v>228000</v>
      </c>
      <c r="F10" s="4">
        <v>2</v>
      </c>
      <c r="G10" s="3">
        <v>150000</v>
      </c>
      <c r="H10" s="3">
        <v>80000</v>
      </c>
      <c r="I10" s="3"/>
      <c r="J10" s="5"/>
    </row>
    <row r="11" spans="1:10">
      <c r="A11" s="1" t="s">
        <v>120</v>
      </c>
      <c r="B11" s="1" t="s">
        <v>142</v>
      </c>
      <c r="C11" s="1" t="s">
        <v>102</v>
      </c>
      <c r="D11" s="3">
        <v>2900000</v>
      </c>
      <c r="E11" s="3">
        <v>260000</v>
      </c>
      <c r="F11" s="4">
        <v>6</v>
      </c>
      <c r="G11" s="3">
        <v>90000</v>
      </c>
      <c r="H11" s="3">
        <v>70000</v>
      </c>
      <c r="I11" s="3"/>
      <c r="J11" s="5"/>
    </row>
    <row r="12" spans="1:10">
      <c r="A12" s="1" t="s">
        <v>121</v>
      </c>
      <c r="B12" s="1" t="s">
        <v>139</v>
      </c>
      <c r="C12" s="1" t="s">
        <v>103</v>
      </c>
      <c r="D12" s="3">
        <v>1600000</v>
      </c>
      <c r="E12" s="3">
        <v>246000</v>
      </c>
      <c r="F12" s="4" t="s">
        <v>108</v>
      </c>
      <c r="G12" s="3">
        <v>150000</v>
      </c>
      <c r="H12" s="3">
        <v>90000</v>
      </c>
      <c r="I12" s="3"/>
      <c r="J12" s="5"/>
    </row>
    <row r="13" spans="1:10">
      <c r="A13" s="1" t="s">
        <v>122</v>
      </c>
      <c r="B13" s="1" t="s">
        <v>142</v>
      </c>
      <c r="C13" s="1" t="s">
        <v>103</v>
      </c>
      <c r="D13" s="3">
        <v>2000000</v>
      </c>
      <c r="E13" s="3">
        <v>228000</v>
      </c>
      <c r="F13" s="4">
        <v>5</v>
      </c>
      <c r="G13" s="3">
        <v>70000</v>
      </c>
      <c r="H13" s="3">
        <v>50000</v>
      </c>
      <c r="I13" s="3"/>
      <c r="J13" s="5"/>
    </row>
    <row r="14" spans="1:10">
      <c r="A14" s="1" t="s">
        <v>123</v>
      </c>
      <c r="B14" s="1" t="s">
        <v>139</v>
      </c>
      <c r="C14" s="1" t="s">
        <v>103</v>
      </c>
      <c r="D14" s="3">
        <v>1700000</v>
      </c>
      <c r="E14" s="3">
        <v>440000</v>
      </c>
      <c r="F14" s="4">
        <v>3</v>
      </c>
      <c r="G14" s="3">
        <v>90000</v>
      </c>
      <c r="H14" s="3">
        <v>130000</v>
      </c>
      <c r="I14" s="3"/>
      <c r="J14" s="5"/>
    </row>
    <row r="15" spans="1:10">
      <c r="A15" s="1" t="s">
        <v>124</v>
      </c>
      <c r="B15" s="1" t="s">
        <v>139</v>
      </c>
      <c r="C15" s="1" t="s">
        <v>102</v>
      </c>
      <c r="D15" s="3">
        <v>3600000</v>
      </c>
      <c r="E15" s="3">
        <v>428000</v>
      </c>
      <c r="F15" s="4">
        <v>2</v>
      </c>
      <c r="G15" s="3">
        <v>90000</v>
      </c>
      <c r="H15" s="18">
        <v>110000</v>
      </c>
      <c r="I15" s="3"/>
      <c r="J15" s="5"/>
    </row>
    <row r="16" spans="1:10">
      <c r="A16" s="1" t="s">
        <v>125</v>
      </c>
      <c r="B16" s="1" t="s">
        <v>139</v>
      </c>
      <c r="C16" s="1" t="s">
        <v>104</v>
      </c>
      <c r="D16" s="3">
        <v>1600000</v>
      </c>
      <c r="E16" s="3">
        <v>228000</v>
      </c>
      <c r="F16" s="4" t="s">
        <v>108</v>
      </c>
      <c r="G16" s="3">
        <v>90000</v>
      </c>
      <c r="H16" s="3">
        <v>120000</v>
      </c>
      <c r="I16" s="3"/>
      <c r="J16" s="5"/>
    </row>
    <row r="17" spans="1:10">
      <c r="A17" s="1" t="s">
        <v>126</v>
      </c>
      <c r="B17" s="1" t="s">
        <v>145</v>
      </c>
      <c r="C17" s="1" t="s">
        <v>103</v>
      </c>
      <c r="D17" s="3">
        <v>3300000</v>
      </c>
      <c r="E17" s="3">
        <v>220000</v>
      </c>
      <c r="F17" s="4">
        <v>8</v>
      </c>
      <c r="G17" s="3">
        <v>150000</v>
      </c>
      <c r="H17" s="3">
        <v>90000</v>
      </c>
      <c r="I17" s="3"/>
      <c r="J17" s="5"/>
    </row>
    <row r="18" spans="1:10">
      <c r="A18" s="1" t="s">
        <v>127</v>
      </c>
      <c r="B18" s="1" t="s">
        <v>139</v>
      </c>
      <c r="C18" s="1" t="s">
        <v>105</v>
      </c>
      <c r="D18" s="3">
        <v>2500000</v>
      </c>
      <c r="E18" s="3">
        <v>200000</v>
      </c>
      <c r="F18" s="4">
        <v>7</v>
      </c>
      <c r="G18" s="3">
        <v>60000</v>
      </c>
      <c r="H18" s="3">
        <v>100000</v>
      </c>
      <c r="I18" s="3"/>
      <c r="J18" s="5"/>
    </row>
    <row r="19" spans="1:10">
      <c r="A19" s="1" t="s">
        <v>128</v>
      </c>
      <c r="B19" s="1" t="s">
        <v>135</v>
      </c>
      <c r="C19" s="1" t="s">
        <v>104</v>
      </c>
      <c r="D19" s="3">
        <v>1900000</v>
      </c>
      <c r="E19" s="3">
        <v>270000</v>
      </c>
      <c r="F19" s="4" t="s">
        <v>109</v>
      </c>
      <c r="G19" s="3">
        <v>100000</v>
      </c>
      <c r="H19" s="3">
        <v>100000</v>
      </c>
      <c r="I19" s="3"/>
      <c r="J19" s="5"/>
    </row>
    <row r="20" spans="1:10">
      <c r="A20" s="1" t="s">
        <v>129</v>
      </c>
      <c r="B20" s="1" t="s">
        <v>135</v>
      </c>
      <c r="C20" s="1" t="s">
        <v>104</v>
      </c>
      <c r="D20" s="3">
        <v>2800000</v>
      </c>
      <c r="E20" s="3">
        <v>420000</v>
      </c>
      <c r="F20" s="4">
        <v>3</v>
      </c>
      <c r="G20" s="3">
        <v>150000</v>
      </c>
      <c r="H20" s="3">
        <v>60000</v>
      </c>
      <c r="I20" s="3"/>
      <c r="J20" s="5"/>
    </row>
    <row r="21" spans="1:10">
      <c r="A21" s="1" t="s">
        <v>130</v>
      </c>
      <c r="B21" s="1" t="s">
        <v>142</v>
      </c>
      <c r="C21" s="1" t="s">
        <v>103</v>
      </c>
      <c r="D21" s="3">
        <v>2900000</v>
      </c>
      <c r="E21" s="3">
        <v>380000</v>
      </c>
      <c r="F21" s="4">
        <v>6</v>
      </c>
      <c r="G21" s="3">
        <v>90000</v>
      </c>
      <c r="H21" s="3">
        <v>90000</v>
      </c>
      <c r="I21" s="3"/>
      <c r="J21" s="5"/>
    </row>
    <row r="22" spans="1:10">
      <c r="A22" s="1" t="s">
        <v>131</v>
      </c>
      <c r="B22" s="1" t="s">
        <v>142</v>
      </c>
      <c r="C22" s="1" t="s">
        <v>103</v>
      </c>
      <c r="D22" s="3">
        <v>2900000</v>
      </c>
      <c r="E22" s="3">
        <v>370000</v>
      </c>
      <c r="F22" s="4">
        <v>2</v>
      </c>
      <c r="G22" s="3">
        <v>150000</v>
      </c>
      <c r="H22" s="3">
        <v>130000</v>
      </c>
      <c r="I22" s="3"/>
      <c r="J22" s="5"/>
    </row>
    <row r="23" spans="1:10">
      <c r="A23" s="1" t="s">
        <v>132</v>
      </c>
      <c r="B23" s="1" t="s">
        <v>135</v>
      </c>
      <c r="C23" s="1" t="s">
        <v>102</v>
      </c>
      <c r="D23" s="3">
        <v>2400000</v>
      </c>
      <c r="E23" s="3">
        <v>420000</v>
      </c>
      <c r="F23" s="4">
        <v>4</v>
      </c>
      <c r="G23" s="3">
        <v>100000</v>
      </c>
      <c r="H23" s="3">
        <v>120000</v>
      </c>
      <c r="I23" s="3"/>
      <c r="J23" s="5"/>
    </row>
    <row r="24" spans="1:10">
      <c r="A24" s="1" t="s">
        <v>133</v>
      </c>
      <c r="B24" s="1" t="s">
        <v>145</v>
      </c>
      <c r="C24" s="1" t="s">
        <v>105</v>
      </c>
      <c r="D24" s="3">
        <v>2800000</v>
      </c>
      <c r="E24" s="3">
        <v>440000</v>
      </c>
      <c r="F24" s="4">
        <v>6</v>
      </c>
      <c r="G24" s="3">
        <v>90000</v>
      </c>
      <c r="H24" s="3">
        <v>80000</v>
      </c>
      <c r="I24" s="3"/>
      <c r="J24" s="5"/>
    </row>
    <row r="25" spans="1:10">
      <c r="A25" s="1" t="s">
        <v>134</v>
      </c>
      <c r="B25" s="1" t="s">
        <v>140</v>
      </c>
      <c r="C25" s="1" t="s">
        <v>104</v>
      </c>
      <c r="D25" s="3">
        <v>1900000</v>
      </c>
      <c r="E25" s="3">
        <v>400000</v>
      </c>
      <c r="F25" s="4" t="s">
        <v>110</v>
      </c>
      <c r="G25" s="3">
        <v>70000</v>
      </c>
      <c r="H25" s="3">
        <v>150000</v>
      </c>
      <c r="I25" s="3"/>
      <c r="J25" s="5"/>
    </row>
    <row r="27" spans="1:10">
      <c r="A27" t="s">
        <v>3</v>
      </c>
      <c r="E27" t="s">
        <v>4</v>
      </c>
    </row>
    <row r="28" spans="1:10">
      <c r="A28" s="1"/>
      <c r="B28" s="20" t="s">
        <v>5</v>
      </c>
      <c r="C28" s="20" t="s">
        <v>138</v>
      </c>
      <c r="E28" s="1" t="s">
        <v>159</v>
      </c>
      <c r="F28" s="22" t="s">
        <v>6</v>
      </c>
      <c r="G28" s="22"/>
    </row>
    <row r="29" spans="1:10">
      <c r="A29" s="1" t="s">
        <v>7</v>
      </c>
      <c r="B29" s="2"/>
      <c r="C29" s="2"/>
      <c r="E29" s="1" t="s">
        <v>136</v>
      </c>
      <c r="F29" s="23"/>
      <c r="G29" s="23"/>
    </row>
    <row r="30" spans="1:10">
      <c r="A30" s="1" t="s">
        <v>8</v>
      </c>
      <c r="B30" s="2"/>
      <c r="C30" s="2"/>
      <c r="E30" s="1" t="s">
        <v>91</v>
      </c>
      <c r="F30" s="23"/>
      <c r="G30" s="23"/>
    </row>
    <row r="31" spans="1:10">
      <c r="E31" s="1" t="s">
        <v>143</v>
      </c>
      <c r="F31" s="23"/>
      <c r="G31" s="23"/>
    </row>
    <row r="32" spans="1:10">
      <c r="E32" s="1" t="s">
        <v>144</v>
      </c>
      <c r="F32" s="23"/>
      <c r="G32" s="23"/>
    </row>
    <row r="34" spans="1:8">
      <c r="A34" t="s">
        <v>9</v>
      </c>
      <c r="E34" t="s">
        <v>10</v>
      </c>
    </row>
    <row r="35" spans="1:8">
      <c r="A35" s="1" t="s">
        <v>158</v>
      </c>
      <c r="B35" s="20" t="s">
        <v>106</v>
      </c>
      <c r="C35" s="20" t="s">
        <v>107</v>
      </c>
      <c r="E35" s="1"/>
      <c r="F35" s="6" t="s">
        <v>11</v>
      </c>
      <c r="G35" s="6" t="s">
        <v>12</v>
      </c>
      <c r="H35" s="6" t="s">
        <v>13</v>
      </c>
    </row>
    <row r="36" spans="1:8">
      <c r="A36" s="1" t="s">
        <v>136</v>
      </c>
      <c r="B36" s="1"/>
      <c r="C36" s="1"/>
      <c r="E36" s="1"/>
      <c r="F36" s="7" t="s">
        <v>14</v>
      </c>
      <c r="G36" s="7" t="s">
        <v>15</v>
      </c>
      <c r="H36" s="7" t="s">
        <v>16</v>
      </c>
    </row>
    <row r="37" spans="1:8">
      <c r="A37" s="1" t="s">
        <v>91</v>
      </c>
      <c r="B37" s="1"/>
      <c r="C37" s="1"/>
      <c r="E37" s="1" t="s">
        <v>17</v>
      </c>
      <c r="F37" s="5">
        <v>15000</v>
      </c>
      <c r="G37" s="5">
        <v>18000</v>
      </c>
      <c r="H37" s="5">
        <v>20000</v>
      </c>
    </row>
    <row r="38" spans="1:8">
      <c r="A38" s="1" t="s">
        <v>143</v>
      </c>
      <c r="B38" s="1"/>
      <c r="C38" s="1"/>
    </row>
    <row r="39" spans="1:8">
      <c r="A39" s="1" t="s">
        <v>144</v>
      </c>
      <c r="B39" s="19"/>
      <c r="C39" s="19"/>
    </row>
  </sheetData>
  <mergeCells count="5">
    <mergeCell ref="F28:G28"/>
    <mergeCell ref="F29:G29"/>
    <mergeCell ref="F30:G30"/>
    <mergeCell ref="F31:G31"/>
    <mergeCell ref="F32:G32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7.600000000000001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21"/>
  <sheetViews>
    <sheetView workbookViewId="0"/>
  </sheetViews>
  <sheetFormatPr defaultRowHeight="17.600000000000001"/>
  <cols>
    <col min="4" max="4" width="9.5" bestFit="1" customWidth="1"/>
    <col min="6" max="6" width="11.7109375" bestFit="1" customWidth="1"/>
    <col min="8" max="9" width="12.78515625" bestFit="1" customWidth="1"/>
  </cols>
  <sheetData>
    <row r="1" spans="1:9" ht="23.6">
      <c r="A1" s="26" t="s">
        <v>85</v>
      </c>
      <c r="B1" s="26"/>
      <c r="C1" s="26"/>
      <c r="D1" s="26"/>
      <c r="E1" s="26"/>
      <c r="F1" s="26"/>
      <c r="G1" s="26"/>
      <c r="H1" s="26"/>
      <c r="I1" s="26"/>
    </row>
    <row r="2" spans="1:9">
      <c r="A2" s="10"/>
      <c r="B2" s="10"/>
      <c r="C2" s="10"/>
      <c r="D2" s="10"/>
      <c r="E2" s="10"/>
      <c r="F2" s="10"/>
      <c r="G2" s="10"/>
      <c r="H2" s="10"/>
    </row>
    <row r="3" spans="1:9">
      <c r="A3" s="11" t="s">
        <v>39</v>
      </c>
      <c r="B3" s="11" t="s">
        <v>40</v>
      </c>
      <c r="C3" s="11" t="s">
        <v>41</v>
      </c>
      <c r="D3" s="11" t="s">
        <v>42</v>
      </c>
      <c r="E3" s="11" t="s">
        <v>43</v>
      </c>
      <c r="F3" s="11" t="s">
        <v>44</v>
      </c>
      <c r="G3" s="11" t="s">
        <v>45</v>
      </c>
      <c r="H3" s="11" t="s">
        <v>46</v>
      </c>
      <c r="I3" s="12" t="s">
        <v>47</v>
      </c>
    </row>
    <row r="4" spans="1:9">
      <c r="A4" s="11" t="s">
        <v>48</v>
      </c>
      <c r="B4" s="11" t="s">
        <v>49</v>
      </c>
      <c r="C4" s="11" t="s">
        <v>50</v>
      </c>
      <c r="D4" s="13">
        <v>44712</v>
      </c>
      <c r="E4" s="11">
        <v>50</v>
      </c>
      <c r="F4" s="14">
        <v>280000</v>
      </c>
      <c r="G4" s="11">
        <v>30</v>
      </c>
      <c r="H4" s="15">
        <f t="shared" ref="H4:H18" si="0">F4*G4</f>
        <v>8400000</v>
      </c>
      <c r="I4" s="16">
        <f t="shared" ref="I4:I19" si="1">H4*$H$21</f>
        <v>2520000</v>
      </c>
    </row>
    <row r="5" spans="1:9">
      <c r="A5" s="11" t="s">
        <v>86</v>
      </c>
      <c r="B5" s="11" t="s">
        <v>51</v>
      </c>
      <c r="C5" s="11" t="s">
        <v>52</v>
      </c>
      <c r="D5" s="13">
        <v>44713</v>
      </c>
      <c r="E5" s="11">
        <v>40</v>
      </c>
      <c r="F5" s="14">
        <v>350000</v>
      </c>
      <c r="G5" s="11">
        <v>38</v>
      </c>
      <c r="H5" s="15">
        <f t="shared" si="0"/>
        <v>13300000</v>
      </c>
      <c r="I5" s="16">
        <f t="shared" si="1"/>
        <v>3990000</v>
      </c>
    </row>
    <row r="6" spans="1:9">
      <c r="A6" s="11" t="s">
        <v>53</v>
      </c>
      <c r="B6" s="11" t="s">
        <v>54</v>
      </c>
      <c r="C6" s="11" t="s">
        <v>55</v>
      </c>
      <c r="D6" s="13">
        <v>44713</v>
      </c>
      <c r="E6" s="11">
        <v>50</v>
      </c>
      <c r="F6" s="14">
        <v>280000</v>
      </c>
      <c r="G6" s="11">
        <v>34</v>
      </c>
      <c r="H6" s="15">
        <f t="shared" si="0"/>
        <v>9520000</v>
      </c>
      <c r="I6" s="16">
        <f t="shared" si="1"/>
        <v>2856000</v>
      </c>
    </row>
    <row r="7" spans="1:9">
      <c r="A7" s="11" t="s">
        <v>57</v>
      </c>
      <c r="B7" s="11" t="s">
        <v>58</v>
      </c>
      <c r="C7" s="11" t="s">
        <v>59</v>
      </c>
      <c r="D7" s="13">
        <v>44713</v>
      </c>
      <c r="E7" s="11">
        <v>60</v>
      </c>
      <c r="F7" s="14">
        <v>1500000</v>
      </c>
      <c r="G7" s="11">
        <v>57</v>
      </c>
      <c r="H7" s="15">
        <f t="shared" si="0"/>
        <v>85500000</v>
      </c>
      <c r="I7" s="16">
        <f t="shared" si="1"/>
        <v>25650000</v>
      </c>
    </row>
    <row r="8" spans="1:9">
      <c r="A8" s="11" t="s">
        <v>86</v>
      </c>
      <c r="B8" s="11" t="s">
        <v>60</v>
      </c>
      <c r="C8" s="11" t="s">
        <v>61</v>
      </c>
      <c r="D8" s="13">
        <v>44713</v>
      </c>
      <c r="E8" s="11">
        <v>80</v>
      </c>
      <c r="F8" s="14">
        <v>350000</v>
      </c>
      <c r="G8" s="11">
        <v>59</v>
      </c>
      <c r="H8" s="15">
        <f t="shared" si="0"/>
        <v>20650000</v>
      </c>
      <c r="I8" s="16">
        <f t="shared" si="1"/>
        <v>6195000</v>
      </c>
    </row>
    <row r="9" spans="1:9">
      <c r="A9" s="11" t="s">
        <v>57</v>
      </c>
      <c r="B9" s="11" t="s">
        <v>62</v>
      </c>
      <c r="C9" s="11" t="s">
        <v>63</v>
      </c>
      <c r="D9" s="13">
        <v>44712</v>
      </c>
      <c r="E9" s="11">
        <v>60</v>
      </c>
      <c r="F9" s="14">
        <v>1500000</v>
      </c>
      <c r="G9" s="11">
        <v>55</v>
      </c>
      <c r="H9" s="15">
        <f t="shared" si="0"/>
        <v>82500000</v>
      </c>
      <c r="I9" s="16">
        <f t="shared" si="1"/>
        <v>24750000</v>
      </c>
    </row>
    <row r="10" spans="1:9">
      <c r="A10" s="11" t="s">
        <v>64</v>
      </c>
      <c r="B10" s="11" t="s">
        <v>65</v>
      </c>
      <c r="C10" s="11" t="s">
        <v>66</v>
      </c>
      <c r="D10" s="13">
        <v>44712</v>
      </c>
      <c r="E10" s="11">
        <v>60</v>
      </c>
      <c r="F10" s="14">
        <v>1500000</v>
      </c>
      <c r="G10" s="11">
        <v>60</v>
      </c>
      <c r="H10" s="15">
        <f t="shared" si="0"/>
        <v>90000000</v>
      </c>
      <c r="I10" s="16">
        <f t="shared" si="1"/>
        <v>27000000</v>
      </c>
    </row>
    <row r="11" spans="1:9">
      <c r="A11" s="11" t="s">
        <v>48</v>
      </c>
      <c r="B11" s="11" t="s">
        <v>67</v>
      </c>
      <c r="C11" s="11" t="s">
        <v>68</v>
      </c>
      <c r="D11" s="13">
        <v>44712</v>
      </c>
      <c r="E11" s="11">
        <v>40</v>
      </c>
      <c r="F11" s="14">
        <v>280000</v>
      </c>
      <c r="G11" s="11">
        <v>29</v>
      </c>
      <c r="H11" s="15">
        <f t="shared" si="0"/>
        <v>8120000</v>
      </c>
      <c r="I11" s="16">
        <f t="shared" si="1"/>
        <v>2436000</v>
      </c>
    </row>
    <row r="12" spans="1:9">
      <c r="A12" s="11" t="s">
        <v>86</v>
      </c>
      <c r="B12" s="11" t="s">
        <v>69</v>
      </c>
      <c r="C12" s="11" t="s">
        <v>70</v>
      </c>
      <c r="D12" s="13">
        <v>44713</v>
      </c>
      <c r="E12" s="11">
        <v>50</v>
      </c>
      <c r="F12" s="14">
        <v>350000</v>
      </c>
      <c r="G12" s="11">
        <v>45</v>
      </c>
      <c r="H12" s="15">
        <f t="shared" si="0"/>
        <v>15750000</v>
      </c>
      <c r="I12" s="16">
        <f t="shared" si="1"/>
        <v>4725000</v>
      </c>
    </row>
    <row r="13" spans="1:9">
      <c r="A13" s="11" t="s">
        <v>86</v>
      </c>
      <c r="B13" s="11" t="s">
        <v>71</v>
      </c>
      <c r="C13" s="11" t="s">
        <v>72</v>
      </c>
      <c r="D13" s="13">
        <v>44712</v>
      </c>
      <c r="E13" s="11">
        <v>30</v>
      </c>
      <c r="F13" s="14">
        <v>350000</v>
      </c>
      <c r="G13" s="11">
        <v>19</v>
      </c>
      <c r="H13" s="15">
        <f t="shared" si="0"/>
        <v>6650000</v>
      </c>
      <c r="I13" s="16">
        <f t="shared" si="1"/>
        <v>1995000</v>
      </c>
    </row>
    <row r="14" spans="1:9">
      <c r="A14" s="11" t="s">
        <v>86</v>
      </c>
      <c r="B14" s="11" t="s">
        <v>67</v>
      </c>
      <c r="C14" s="11" t="s">
        <v>73</v>
      </c>
      <c r="D14" s="13">
        <v>44712</v>
      </c>
      <c r="E14" s="11">
        <v>50</v>
      </c>
      <c r="F14" s="14">
        <v>350000</v>
      </c>
      <c r="G14" s="11">
        <v>47</v>
      </c>
      <c r="H14" s="15">
        <f t="shared" si="0"/>
        <v>16450000</v>
      </c>
      <c r="I14" s="16">
        <f t="shared" si="1"/>
        <v>4935000</v>
      </c>
    </row>
    <row r="15" spans="1:9">
      <c r="A15" s="11" t="s">
        <v>74</v>
      </c>
      <c r="B15" s="11" t="s">
        <v>75</v>
      </c>
      <c r="C15" s="11" t="s">
        <v>76</v>
      </c>
      <c r="D15" s="13">
        <v>44713</v>
      </c>
      <c r="E15" s="11">
        <v>30</v>
      </c>
      <c r="F15" s="14">
        <v>280000</v>
      </c>
      <c r="G15" s="11">
        <v>26</v>
      </c>
      <c r="H15" s="15">
        <f t="shared" si="0"/>
        <v>7280000</v>
      </c>
      <c r="I15" s="16">
        <f t="shared" si="1"/>
        <v>2184000</v>
      </c>
    </row>
    <row r="16" spans="1:9">
      <c r="A16" s="11" t="s">
        <v>77</v>
      </c>
      <c r="B16" s="11" t="s">
        <v>78</v>
      </c>
      <c r="C16" s="11" t="s">
        <v>79</v>
      </c>
      <c r="D16" s="13">
        <v>44713</v>
      </c>
      <c r="E16" s="11">
        <v>80</v>
      </c>
      <c r="F16" s="14">
        <v>1500000</v>
      </c>
      <c r="G16" s="11">
        <v>69</v>
      </c>
      <c r="H16" s="15">
        <f t="shared" si="0"/>
        <v>103500000</v>
      </c>
      <c r="I16" s="16">
        <f t="shared" si="1"/>
        <v>31050000</v>
      </c>
    </row>
    <row r="17" spans="1:9">
      <c r="A17" s="11" t="s">
        <v>74</v>
      </c>
      <c r="B17" s="11" t="s">
        <v>80</v>
      </c>
      <c r="C17" s="11" t="s">
        <v>81</v>
      </c>
      <c r="D17" s="13">
        <v>44713</v>
      </c>
      <c r="E17" s="11">
        <v>50</v>
      </c>
      <c r="F17" s="14">
        <v>280000</v>
      </c>
      <c r="G17" s="11">
        <v>40</v>
      </c>
      <c r="H17" s="15">
        <f t="shared" si="0"/>
        <v>11200000</v>
      </c>
      <c r="I17" s="16">
        <f t="shared" si="1"/>
        <v>3360000</v>
      </c>
    </row>
    <row r="18" spans="1:9">
      <c r="A18" s="11" t="s">
        <v>56</v>
      </c>
      <c r="B18" s="11" t="s">
        <v>60</v>
      </c>
      <c r="C18" s="11" t="s">
        <v>82</v>
      </c>
      <c r="D18" s="13">
        <v>44713</v>
      </c>
      <c r="E18" s="11">
        <v>60</v>
      </c>
      <c r="F18" s="14">
        <v>1500000</v>
      </c>
      <c r="G18" s="11">
        <v>52</v>
      </c>
      <c r="H18" s="15">
        <f t="shared" si="0"/>
        <v>78000000</v>
      </c>
      <c r="I18" s="16">
        <f t="shared" si="1"/>
        <v>23400000</v>
      </c>
    </row>
    <row r="19" spans="1:9">
      <c r="A19" s="24" t="s">
        <v>83</v>
      </c>
      <c r="B19" s="24"/>
      <c r="C19" s="24"/>
      <c r="D19" s="24"/>
      <c r="E19" s="24"/>
      <c r="F19" s="24"/>
      <c r="G19" s="24"/>
      <c r="H19" s="15">
        <f>SUM(H4:H18)</f>
        <v>556820000</v>
      </c>
      <c r="I19" s="16">
        <f t="shared" si="1"/>
        <v>167046000</v>
      </c>
    </row>
    <row r="20" spans="1:9">
      <c r="A20" s="10"/>
      <c r="B20" s="10"/>
      <c r="C20" s="10"/>
      <c r="D20" s="10"/>
      <c r="E20" s="10"/>
      <c r="F20" s="10"/>
      <c r="G20" s="10"/>
      <c r="H20" s="10"/>
    </row>
    <row r="21" spans="1:9">
      <c r="F21" s="10"/>
      <c r="G21" s="11" t="s">
        <v>84</v>
      </c>
      <c r="H21" s="25">
        <v>0.3</v>
      </c>
      <c r="I21" s="25"/>
    </row>
  </sheetData>
  <mergeCells count="3">
    <mergeCell ref="A19:G19"/>
    <mergeCell ref="H21:I21"/>
    <mergeCell ref="A1:I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E6"/>
  <sheetViews>
    <sheetView workbookViewId="0"/>
  </sheetViews>
  <sheetFormatPr defaultRowHeight="17.600000000000001"/>
  <sheetData>
    <row r="2" spans="2:5">
      <c r="B2" s="1" t="s">
        <v>153</v>
      </c>
      <c r="C2" s="1" t="s">
        <v>154</v>
      </c>
      <c r="D2" s="1" t="s">
        <v>155</v>
      </c>
      <c r="E2" s="1" t="s">
        <v>87</v>
      </c>
    </row>
    <row r="3" spans="2:5">
      <c r="B3" s="1" t="s">
        <v>92</v>
      </c>
      <c r="C3" s="1">
        <v>1390000</v>
      </c>
      <c r="D3" s="1">
        <v>420000</v>
      </c>
      <c r="E3" s="1">
        <v>570000</v>
      </c>
    </row>
    <row r="4" spans="2:5">
      <c r="B4" s="1" t="s">
        <v>93</v>
      </c>
      <c r="C4" s="1">
        <v>2500000</v>
      </c>
      <c r="D4" s="1">
        <v>890000</v>
      </c>
      <c r="E4" s="1">
        <v>740000</v>
      </c>
    </row>
    <row r="5" spans="2:5">
      <c r="B5" s="1" t="s">
        <v>151</v>
      </c>
      <c r="C5" s="1">
        <v>1650000</v>
      </c>
      <c r="D5" s="1">
        <v>560000</v>
      </c>
      <c r="E5" s="1">
        <v>520000</v>
      </c>
    </row>
    <row r="6" spans="2:5">
      <c r="B6" s="1" t="s">
        <v>152</v>
      </c>
      <c r="C6" s="1">
        <v>1390000</v>
      </c>
      <c r="D6" s="1">
        <v>390000</v>
      </c>
      <c r="E6" s="1">
        <v>410000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E17"/>
  <sheetViews>
    <sheetView workbookViewId="0"/>
  </sheetViews>
  <sheetFormatPr defaultRowHeight="17.600000000000001"/>
  <cols>
    <col min="3" max="3" width="11.28515625" style="9" customWidth="1"/>
    <col min="4" max="4" width="9.0703125" customWidth="1"/>
  </cols>
  <sheetData>
    <row r="2" spans="2:5">
      <c r="B2" s="1" t="s">
        <v>20</v>
      </c>
      <c r="C2" s="1" t="s">
        <v>21</v>
      </c>
      <c r="D2" s="1" t="s">
        <v>38</v>
      </c>
      <c r="E2" s="1" t="s">
        <v>22</v>
      </c>
    </row>
    <row r="3" spans="2:5">
      <c r="B3" s="1" t="s">
        <v>23</v>
      </c>
      <c r="C3" s="1">
        <v>22031001</v>
      </c>
      <c r="D3" s="1">
        <v>81</v>
      </c>
      <c r="E3" s="8">
        <v>0.9</v>
      </c>
    </row>
    <row r="4" spans="2:5">
      <c r="B4" s="1" t="s">
        <v>24</v>
      </c>
      <c r="C4" s="1">
        <v>22031002</v>
      </c>
      <c r="D4" s="1">
        <v>55</v>
      </c>
      <c r="E4" s="8">
        <v>0.65</v>
      </c>
    </row>
    <row r="5" spans="2:5">
      <c r="B5" s="1" t="s">
        <v>25</v>
      </c>
      <c r="C5" s="1">
        <v>22031003</v>
      </c>
      <c r="D5" s="1">
        <v>95</v>
      </c>
      <c r="E5" s="8">
        <v>0.51</v>
      </c>
    </row>
    <row r="6" spans="2:5">
      <c r="B6" s="1" t="s">
        <v>26</v>
      </c>
      <c r="C6" s="1">
        <v>22031004</v>
      </c>
      <c r="D6" s="1">
        <v>87</v>
      </c>
      <c r="E6" s="8">
        <v>0.85</v>
      </c>
    </row>
    <row r="7" spans="2:5">
      <c r="B7" s="1" t="s">
        <v>27</v>
      </c>
      <c r="C7" s="1">
        <v>22031005</v>
      </c>
      <c r="D7" s="1">
        <v>90</v>
      </c>
      <c r="E7" s="8">
        <v>0.78</v>
      </c>
    </row>
    <row r="8" spans="2:5">
      <c r="B8" s="1" t="s">
        <v>28</v>
      </c>
      <c r="C8" s="1">
        <v>22031006</v>
      </c>
      <c r="D8" s="1">
        <v>84</v>
      </c>
      <c r="E8" s="8">
        <v>0.55000000000000004</v>
      </c>
    </row>
    <row r="9" spans="2:5">
      <c r="B9" s="1" t="s">
        <v>29</v>
      </c>
      <c r="C9" s="1">
        <v>22031007</v>
      </c>
      <c r="D9" s="1">
        <v>97</v>
      </c>
      <c r="E9" s="8">
        <v>0.82</v>
      </c>
    </row>
    <row r="10" spans="2:5">
      <c r="B10" s="1" t="s">
        <v>30</v>
      </c>
      <c r="C10" s="1">
        <v>22031008</v>
      </c>
      <c r="D10" s="1">
        <v>45</v>
      </c>
      <c r="E10" s="8">
        <v>0.7</v>
      </c>
    </row>
    <row r="11" spans="2:5">
      <c r="B11" s="1" t="s">
        <v>31</v>
      </c>
      <c r="C11" s="1">
        <v>22031009</v>
      </c>
      <c r="D11" s="1">
        <v>63</v>
      </c>
      <c r="E11" s="8">
        <v>0.63</v>
      </c>
    </row>
    <row r="12" spans="2:5">
      <c r="B12" s="1" t="s">
        <v>32</v>
      </c>
      <c r="C12" s="1">
        <v>22031010</v>
      </c>
      <c r="D12" s="1">
        <v>62</v>
      </c>
      <c r="E12" s="8">
        <v>0.44</v>
      </c>
    </row>
    <row r="13" spans="2:5">
      <c r="B13" s="1" t="s">
        <v>33</v>
      </c>
      <c r="C13" s="1">
        <v>22031011</v>
      </c>
      <c r="D13" s="1">
        <v>97</v>
      </c>
      <c r="E13" s="8">
        <v>0.95</v>
      </c>
    </row>
    <row r="14" spans="2:5">
      <c r="B14" s="1" t="s">
        <v>34</v>
      </c>
      <c r="C14" s="1">
        <v>22031012</v>
      </c>
      <c r="D14" s="1">
        <v>81</v>
      </c>
      <c r="E14" s="8">
        <v>0.69</v>
      </c>
    </row>
    <row r="15" spans="2:5">
      <c r="B15" s="1" t="s">
        <v>35</v>
      </c>
      <c r="C15" s="1">
        <v>22031013</v>
      </c>
      <c r="D15" s="1">
        <v>75</v>
      </c>
      <c r="E15" s="8">
        <v>0.88</v>
      </c>
    </row>
    <row r="16" spans="2:5">
      <c r="B16" s="1" t="s">
        <v>36</v>
      </c>
      <c r="C16" s="1">
        <v>22031014</v>
      </c>
      <c r="D16" s="1">
        <v>77</v>
      </c>
      <c r="E16" s="8">
        <v>0.72</v>
      </c>
    </row>
    <row r="17" spans="2:5">
      <c r="B17" s="1" t="s">
        <v>37</v>
      </c>
      <c r="C17" s="1">
        <v>22031015</v>
      </c>
      <c r="D17" s="1">
        <v>50</v>
      </c>
      <c r="E17" s="8">
        <v>0.91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2:I28"/>
  <sheetViews>
    <sheetView workbookViewId="0"/>
  </sheetViews>
  <sheetFormatPr defaultRowHeight="17.600000000000001"/>
  <cols>
    <col min="2" max="2" width="11.92578125" customWidth="1"/>
    <col min="3" max="3" width="11.640625" customWidth="1"/>
    <col min="4" max="4" width="13.140625" customWidth="1"/>
    <col min="5" max="5" width="12.0703125" customWidth="1"/>
    <col min="6" max="6" width="12.42578125" customWidth="1"/>
    <col min="7" max="7" width="12.28515625" customWidth="1"/>
    <col min="9" max="9" width="12.140625" customWidth="1"/>
  </cols>
  <sheetData>
    <row r="2" spans="2:9" ht="20.149999999999999" thickBot="1">
      <c r="B2" s="27" t="s">
        <v>96</v>
      </c>
      <c r="C2" s="27"/>
      <c r="D2" s="27"/>
      <c r="E2" s="27"/>
      <c r="F2" s="27"/>
      <c r="G2" s="27"/>
    </row>
    <row r="3" spans="2:9" ht="18" thickTop="1"/>
    <row r="7" spans="2:9">
      <c r="B7" s="1" t="s">
        <v>97</v>
      </c>
      <c r="C7" s="1" t="s">
        <v>98</v>
      </c>
      <c r="D7" s="1" t="s">
        <v>156</v>
      </c>
      <c r="E7" s="1" t="s">
        <v>161</v>
      </c>
      <c r="F7" s="1" t="s">
        <v>100</v>
      </c>
      <c r="G7" s="1" t="s">
        <v>18</v>
      </c>
      <c r="I7" s="1" t="s">
        <v>99</v>
      </c>
    </row>
    <row r="8" spans="2:9">
      <c r="B8" s="19"/>
      <c r="C8" s="19"/>
      <c r="D8" s="19"/>
      <c r="E8" s="21"/>
      <c r="F8" s="21"/>
      <c r="G8" s="21"/>
      <c r="I8" s="1" t="s">
        <v>92</v>
      </c>
    </row>
    <row r="9" spans="2:9">
      <c r="B9" s="19"/>
      <c r="C9" s="19"/>
      <c r="D9" s="19"/>
      <c r="E9" s="21"/>
      <c r="F9" s="21"/>
      <c r="G9" s="21"/>
      <c r="I9" s="1" t="s">
        <v>93</v>
      </c>
    </row>
    <row r="10" spans="2:9">
      <c r="B10" s="19"/>
      <c r="C10" s="19"/>
      <c r="D10" s="19"/>
      <c r="E10" s="21"/>
      <c r="F10" s="21"/>
      <c r="G10" s="21"/>
      <c r="I10" s="1" t="s">
        <v>94</v>
      </c>
    </row>
    <row r="11" spans="2:9">
      <c r="B11" s="19"/>
      <c r="C11" s="19"/>
      <c r="D11" s="19"/>
      <c r="E11" s="21"/>
      <c r="F11" s="21"/>
      <c r="G11" s="21"/>
      <c r="I11" s="1" t="s">
        <v>95</v>
      </c>
    </row>
    <row r="12" spans="2:9">
      <c r="B12" s="19"/>
      <c r="C12" s="19"/>
      <c r="D12" s="19"/>
      <c r="E12" s="21"/>
      <c r="F12" s="21"/>
      <c r="G12" s="21"/>
      <c r="I12" s="17" t="s">
        <v>150</v>
      </c>
    </row>
    <row r="13" spans="2:9">
      <c r="B13" s="19"/>
      <c r="C13" s="19"/>
      <c r="D13" s="19"/>
      <c r="E13" s="21"/>
      <c r="F13" s="21"/>
      <c r="G13" s="21"/>
    </row>
    <row r="14" spans="2:9">
      <c r="B14" s="19"/>
      <c r="C14" s="19"/>
      <c r="D14" s="19"/>
      <c r="E14" s="21"/>
      <c r="F14" s="21"/>
      <c r="G14" s="21"/>
    </row>
    <row r="15" spans="2:9">
      <c r="B15" s="19"/>
      <c r="C15" s="19"/>
      <c r="D15" s="19"/>
      <c r="E15" s="21"/>
      <c r="F15" s="21"/>
      <c r="G15" s="21"/>
    </row>
    <row r="16" spans="2:9">
      <c r="B16" s="19"/>
      <c r="C16" s="19"/>
      <c r="D16" s="19"/>
      <c r="E16" s="21"/>
      <c r="F16" s="21"/>
      <c r="G16" s="21"/>
    </row>
    <row r="17" spans="2:7">
      <c r="B17" s="19"/>
      <c r="C17" s="19"/>
      <c r="D17" s="19"/>
      <c r="E17" s="21"/>
      <c r="F17" s="21"/>
      <c r="G17" s="21"/>
    </row>
    <row r="18" spans="2:7">
      <c r="B18" s="19"/>
      <c r="C18" s="19"/>
      <c r="D18" s="19"/>
      <c r="E18" s="21"/>
      <c r="F18" s="21"/>
      <c r="G18" s="21"/>
    </row>
    <row r="19" spans="2:7">
      <c r="B19" s="19"/>
      <c r="C19" s="19"/>
      <c r="D19" s="19"/>
      <c r="E19" s="21"/>
      <c r="F19" s="21"/>
      <c r="G19" s="21"/>
    </row>
    <row r="20" spans="2:7">
      <c r="B20" s="19"/>
      <c r="C20" s="19"/>
      <c r="D20" s="19"/>
      <c r="E20" s="21"/>
      <c r="F20" s="21"/>
      <c r="G20" s="21"/>
    </row>
    <row r="21" spans="2:7">
      <c r="B21" s="19"/>
      <c r="C21" s="19"/>
      <c r="D21" s="19"/>
      <c r="E21" s="21"/>
      <c r="F21" s="21"/>
      <c r="G21" s="21"/>
    </row>
    <row r="22" spans="2:7">
      <c r="B22" s="19"/>
      <c r="C22" s="19"/>
      <c r="D22" s="19"/>
      <c r="E22" s="21"/>
      <c r="F22" s="21"/>
      <c r="G22" s="21"/>
    </row>
    <row r="23" spans="2:7">
      <c r="B23" s="19"/>
      <c r="C23" s="19"/>
      <c r="D23" s="19"/>
      <c r="E23" s="21"/>
      <c r="F23" s="21"/>
      <c r="G23" s="21"/>
    </row>
    <row r="24" spans="2:7">
      <c r="B24" s="19"/>
      <c r="C24" s="19"/>
      <c r="D24" s="19"/>
      <c r="E24" s="21"/>
      <c r="F24" s="21"/>
      <c r="G24" s="21"/>
    </row>
    <row r="25" spans="2:7">
      <c r="B25" s="19"/>
      <c r="C25" s="19"/>
      <c r="D25" s="19"/>
      <c r="E25" s="21"/>
      <c r="F25" s="21"/>
      <c r="G25" s="21"/>
    </row>
    <row r="26" spans="2:7">
      <c r="B26" s="19"/>
      <c r="C26" s="19"/>
      <c r="D26" s="19"/>
      <c r="E26" s="21"/>
      <c r="F26" s="21"/>
      <c r="G26" s="21"/>
    </row>
    <row r="27" spans="2:7">
      <c r="B27" s="19"/>
      <c r="C27" s="19"/>
      <c r="D27" s="19"/>
      <c r="E27" s="21"/>
      <c r="F27" s="21"/>
      <c r="G27" s="21"/>
    </row>
    <row r="28" spans="2:7">
      <c r="B28" s="19"/>
      <c r="C28" s="19"/>
      <c r="D28" s="19"/>
      <c r="E28" s="21"/>
      <c r="F28" s="21"/>
      <c r="G28" s="21"/>
    </row>
  </sheetData>
  <mergeCells count="1">
    <mergeCell ref="B2:G2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md등록">
          <controlPr defaultSize="0" autoLine="0" r:id="rId4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484414</xdr:colOff>
                <xdr:row>5</xdr:row>
                <xdr:rowOff>0</xdr:rowOff>
              </to>
            </anchor>
          </controlPr>
        </control>
      </mc:Choice>
      <mc:Fallback>
        <control shapeId="9217" r:id="rId3" name="cmd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2021-03-11T05:14:31Z</dcterms:created>
  <dcterms:modified xsi:type="dcterms:W3CDTF">2021-04-10T01:03:42Z</dcterms:modified>
</cp:coreProperties>
</file>