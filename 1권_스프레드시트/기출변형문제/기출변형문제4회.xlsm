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"/>
    </mc:Choice>
  </mc:AlternateContent>
  <bookViews>
    <workbookView xWindow="0" yWindow="0" windowWidth="21180" windowHeight="12740" tabRatio="1000"/>
  </bookViews>
  <sheets>
    <sheet name="기본작업-1" sheetId="2" r:id="rId1"/>
    <sheet name="기본작업-2" sheetId="9" r:id="rId2"/>
    <sheet name="계산작업-1" sheetId="3" r:id="rId3"/>
    <sheet name="계산작업-2" sheetId="8" r:id="rId4"/>
    <sheet name="분석작업-1" sheetId="4" r:id="rId5"/>
    <sheet name="분석작업-2" sheetId="5" r:id="rId6"/>
    <sheet name="기타작업-1" sheetId="6" r:id="rId7"/>
    <sheet name="기타작업-2" sheetId="10" r:id="rId8"/>
    <sheet name="기타작업-3" sheetId="7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5" l="1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</calcChain>
</file>

<file path=xl/sharedStrings.xml><?xml version="1.0" encoding="utf-8"?>
<sst xmlns="http://schemas.openxmlformats.org/spreadsheetml/2006/main" count="517" uniqueCount="183">
  <si>
    <t>[표1]</t>
    <phoneticPr fontId="4" type="noConversion"/>
  </si>
  <si>
    <t>영업팀 직급별 연봉 현황</t>
    <phoneticPr fontId="4" type="noConversion"/>
  </si>
  <si>
    <t>입사일</t>
    <phoneticPr fontId="4" type="noConversion"/>
  </si>
  <si>
    <t>성명</t>
    <phoneticPr fontId="4" type="noConversion"/>
  </si>
  <si>
    <t>부서</t>
    <phoneticPr fontId="4" type="noConversion"/>
  </si>
  <si>
    <t>직급</t>
    <phoneticPr fontId="4" type="noConversion"/>
  </si>
  <si>
    <t>주민번호</t>
    <phoneticPr fontId="4" type="noConversion"/>
  </si>
  <si>
    <t>연봉</t>
    <phoneticPr fontId="4" type="noConversion"/>
  </si>
  <si>
    <t>김경원</t>
  </si>
  <si>
    <t>영업3팀</t>
  </si>
  <si>
    <t>과장</t>
  </si>
  <si>
    <t>841213-1123456</t>
    <phoneticPr fontId="1" type="noConversion"/>
  </si>
  <si>
    <t>김규진</t>
  </si>
  <si>
    <t>영업1팀</t>
    <phoneticPr fontId="4" type="noConversion"/>
  </si>
  <si>
    <t>대리</t>
  </si>
  <si>
    <t>890912-2123456</t>
    <phoneticPr fontId="1" type="noConversion"/>
  </si>
  <si>
    <t>김기대</t>
  </si>
  <si>
    <t>821101-1123456</t>
    <phoneticPr fontId="1" type="noConversion"/>
  </si>
  <si>
    <t>김기도</t>
  </si>
  <si>
    <t>영업1팀</t>
    <phoneticPr fontId="4" type="noConversion"/>
  </si>
  <si>
    <t>사원</t>
  </si>
  <si>
    <t>920109-2123456</t>
    <phoneticPr fontId="1" type="noConversion"/>
  </si>
  <si>
    <t>김무영</t>
  </si>
  <si>
    <t>영업2팀</t>
  </si>
  <si>
    <t>930326-2123456</t>
    <phoneticPr fontId="1" type="noConversion"/>
  </si>
  <si>
    <t>김상국</t>
  </si>
  <si>
    <t>941001-2123456</t>
    <phoneticPr fontId="1" type="noConversion"/>
  </si>
  <si>
    <t>김석영</t>
  </si>
  <si>
    <t>880912-2123456</t>
    <phoneticPr fontId="1" type="noConversion"/>
  </si>
  <si>
    <t>김수찬</t>
  </si>
  <si>
    <t>700716-1123456</t>
  </si>
  <si>
    <t>김식상</t>
  </si>
  <si>
    <t>부장</t>
  </si>
  <si>
    <t>671018-1123456</t>
    <phoneticPr fontId="1" type="noConversion"/>
  </si>
  <si>
    <t>김아슬</t>
  </si>
  <si>
    <t>870101-2123456</t>
    <phoneticPr fontId="1" type="noConversion"/>
  </si>
  <si>
    <t>김학종</t>
  </si>
  <si>
    <t>930110-2123456</t>
    <phoneticPr fontId="1" type="noConversion"/>
  </si>
  <si>
    <t>문일규</t>
  </si>
  <si>
    <t>691010-2123456</t>
    <phoneticPr fontId="1" type="noConversion"/>
  </si>
  <si>
    <t>박용화</t>
  </si>
  <si>
    <t>701201-2123456</t>
  </si>
  <si>
    <t>서필기</t>
  </si>
  <si>
    <t>700823-1123456</t>
    <phoneticPr fontId="1" type="noConversion"/>
  </si>
  <si>
    <t>안채상</t>
  </si>
  <si>
    <t>860108-1123456</t>
    <phoneticPr fontId="1" type="noConversion"/>
  </si>
  <si>
    <t>양은주</t>
  </si>
  <si>
    <t>810617-2123456</t>
    <phoneticPr fontId="1" type="noConversion"/>
  </si>
  <si>
    <t>유희만</t>
  </si>
  <si>
    <t>851111-1123456</t>
    <phoneticPr fontId="1" type="noConversion"/>
  </si>
  <si>
    <t>윤호도</t>
  </si>
  <si>
    <t>721212-1123456</t>
    <phoneticPr fontId="1" type="noConversion"/>
  </si>
  <si>
    <t>이상얼</t>
  </si>
  <si>
    <t>831010-1123456</t>
    <phoneticPr fontId="1" type="noConversion"/>
  </si>
  <si>
    <t>이우중</t>
  </si>
  <si>
    <t>950303-1123456</t>
    <phoneticPr fontId="1" type="noConversion"/>
  </si>
  <si>
    <t>이주신</t>
  </si>
  <si>
    <t>841224-1123456</t>
    <phoneticPr fontId="1" type="noConversion"/>
  </si>
  <si>
    <t>장선용</t>
  </si>
  <si>
    <t>920725-2123456</t>
    <phoneticPr fontId="1" type="noConversion"/>
  </si>
  <si>
    <t>조현성</t>
  </si>
  <si>
    <t>800403-1123456</t>
    <phoneticPr fontId="1" type="noConversion"/>
  </si>
  <si>
    <t>최덕희</t>
  </si>
  <si>
    <t>910516-2123456</t>
    <phoneticPr fontId="1" type="noConversion"/>
  </si>
  <si>
    <t>한정수</t>
    <phoneticPr fontId="4" type="noConversion"/>
  </si>
  <si>
    <t>920205-1123456</t>
    <phoneticPr fontId="1" type="noConversion"/>
  </si>
  <si>
    <t>[표1] 핸드폰 판매 집계</t>
    <phoneticPr fontId="4" type="noConversion"/>
  </si>
  <si>
    <t>[표4] 업체별 총 판매 대수</t>
    <phoneticPr fontId="4" type="noConversion"/>
  </si>
  <si>
    <t xml:space="preserve">            분류
순위</t>
    <phoneticPr fontId="4" type="noConversion"/>
  </si>
  <si>
    <t>CDMA</t>
    <phoneticPr fontId="4" type="noConversion"/>
  </si>
  <si>
    <t>WCDMA</t>
    <phoneticPr fontId="4" type="noConversion"/>
  </si>
  <si>
    <t>통신사</t>
    <phoneticPr fontId="4" type="noConversion"/>
  </si>
  <si>
    <t>총판매대수</t>
    <phoneticPr fontId="4" type="noConversion"/>
  </si>
  <si>
    <t>영진통신</t>
    <phoneticPr fontId="4" type="noConversion"/>
  </si>
  <si>
    <t>한국통신</t>
    <phoneticPr fontId="4" type="noConversion"/>
  </si>
  <si>
    <t>제일통신</t>
    <phoneticPr fontId="4" type="noConversion"/>
  </si>
  <si>
    <t>[표2] 판매현황</t>
    <phoneticPr fontId="4" type="noConversion"/>
  </si>
  <si>
    <t>★ 베스트 판매 상품코드</t>
    <phoneticPr fontId="4" type="noConversion"/>
  </si>
  <si>
    <t>상품코드</t>
    <phoneticPr fontId="4" type="noConversion"/>
  </si>
  <si>
    <t>통신규격</t>
    <phoneticPr fontId="4" type="noConversion"/>
  </si>
  <si>
    <t>출시일</t>
    <phoneticPr fontId="4" type="noConversion"/>
  </si>
  <si>
    <t>판매대수</t>
    <phoneticPr fontId="4" type="noConversion"/>
  </si>
  <si>
    <t>KJ215</t>
  </si>
  <si>
    <t>영진통신</t>
  </si>
  <si>
    <t>WCDMA</t>
  </si>
  <si>
    <t>DJ247</t>
  </si>
  <si>
    <t>한국통신</t>
  </si>
  <si>
    <t>CDMA</t>
  </si>
  <si>
    <t>DJ242</t>
  </si>
  <si>
    <t>★ 출시일이 가장 빠른 제품의 판매대수</t>
    <phoneticPr fontId="4" type="noConversion"/>
  </si>
  <si>
    <t>KJ212</t>
  </si>
  <si>
    <t>KJ217</t>
  </si>
  <si>
    <t>DJ243</t>
  </si>
  <si>
    <t>KJ216</t>
  </si>
  <si>
    <t>DJ241</t>
  </si>
  <si>
    <t>KJ218</t>
  </si>
  <si>
    <t>DJ245</t>
  </si>
  <si>
    <t>KJ213</t>
  </si>
  <si>
    <t>KJ214</t>
  </si>
  <si>
    <t>DJ240</t>
  </si>
  <si>
    <t>DJ244</t>
  </si>
  <si>
    <t>DJ246</t>
  </si>
  <si>
    <t>KJ219</t>
  </si>
  <si>
    <t>KJ210</t>
  </si>
  <si>
    <t>KJ211</t>
  </si>
  <si>
    <t>성명</t>
    <phoneticPr fontId="11" type="noConversion"/>
  </si>
  <si>
    <t>필기시험</t>
    <phoneticPr fontId="4" type="noConversion"/>
  </si>
  <si>
    <t>실기시험</t>
    <phoneticPr fontId="11" type="noConversion"/>
  </si>
  <si>
    <t>직무분석</t>
    <phoneticPr fontId="11" type="noConversion"/>
  </si>
  <si>
    <t>합격여부</t>
    <phoneticPr fontId="11" type="noConversion"/>
  </si>
  <si>
    <t>통신규격</t>
  </si>
  <si>
    <t>판매조건</t>
  </si>
  <si>
    <t>통신사</t>
  </si>
  <si>
    <t>단말기가격</t>
  </si>
  <si>
    <t>기타비용</t>
  </si>
  <si>
    <t>할인율</t>
  </si>
  <si>
    <t>LTE</t>
  </si>
  <si>
    <t>기변</t>
  </si>
  <si>
    <t>나래통신</t>
  </si>
  <si>
    <t>번호이동</t>
  </si>
  <si>
    <t>보상</t>
  </si>
  <si>
    <t>신규</t>
  </si>
  <si>
    <t>5G</t>
  </si>
  <si>
    <t>KR도메인수(연도별) (수치)</t>
  </si>
  <si>
    <t>분류</t>
  </si>
  <si>
    <t>KR도메인수</t>
  </si>
  <si>
    <t>증감</t>
  </si>
  <si>
    <t>납부일</t>
    <phoneticPr fontId="4" type="noConversion"/>
  </si>
  <si>
    <t>요금코드</t>
    <phoneticPr fontId="4" type="noConversion"/>
  </si>
  <si>
    <t>통신사</t>
    <phoneticPr fontId="4" type="noConversion"/>
  </si>
  <si>
    <r>
      <t>사용시간(초</t>
    </r>
    <r>
      <rPr>
        <sz val="11"/>
        <color theme="1"/>
        <rFont val="맑은 고딕"/>
        <family val="3"/>
        <charset val="129"/>
        <scheme val="minor"/>
      </rPr>
      <t>)</t>
    </r>
    <phoneticPr fontId="4" type="noConversion"/>
  </si>
  <si>
    <t>기본요금</t>
    <phoneticPr fontId="4" type="noConversion"/>
  </si>
  <si>
    <t>사용요금</t>
    <phoneticPr fontId="4" type="noConversion"/>
  </si>
  <si>
    <t>[참조표]</t>
    <phoneticPr fontId="4" type="noConversion"/>
  </si>
  <si>
    <t>요금코드</t>
    <phoneticPr fontId="4" type="noConversion"/>
  </si>
  <si>
    <t>통신사</t>
    <phoneticPr fontId="4" type="noConversion"/>
  </si>
  <si>
    <t>A001</t>
    <phoneticPr fontId="4" type="noConversion"/>
  </si>
  <si>
    <t>영진통신</t>
    <phoneticPr fontId="4" type="noConversion"/>
  </si>
  <si>
    <t>A002</t>
    <phoneticPr fontId="4" type="noConversion"/>
  </si>
  <si>
    <t>제일통신</t>
    <phoneticPr fontId="4" type="noConversion"/>
  </si>
  <si>
    <t>A003</t>
  </si>
  <si>
    <r>
      <t>K</t>
    </r>
    <r>
      <rPr>
        <sz val="11"/>
        <color theme="1"/>
        <rFont val="맑은 고딕"/>
        <family val="3"/>
        <charset val="129"/>
        <scheme val="minor"/>
      </rPr>
      <t>G통신</t>
    </r>
    <phoneticPr fontId="4" type="noConversion"/>
  </si>
  <si>
    <t>A004</t>
  </si>
  <si>
    <r>
      <t>K</t>
    </r>
    <r>
      <rPr>
        <sz val="11"/>
        <color theme="1"/>
        <rFont val="맑은 고딕"/>
        <family val="3"/>
        <charset val="129"/>
        <scheme val="minor"/>
      </rPr>
      <t>NOU통신</t>
    </r>
    <phoneticPr fontId="4" type="noConversion"/>
  </si>
  <si>
    <t>A005</t>
  </si>
  <si>
    <t>한국통신</t>
    <phoneticPr fontId="4" type="noConversion"/>
  </si>
  <si>
    <t>A006</t>
  </si>
  <si>
    <t>국제통신</t>
    <phoneticPr fontId="4" type="noConversion"/>
  </si>
  <si>
    <t>[표1]</t>
    <phoneticPr fontId="1" type="noConversion"/>
  </si>
  <si>
    <t>등급</t>
    <phoneticPr fontId="4" type="noConversion"/>
  </si>
  <si>
    <t>성별</t>
    <phoneticPr fontId="4" type="noConversion"/>
  </si>
  <si>
    <t>생년월일</t>
    <phoneticPr fontId="4" type="noConversion"/>
  </si>
  <si>
    <t>나이</t>
    <phoneticPr fontId="4" type="noConversion"/>
  </si>
  <si>
    <t>가입일</t>
    <phoneticPr fontId="4" type="noConversion"/>
  </si>
  <si>
    <t>감은영</t>
    <phoneticPr fontId="4" type="noConversion"/>
  </si>
  <si>
    <t>그린</t>
    <phoneticPr fontId="4" type="noConversion"/>
  </si>
  <si>
    <t>여자</t>
  </si>
  <si>
    <t>김경남</t>
    <phoneticPr fontId="4" type="noConversion"/>
  </si>
  <si>
    <t>남자</t>
  </si>
  <si>
    <t>김미진</t>
    <phoneticPr fontId="4" type="noConversion"/>
  </si>
  <si>
    <t>레드</t>
    <phoneticPr fontId="4" type="noConversion"/>
  </si>
  <si>
    <t>김수철</t>
    <phoneticPr fontId="4" type="noConversion"/>
  </si>
  <si>
    <t>김인정</t>
    <phoneticPr fontId="4" type="noConversion"/>
  </si>
  <si>
    <t>김현호</t>
    <phoneticPr fontId="4" type="noConversion"/>
  </si>
  <si>
    <t>블루</t>
    <phoneticPr fontId="4" type="noConversion"/>
  </si>
  <si>
    <t>김호철</t>
    <phoneticPr fontId="4" type="noConversion"/>
  </si>
  <si>
    <t>나경은</t>
    <phoneticPr fontId="4" type="noConversion"/>
  </si>
  <si>
    <t>박영옥</t>
    <phoneticPr fontId="4" type="noConversion"/>
  </si>
  <si>
    <t>실버</t>
    <phoneticPr fontId="4" type="noConversion"/>
  </si>
  <si>
    <t>박주철</t>
    <phoneticPr fontId="4" type="noConversion"/>
  </si>
  <si>
    <t>서승현</t>
    <phoneticPr fontId="4" type="noConversion"/>
  </si>
  <si>
    <t>안수진</t>
    <phoneticPr fontId="4" type="noConversion"/>
  </si>
  <si>
    <t>이강우</t>
    <phoneticPr fontId="4" type="noConversion"/>
  </si>
  <si>
    <t>이미연</t>
    <phoneticPr fontId="4" type="noConversion"/>
  </si>
  <si>
    <t>이영호</t>
    <phoneticPr fontId="4" type="noConversion"/>
  </si>
  <si>
    <t>이혜원</t>
    <phoneticPr fontId="4" type="noConversion"/>
  </si>
  <si>
    <t>정명화</t>
    <phoneticPr fontId="4" type="noConversion"/>
  </si>
  <si>
    <t>차동철</t>
    <phoneticPr fontId="4" type="noConversion"/>
  </si>
  <si>
    <t>최미혜</t>
    <phoneticPr fontId="4" type="noConversion"/>
  </si>
  <si>
    <t>핑크</t>
    <phoneticPr fontId="4" type="noConversion"/>
  </si>
  <si>
    <t>박영희</t>
    <phoneticPr fontId="4" type="noConversion"/>
  </si>
  <si>
    <t>박재원</t>
    <phoneticPr fontId="4" type="noConversion"/>
  </si>
  <si>
    <t>[표6]  2022년 지원자 점수표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</si>
</sst>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General\ &quot;위&quot;"/>
    <numFmt numFmtId="177" formatCode="yyyy\-mm\-dd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indexed="9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0"/>
      <color indexed="8"/>
      <name val="맑은 고딕"/>
      <family val="3"/>
      <charset val="129"/>
      <scheme val="minor"/>
    </font>
    <font>
      <b/>
      <sz val="11"/>
      <color indexed="28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6" fillId="0" borderId="0"/>
  </cellStyleXfs>
  <cellXfs count="43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14" fontId="7" fillId="0" borderId="1" xfId="2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7" fillId="0" borderId="1" xfId="1" applyFont="1" applyFill="1" applyBorder="1" applyAlignment="1">
      <alignment horizontal="left" vertical="center"/>
    </xf>
    <xf numFmtId="0" fontId="3" fillId="2" borderId="0" xfId="0" applyFont="1" applyFill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5" fillId="0" borderId="1" xfId="0" applyFont="1" applyFill="1" applyBorder="1" applyAlignment="1">
      <alignment horizontal="center" vertical="center"/>
    </xf>
    <xf numFmtId="41" fontId="7" fillId="0" borderId="1" xfId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7" fillId="0" borderId="1" xfId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4" fontId="7" fillId="0" borderId="0" xfId="0" applyNumberFormat="1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3" fontId="12" fillId="6" borderId="1" xfId="0" applyNumberFormat="1" applyFont="1" applyFill="1" applyBorder="1" applyAlignment="1">
      <alignment horizontal="right" vertical="center" wrapText="1"/>
    </xf>
    <xf numFmtId="49" fontId="14" fillId="6" borderId="1" xfId="0" applyNumberFormat="1" applyFont="1" applyFill="1" applyBorder="1" applyAlignment="1">
      <alignment horizontal="left" vertical="center" wrapText="1"/>
    </xf>
    <xf numFmtId="3" fontId="15" fillId="6" borderId="1" xfId="0" applyNumberFormat="1" applyFont="1" applyFill="1" applyBorder="1" applyAlignment="1">
      <alignment horizontal="right" vertical="center" wrapText="1"/>
    </xf>
    <xf numFmtId="49" fontId="13" fillId="4" borderId="1" xfId="0" applyNumberFormat="1" applyFont="1" applyFill="1" applyBorder="1" applyAlignment="1">
      <alignment horizontal="center" vertical="center" wrapText="1"/>
    </xf>
    <xf numFmtId="0" fontId="14" fillId="4" borderId="1" xfId="0" applyNumberFormat="1" applyFont="1" applyFill="1" applyBorder="1" applyAlignment="1">
      <alignment horizontal="center" vertical="center" wrapText="1"/>
    </xf>
    <xf numFmtId="0" fontId="7" fillId="0" borderId="0" xfId="3" applyFont="1" applyAlignment="1">
      <alignment vertical="center"/>
    </xf>
    <xf numFmtId="0" fontId="7" fillId="0" borderId="1" xfId="3" applyFont="1" applyBorder="1" applyAlignment="1">
      <alignment horizontal="center" vertical="center"/>
    </xf>
    <xf numFmtId="14" fontId="7" fillId="0" borderId="1" xfId="3" applyNumberFormat="1" applyFont="1" applyBorder="1" applyAlignment="1">
      <alignment vertical="center"/>
    </xf>
    <xf numFmtId="0" fontId="7" fillId="0" borderId="1" xfId="3" applyFont="1" applyBorder="1" applyAlignment="1">
      <alignment vertical="center"/>
    </xf>
    <xf numFmtId="41" fontId="7" fillId="0" borderId="1" xfId="1" applyFont="1" applyBorder="1" applyAlignment="1">
      <alignment vertical="center"/>
    </xf>
    <xf numFmtId="0" fontId="7" fillId="7" borderId="1" xfId="2" applyFont="1" applyFill="1" applyBorder="1" applyAlignment="1">
      <alignment horizontal="center" vertical="center"/>
    </xf>
    <xf numFmtId="177" fontId="7" fillId="0" borderId="1" xfId="2" applyNumberFormat="1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 vertical="center"/>
    </xf>
  </cellXfs>
  <cellStyles count="4">
    <cellStyle name="쉼표 [0]" xfId="1" builtinId="6"/>
    <cellStyle name="표준" xfId="0" builtinId="0"/>
    <cellStyle name="표준_데이터베이스함수" xfId="2"/>
    <cellStyle name="표준_합격다지기5회(정답)" xfId="3"/>
  </cellStyles>
  <dxfs count="1">
    <dxf>
      <font>
        <b/>
        <i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'기타작업-1'!$B$4</c:f>
              <c:strCache>
                <c:ptCount val="1"/>
                <c:pt idx="0">
                  <c:v>KR도메인수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'기타작업-1'!$C$3:$H$3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'기타작업-1'!$C$4:$H$4</c:f>
              <c:numCache>
                <c:formatCode>#,##0</c:formatCode>
                <c:ptCount val="6"/>
                <c:pt idx="0">
                  <c:v>590800</c:v>
                </c:pt>
                <c:pt idx="1">
                  <c:v>642770</c:v>
                </c:pt>
                <c:pt idx="2">
                  <c:v>705775</c:v>
                </c:pt>
                <c:pt idx="3">
                  <c:v>930485</c:v>
                </c:pt>
                <c:pt idx="4">
                  <c:v>1001206</c:v>
                </c:pt>
                <c:pt idx="5">
                  <c:v>1004115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EF-4EEB-9F65-062691BBEBA1}"/>
            </c:ext>
          </c:extLst>
        </c:ser>
        <c:ser>
          <c:idx val="2"/>
          <c:order val="1"/>
          <c:tx>
            <c:strRef>
              <c:f>'기타작업-1'!$B$5</c:f>
              <c:strCache>
                <c:ptCount val="1"/>
                <c:pt idx="0">
                  <c:v>증감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'기타작업-1'!$C$3:$H$3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'기타작업-1'!$C$5:$H$5</c:f>
              <c:numCache>
                <c:formatCode>#,##0</c:formatCode>
                <c:ptCount val="6"/>
                <c:pt idx="0">
                  <c:v>-20748</c:v>
                </c:pt>
                <c:pt idx="1">
                  <c:v>51970</c:v>
                </c:pt>
                <c:pt idx="2">
                  <c:v>63005</c:v>
                </c:pt>
                <c:pt idx="3">
                  <c:v>224710</c:v>
                </c:pt>
                <c:pt idx="4">
                  <c:v>70721</c:v>
                </c:pt>
                <c:pt idx="5">
                  <c:v>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EF-4EEB-9F65-062691BB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96791840"/>
        <c:axId val="396792256"/>
      </c:barChart>
      <c:catAx>
        <c:axId val="39679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6792256"/>
        <c:crosses val="autoZero"/>
        <c:auto val="1"/>
        <c:lblAlgn val="ctr"/>
        <c:lblOffset val="100"/>
        <c:noMultiLvlLbl val="0"/>
      </c:catAx>
      <c:valAx>
        <c:axId val="39679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679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0</xdr:row>
          <xdr:rowOff>196850</xdr:rowOff>
        </xdr:from>
        <xdr:to>
          <xdr:col>6</xdr:col>
          <xdr:colOff>0</xdr:colOff>
          <xdr:row>2</xdr:row>
          <xdr:rowOff>152400</xdr:rowOff>
        </xdr:to>
        <xdr:sp macro="" textlink="">
          <xdr:nvSpPr>
            <xdr:cNvPr id="8193" name="cmd요금계산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8"/>
  <sheetViews>
    <sheetView tabSelected="1" workbookViewId="0"/>
  </sheetViews>
  <sheetFormatPr defaultRowHeight="17"/>
  <cols>
    <col min="1" max="1" width="12.5" customWidth="1"/>
    <col min="2" max="4" width="10.5" customWidth="1"/>
    <col min="5" max="5" width="16.9140625" customWidth="1"/>
    <col min="6" max="6" width="14.58203125" customWidth="1"/>
  </cols>
  <sheetData>
    <row r="1" spans="1:6" ht="23">
      <c r="A1" s="6" t="s">
        <v>0</v>
      </c>
      <c r="B1" s="41" t="s">
        <v>1</v>
      </c>
      <c r="C1" s="41"/>
      <c r="D1" s="41"/>
      <c r="E1" s="41"/>
      <c r="F1" s="41"/>
    </row>
    <row r="2" spans="1:6">
      <c r="A2" s="1"/>
      <c r="B2" s="1"/>
      <c r="C2" s="1"/>
      <c r="D2" s="1"/>
      <c r="E2" s="1"/>
      <c r="F2" s="1"/>
    </row>
    <row r="3" spans="1:6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3">
        <v>41978</v>
      </c>
      <c r="B4" s="4" t="s">
        <v>8</v>
      </c>
      <c r="C4" s="2" t="s">
        <v>9</v>
      </c>
      <c r="D4" s="2" t="s">
        <v>10</v>
      </c>
      <c r="E4" s="2" t="s">
        <v>11</v>
      </c>
      <c r="F4" s="5">
        <v>25200000</v>
      </c>
    </row>
    <row r="5" spans="1:6">
      <c r="A5" s="3">
        <v>42709</v>
      </c>
      <c r="B5" s="4" t="s">
        <v>12</v>
      </c>
      <c r="C5" s="2" t="s">
        <v>13</v>
      </c>
      <c r="D5" s="2" t="s">
        <v>14</v>
      </c>
      <c r="E5" s="2" t="s">
        <v>15</v>
      </c>
      <c r="F5" s="5">
        <v>16800000</v>
      </c>
    </row>
    <row r="6" spans="1:6">
      <c r="A6" s="3">
        <v>42337</v>
      </c>
      <c r="B6" s="4" t="s">
        <v>16</v>
      </c>
      <c r="C6" s="2" t="s">
        <v>13</v>
      </c>
      <c r="D6" s="2" t="s">
        <v>10</v>
      </c>
      <c r="E6" s="2" t="s">
        <v>17</v>
      </c>
      <c r="F6" s="5">
        <v>23900000</v>
      </c>
    </row>
    <row r="7" spans="1:6">
      <c r="A7" s="3">
        <v>44176</v>
      </c>
      <c r="B7" s="4" t="s">
        <v>18</v>
      </c>
      <c r="C7" s="2" t="s">
        <v>19</v>
      </c>
      <c r="D7" s="2" t="s">
        <v>20</v>
      </c>
      <c r="E7" s="2" t="s">
        <v>21</v>
      </c>
      <c r="F7" s="5">
        <v>13300000</v>
      </c>
    </row>
    <row r="8" spans="1:6">
      <c r="A8" s="3">
        <v>43804</v>
      </c>
      <c r="B8" s="4" t="s">
        <v>22</v>
      </c>
      <c r="C8" s="2" t="s">
        <v>23</v>
      </c>
      <c r="D8" s="2" t="s">
        <v>20</v>
      </c>
      <c r="E8" s="2" t="s">
        <v>24</v>
      </c>
      <c r="F8" s="5">
        <v>14500000</v>
      </c>
    </row>
    <row r="9" spans="1:6">
      <c r="A9" s="3">
        <v>43813</v>
      </c>
      <c r="B9" s="4" t="s">
        <v>25</v>
      </c>
      <c r="C9" s="2" t="s">
        <v>19</v>
      </c>
      <c r="D9" s="2" t="s">
        <v>20</v>
      </c>
      <c r="E9" s="2" t="s">
        <v>26</v>
      </c>
      <c r="F9" s="5">
        <v>14100000</v>
      </c>
    </row>
    <row r="10" spans="1:6">
      <c r="A10" s="3">
        <v>42701</v>
      </c>
      <c r="B10" s="4" t="s">
        <v>27</v>
      </c>
      <c r="C10" s="2" t="s">
        <v>23</v>
      </c>
      <c r="D10" s="2" t="s">
        <v>14</v>
      </c>
      <c r="E10" s="2" t="s">
        <v>28</v>
      </c>
      <c r="F10" s="5">
        <v>20200000</v>
      </c>
    </row>
    <row r="11" spans="1:6">
      <c r="A11" s="3">
        <v>33946</v>
      </c>
      <c r="B11" s="4" t="s">
        <v>29</v>
      </c>
      <c r="C11" s="2" t="s">
        <v>23</v>
      </c>
      <c r="D11" s="2" t="s">
        <v>10</v>
      </c>
      <c r="E11" s="2" t="s">
        <v>30</v>
      </c>
      <c r="F11" s="5">
        <v>22500000</v>
      </c>
    </row>
    <row r="12" spans="1:6">
      <c r="A12" s="3">
        <v>37577</v>
      </c>
      <c r="B12" s="4" t="s">
        <v>31</v>
      </c>
      <c r="C12" s="2" t="s">
        <v>19</v>
      </c>
      <c r="D12" s="2" t="s">
        <v>32</v>
      </c>
      <c r="E12" s="2" t="s">
        <v>33</v>
      </c>
      <c r="F12" s="5">
        <v>32000000</v>
      </c>
    </row>
    <row r="13" spans="1:6">
      <c r="A13" s="3">
        <v>42695</v>
      </c>
      <c r="B13" s="4" t="s">
        <v>34</v>
      </c>
      <c r="C13" s="2" t="s">
        <v>23</v>
      </c>
      <c r="D13" s="2" t="s">
        <v>14</v>
      </c>
      <c r="E13" s="2" t="s">
        <v>35</v>
      </c>
      <c r="F13" s="5">
        <v>16600000</v>
      </c>
    </row>
    <row r="14" spans="1:6">
      <c r="A14" s="3">
        <v>43431</v>
      </c>
      <c r="B14" s="4" t="s">
        <v>36</v>
      </c>
      <c r="C14" s="2" t="s">
        <v>9</v>
      </c>
      <c r="D14" s="2" t="s">
        <v>20</v>
      </c>
      <c r="E14" s="2" t="s">
        <v>37</v>
      </c>
      <c r="F14" s="5">
        <v>16000000</v>
      </c>
    </row>
    <row r="15" spans="1:6">
      <c r="A15" s="3">
        <v>36142</v>
      </c>
      <c r="B15" s="4" t="s">
        <v>38</v>
      </c>
      <c r="C15" s="2" t="s">
        <v>13</v>
      </c>
      <c r="D15" s="2" t="s">
        <v>32</v>
      </c>
      <c r="E15" s="2" t="s">
        <v>39</v>
      </c>
      <c r="F15" s="5">
        <v>32900000</v>
      </c>
    </row>
    <row r="16" spans="1:6">
      <c r="A16" s="3">
        <v>43045</v>
      </c>
      <c r="B16" s="4" t="s">
        <v>40</v>
      </c>
      <c r="C16" s="2" t="s">
        <v>23</v>
      </c>
      <c r="D16" s="2" t="s">
        <v>10</v>
      </c>
      <c r="E16" s="2" t="s">
        <v>41</v>
      </c>
      <c r="F16" s="5">
        <v>24800000</v>
      </c>
    </row>
    <row r="17" spans="1:6">
      <c r="A17" s="3">
        <v>36503</v>
      </c>
      <c r="B17" s="4" t="s">
        <v>42</v>
      </c>
      <c r="C17" s="2" t="s">
        <v>9</v>
      </c>
      <c r="D17" s="2" t="s">
        <v>32</v>
      </c>
      <c r="E17" s="2" t="s">
        <v>43</v>
      </c>
      <c r="F17" s="5">
        <v>20100000</v>
      </c>
    </row>
    <row r="18" spans="1:6">
      <c r="A18" s="3">
        <v>42700</v>
      </c>
      <c r="B18" s="4" t="s">
        <v>44</v>
      </c>
      <c r="C18" s="2" t="s">
        <v>9</v>
      </c>
      <c r="D18" s="2" t="s">
        <v>14</v>
      </c>
      <c r="E18" s="2" t="s">
        <v>45</v>
      </c>
      <c r="F18" s="5">
        <v>18000000</v>
      </c>
    </row>
    <row r="19" spans="1:6">
      <c r="A19" s="3">
        <v>36858</v>
      </c>
      <c r="B19" s="4" t="s">
        <v>46</v>
      </c>
      <c r="C19" s="2" t="s">
        <v>9</v>
      </c>
      <c r="D19" s="2" t="s">
        <v>10</v>
      </c>
      <c r="E19" s="2" t="s">
        <v>47</v>
      </c>
      <c r="F19" s="5">
        <v>22600000</v>
      </c>
    </row>
    <row r="20" spans="1:6">
      <c r="A20" s="3">
        <v>43079</v>
      </c>
      <c r="B20" s="4" t="s">
        <v>48</v>
      </c>
      <c r="C20" s="2" t="s">
        <v>23</v>
      </c>
      <c r="D20" s="2" t="s">
        <v>14</v>
      </c>
      <c r="E20" s="2" t="s">
        <v>49</v>
      </c>
      <c r="F20" s="5">
        <v>17200000</v>
      </c>
    </row>
    <row r="21" spans="1:6">
      <c r="A21" s="3">
        <v>35772</v>
      </c>
      <c r="B21" s="4" t="s">
        <v>50</v>
      </c>
      <c r="C21" s="2" t="s">
        <v>23</v>
      </c>
      <c r="D21" s="2" t="s">
        <v>32</v>
      </c>
      <c r="E21" s="2" t="s">
        <v>51</v>
      </c>
      <c r="F21" s="5">
        <v>30200000</v>
      </c>
    </row>
    <row r="22" spans="1:6">
      <c r="A22" s="3">
        <v>37597</v>
      </c>
      <c r="B22" s="4" t="s">
        <v>52</v>
      </c>
      <c r="C22" s="2" t="s">
        <v>9</v>
      </c>
      <c r="D22" s="2" t="s">
        <v>14</v>
      </c>
      <c r="E22" s="2" t="s">
        <v>53</v>
      </c>
      <c r="F22" s="5">
        <v>18300000</v>
      </c>
    </row>
    <row r="23" spans="1:6">
      <c r="A23" s="3">
        <v>41607</v>
      </c>
      <c r="B23" s="4" t="s">
        <v>54</v>
      </c>
      <c r="C23" s="2" t="s">
        <v>23</v>
      </c>
      <c r="D23" s="2" t="s">
        <v>20</v>
      </c>
      <c r="E23" s="2" t="s">
        <v>55</v>
      </c>
      <c r="F23" s="5">
        <v>18300000</v>
      </c>
    </row>
    <row r="24" spans="1:6">
      <c r="A24" s="3">
        <v>41976</v>
      </c>
      <c r="B24" s="4" t="s">
        <v>56</v>
      </c>
      <c r="C24" s="2" t="s">
        <v>19</v>
      </c>
      <c r="D24" s="2" t="s">
        <v>14</v>
      </c>
      <c r="E24" s="2" t="s">
        <v>57</v>
      </c>
      <c r="F24" s="5">
        <v>16200000</v>
      </c>
    </row>
    <row r="25" spans="1:6">
      <c r="A25" s="3">
        <v>43805</v>
      </c>
      <c r="B25" s="4" t="s">
        <v>58</v>
      </c>
      <c r="C25" s="2" t="s">
        <v>19</v>
      </c>
      <c r="D25" s="2" t="s">
        <v>20</v>
      </c>
      <c r="E25" s="2" t="s">
        <v>59</v>
      </c>
      <c r="F25" s="5">
        <v>15000000</v>
      </c>
    </row>
    <row r="26" spans="1:6">
      <c r="A26" s="3">
        <v>37597</v>
      </c>
      <c r="B26" s="4" t="s">
        <v>60</v>
      </c>
      <c r="C26" s="2" t="s">
        <v>13</v>
      </c>
      <c r="D26" s="2" t="s">
        <v>10</v>
      </c>
      <c r="E26" s="2" t="s">
        <v>61</v>
      </c>
      <c r="F26" s="5">
        <v>22900000</v>
      </c>
    </row>
    <row r="27" spans="1:6">
      <c r="A27" s="3">
        <v>43803</v>
      </c>
      <c r="B27" s="4" t="s">
        <v>62</v>
      </c>
      <c r="C27" s="2" t="s">
        <v>23</v>
      </c>
      <c r="D27" s="2" t="s">
        <v>20</v>
      </c>
      <c r="E27" s="2" t="s">
        <v>63</v>
      </c>
      <c r="F27" s="5">
        <v>14200000</v>
      </c>
    </row>
    <row r="28" spans="1:6">
      <c r="A28" s="3">
        <v>44151</v>
      </c>
      <c r="B28" s="4" t="s">
        <v>64</v>
      </c>
      <c r="C28" s="2" t="s">
        <v>9</v>
      </c>
      <c r="D28" s="2" t="s">
        <v>20</v>
      </c>
      <c r="E28" s="2" t="s">
        <v>65</v>
      </c>
      <c r="F28" s="5">
        <v>13600000</v>
      </c>
    </row>
  </sheetData>
  <mergeCells count="1">
    <mergeCell ref="B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8"/>
  <sheetViews>
    <sheetView workbookViewId="0"/>
  </sheetViews>
  <sheetFormatPr defaultRowHeight="17"/>
  <cols>
    <col min="1" max="1" width="12.5" customWidth="1"/>
    <col min="2" max="4" width="10.5" customWidth="1"/>
    <col min="5" max="5" width="16.9140625" customWidth="1"/>
    <col min="6" max="6" width="14.58203125" customWidth="1"/>
  </cols>
  <sheetData>
    <row r="1" spans="1:6" ht="23">
      <c r="A1" s="6" t="s">
        <v>0</v>
      </c>
      <c r="B1" s="41" t="s">
        <v>1</v>
      </c>
      <c r="C1" s="41"/>
      <c r="D1" s="41"/>
      <c r="E1" s="41"/>
      <c r="F1" s="41"/>
    </row>
    <row r="2" spans="1:6">
      <c r="A2" s="1"/>
      <c r="B2" s="1"/>
      <c r="C2" s="1"/>
      <c r="D2" s="1"/>
      <c r="E2" s="1"/>
      <c r="F2" s="1"/>
    </row>
    <row r="3" spans="1:6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</row>
    <row r="4" spans="1:6">
      <c r="A4" s="3">
        <v>41978</v>
      </c>
      <c r="B4" s="4" t="s">
        <v>8</v>
      </c>
      <c r="C4" s="2" t="s">
        <v>9</v>
      </c>
      <c r="D4" s="2" t="s">
        <v>10</v>
      </c>
      <c r="E4" s="2" t="s">
        <v>11</v>
      </c>
      <c r="F4" s="5">
        <v>25200000</v>
      </c>
    </row>
    <row r="5" spans="1:6">
      <c r="A5" s="3">
        <v>42709</v>
      </c>
      <c r="B5" s="4" t="s">
        <v>12</v>
      </c>
      <c r="C5" s="2" t="s">
        <v>13</v>
      </c>
      <c r="D5" s="2" t="s">
        <v>14</v>
      </c>
      <c r="E5" s="2" t="s">
        <v>15</v>
      </c>
      <c r="F5" s="5">
        <v>16800000</v>
      </c>
    </row>
    <row r="6" spans="1:6">
      <c r="A6" s="3">
        <v>42337</v>
      </c>
      <c r="B6" s="4" t="s">
        <v>16</v>
      </c>
      <c r="C6" s="2" t="s">
        <v>13</v>
      </c>
      <c r="D6" s="2" t="s">
        <v>10</v>
      </c>
      <c r="E6" s="2" t="s">
        <v>17</v>
      </c>
      <c r="F6" s="5">
        <v>23900000</v>
      </c>
    </row>
    <row r="7" spans="1:6">
      <c r="A7" s="3">
        <v>44176</v>
      </c>
      <c r="B7" s="4" t="s">
        <v>18</v>
      </c>
      <c r="C7" s="2" t="s">
        <v>13</v>
      </c>
      <c r="D7" s="2" t="s">
        <v>20</v>
      </c>
      <c r="E7" s="2" t="s">
        <v>21</v>
      </c>
      <c r="F7" s="5">
        <v>13300000</v>
      </c>
    </row>
    <row r="8" spans="1:6">
      <c r="A8" s="3">
        <v>43804</v>
      </c>
      <c r="B8" s="4" t="s">
        <v>22</v>
      </c>
      <c r="C8" s="2" t="s">
        <v>23</v>
      </c>
      <c r="D8" s="2" t="s">
        <v>20</v>
      </c>
      <c r="E8" s="2" t="s">
        <v>24</v>
      </c>
      <c r="F8" s="5">
        <v>14500000</v>
      </c>
    </row>
    <row r="9" spans="1:6">
      <c r="A9" s="3">
        <v>43813</v>
      </c>
      <c r="B9" s="4" t="s">
        <v>25</v>
      </c>
      <c r="C9" s="2" t="s">
        <v>13</v>
      </c>
      <c r="D9" s="2" t="s">
        <v>20</v>
      </c>
      <c r="E9" s="2" t="s">
        <v>26</v>
      </c>
      <c r="F9" s="5">
        <v>14100000</v>
      </c>
    </row>
    <row r="10" spans="1:6">
      <c r="A10" s="3">
        <v>42701</v>
      </c>
      <c r="B10" s="4" t="s">
        <v>27</v>
      </c>
      <c r="C10" s="2" t="s">
        <v>23</v>
      </c>
      <c r="D10" s="2" t="s">
        <v>14</v>
      </c>
      <c r="E10" s="2" t="s">
        <v>28</v>
      </c>
      <c r="F10" s="5">
        <v>20200000</v>
      </c>
    </row>
    <row r="11" spans="1:6">
      <c r="A11" s="3">
        <v>33946</v>
      </c>
      <c r="B11" s="4" t="s">
        <v>29</v>
      </c>
      <c r="C11" s="2" t="s">
        <v>23</v>
      </c>
      <c r="D11" s="2" t="s">
        <v>10</v>
      </c>
      <c r="E11" s="2" t="s">
        <v>30</v>
      </c>
      <c r="F11" s="5">
        <v>22500000</v>
      </c>
    </row>
    <row r="12" spans="1:6">
      <c r="A12" s="3">
        <v>37577</v>
      </c>
      <c r="B12" s="4" t="s">
        <v>31</v>
      </c>
      <c r="C12" s="2" t="s">
        <v>13</v>
      </c>
      <c r="D12" s="2" t="s">
        <v>32</v>
      </c>
      <c r="E12" s="2" t="s">
        <v>33</v>
      </c>
      <c r="F12" s="5">
        <v>32000000</v>
      </c>
    </row>
    <row r="13" spans="1:6">
      <c r="A13" s="3">
        <v>42695</v>
      </c>
      <c r="B13" s="4" t="s">
        <v>34</v>
      </c>
      <c r="C13" s="2" t="s">
        <v>23</v>
      </c>
      <c r="D13" s="2" t="s">
        <v>14</v>
      </c>
      <c r="E13" s="2" t="s">
        <v>35</v>
      </c>
      <c r="F13" s="5">
        <v>16600000</v>
      </c>
    </row>
    <row r="14" spans="1:6">
      <c r="A14" s="3">
        <v>43431</v>
      </c>
      <c r="B14" s="4" t="s">
        <v>36</v>
      </c>
      <c r="C14" s="2" t="s">
        <v>9</v>
      </c>
      <c r="D14" s="2" t="s">
        <v>20</v>
      </c>
      <c r="E14" s="2" t="s">
        <v>37</v>
      </c>
      <c r="F14" s="5">
        <v>16000000</v>
      </c>
    </row>
    <row r="15" spans="1:6">
      <c r="A15" s="3">
        <v>36142</v>
      </c>
      <c r="B15" s="4" t="s">
        <v>38</v>
      </c>
      <c r="C15" s="2" t="s">
        <v>13</v>
      </c>
      <c r="D15" s="2" t="s">
        <v>32</v>
      </c>
      <c r="E15" s="2" t="s">
        <v>39</v>
      </c>
      <c r="F15" s="5">
        <v>32900000</v>
      </c>
    </row>
    <row r="16" spans="1:6">
      <c r="A16" s="3">
        <v>43045</v>
      </c>
      <c r="B16" s="4" t="s">
        <v>40</v>
      </c>
      <c r="C16" s="2" t="s">
        <v>23</v>
      </c>
      <c r="D16" s="2" t="s">
        <v>10</v>
      </c>
      <c r="E16" s="2" t="s">
        <v>41</v>
      </c>
      <c r="F16" s="5">
        <v>24800000</v>
      </c>
    </row>
    <row r="17" spans="1:6">
      <c r="A17" s="3">
        <v>36503</v>
      </c>
      <c r="B17" s="4" t="s">
        <v>42</v>
      </c>
      <c r="C17" s="2" t="s">
        <v>9</v>
      </c>
      <c r="D17" s="2" t="s">
        <v>32</v>
      </c>
      <c r="E17" s="2" t="s">
        <v>43</v>
      </c>
      <c r="F17" s="5">
        <v>20100000</v>
      </c>
    </row>
    <row r="18" spans="1:6">
      <c r="A18" s="3">
        <v>42700</v>
      </c>
      <c r="B18" s="4" t="s">
        <v>44</v>
      </c>
      <c r="C18" s="2" t="s">
        <v>9</v>
      </c>
      <c r="D18" s="2" t="s">
        <v>14</v>
      </c>
      <c r="E18" s="2" t="s">
        <v>45</v>
      </c>
      <c r="F18" s="5">
        <v>18000000</v>
      </c>
    </row>
    <row r="19" spans="1:6">
      <c r="A19" s="3">
        <v>36858</v>
      </c>
      <c r="B19" s="4" t="s">
        <v>46</v>
      </c>
      <c r="C19" s="2" t="s">
        <v>9</v>
      </c>
      <c r="D19" s="2" t="s">
        <v>10</v>
      </c>
      <c r="E19" s="2" t="s">
        <v>47</v>
      </c>
      <c r="F19" s="5">
        <v>22600000</v>
      </c>
    </row>
    <row r="20" spans="1:6">
      <c r="A20" s="3">
        <v>43079</v>
      </c>
      <c r="B20" s="4" t="s">
        <v>48</v>
      </c>
      <c r="C20" s="2" t="s">
        <v>23</v>
      </c>
      <c r="D20" s="2" t="s">
        <v>14</v>
      </c>
      <c r="E20" s="2" t="s">
        <v>49</v>
      </c>
      <c r="F20" s="5">
        <v>17200000</v>
      </c>
    </row>
    <row r="21" spans="1:6">
      <c r="A21" s="3">
        <v>35772</v>
      </c>
      <c r="B21" s="4" t="s">
        <v>50</v>
      </c>
      <c r="C21" s="2" t="s">
        <v>23</v>
      </c>
      <c r="D21" s="2" t="s">
        <v>32</v>
      </c>
      <c r="E21" s="2" t="s">
        <v>51</v>
      </c>
      <c r="F21" s="5">
        <v>30200000</v>
      </c>
    </row>
    <row r="22" spans="1:6">
      <c r="A22" s="3">
        <v>37597</v>
      </c>
      <c r="B22" s="4" t="s">
        <v>52</v>
      </c>
      <c r="C22" s="2" t="s">
        <v>9</v>
      </c>
      <c r="D22" s="2" t="s">
        <v>14</v>
      </c>
      <c r="E22" s="2" t="s">
        <v>53</v>
      </c>
      <c r="F22" s="5">
        <v>18300000</v>
      </c>
    </row>
    <row r="23" spans="1:6">
      <c r="A23" s="3">
        <v>41607</v>
      </c>
      <c r="B23" s="4" t="s">
        <v>54</v>
      </c>
      <c r="C23" s="2" t="s">
        <v>23</v>
      </c>
      <c r="D23" s="2" t="s">
        <v>20</v>
      </c>
      <c r="E23" s="2" t="s">
        <v>55</v>
      </c>
      <c r="F23" s="5">
        <v>18300000</v>
      </c>
    </row>
    <row r="24" spans="1:6">
      <c r="A24" s="3">
        <v>41976</v>
      </c>
      <c r="B24" s="4" t="s">
        <v>56</v>
      </c>
      <c r="C24" s="2" t="s">
        <v>13</v>
      </c>
      <c r="D24" s="2" t="s">
        <v>14</v>
      </c>
      <c r="E24" s="2" t="s">
        <v>57</v>
      </c>
      <c r="F24" s="5">
        <v>16200000</v>
      </c>
    </row>
    <row r="25" spans="1:6">
      <c r="A25" s="3">
        <v>43805</v>
      </c>
      <c r="B25" s="4" t="s">
        <v>58</v>
      </c>
      <c r="C25" s="2" t="s">
        <v>13</v>
      </c>
      <c r="D25" s="2" t="s">
        <v>20</v>
      </c>
      <c r="E25" s="2" t="s">
        <v>59</v>
      </c>
      <c r="F25" s="5">
        <v>15000000</v>
      </c>
    </row>
    <row r="26" spans="1:6">
      <c r="A26" s="3">
        <v>37597</v>
      </c>
      <c r="B26" s="4" t="s">
        <v>60</v>
      </c>
      <c r="C26" s="2" t="s">
        <v>13</v>
      </c>
      <c r="D26" s="2" t="s">
        <v>10</v>
      </c>
      <c r="E26" s="2" t="s">
        <v>61</v>
      </c>
      <c r="F26" s="5">
        <v>22900000</v>
      </c>
    </row>
    <row r="27" spans="1:6">
      <c r="A27" s="3">
        <v>43803</v>
      </c>
      <c r="B27" s="4" t="s">
        <v>62</v>
      </c>
      <c r="C27" s="2" t="s">
        <v>23</v>
      </c>
      <c r="D27" s="2" t="s">
        <v>20</v>
      </c>
      <c r="E27" s="2" t="s">
        <v>63</v>
      </c>
      <c r="F27" s="5">
        <v>14200000</v>
      </c>
    </row>
    <row r="28" spans="1:6">
      <c r="A28" s="3">
        <v>44151</v>
      </c>
      <c r="B28" s="4" t="s">
        <v>64</v>
      </c>
      <c r="C28" s="2" t="s">
        <v>9</v>
      </c>
      <c r="D28" s="2" t="s">
        <v>20</v>
      </c>
      <c r="E28" s="2" t="s">
        <v>65</v>
      </c>
      <c r="F28" s="5">
        <v>13600000</v>
      </c>
    </row>
  </sheetData>
  <mergeCells count="1">
    <mergeCell ref="B1:F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1"/>
  <sheetViews>
    <sheetView workbookViewId="0"/>
  </sheetViews>
  <sheetFormatPr defaultRowHeight="17"/>
  <cols>
    <col min="1" max="1" width="12.6640625" customWidth="1"/>
    <col min="2" max="2" width="10.6640625" customWidth="1"/>
    <col min="3" max="3" width="11.08203125" customWidth="1"/>
    <col min="4" max="4" width="12.5" customWidth="1"/>
    <col min="5" max="5" width="10.5" customWidth="1"/>
    <col min="7" max="7" width="10.5" customWidth="1"/>
    <col min="8" max="8" width="13.83203125" customWidth="1"/>
  </cols>
  <sheetData>
    <row r="1" spans="1:10">
      <c r="A1" s="7" t="s">
        <v>66</v>
      </c>
      <c r="B1" s="8"/>
      <c r="C1" s="9"/>
      <c r="D1" s="9"/>
      <c r="E1" s="9"/>
      <c r="F1" s="9"/>
      <c r="G1" s="7" t="s">
        <v>67</v>
      </c>
      <c r="H1" s="9"/>
      <c r="I1" s="9"/>
      <c r="J1" s="9"/>
    </row>
    <row r="2" spans="1:10" ht="34">
      <c r="A2" s="10" t="s">
        <v>68</v>
      </c>
      <c r="B2" s="21" t="s">
        <v>69</v>
      </c>
      <c r="C2" s="21" t="s">
        <v>70</v>
      </c>
      <c r="D2" s="9"/>
      <c r="E2" s="9"/>
      <c r="F2" s="9"/>
      <c r="G2" s="11" t="s">
        <v>71</v>
      </c>
      <c r="H2" s="23" t="s">
        <v>72</v>
      </c>
      <c r="I2" s="9"/>
      <c r="J2" s="9"/>
    </row>
    <row r="3" spans="1:10">
      <c r="A3" s="22">
        <v>1</v>
      </c>
      <c r="B3" s="12"/>
      <c r="C3" s="12"/>
      <c r="D3" s="9"/>
      <c r="E3" s="9"/>
      <c r="F3" s="9"/>
      <c r="G3" s="13" t="s">
        <v>73</v>
      </c>
      <c r="H3" s="14"/>
      <c r="I3" s="9"/>
      <c r="J3" s="9"/>
    </row>
    <row r="4" spans="1:10">
      <c r="A4" s="22">
        <v>2</v>
      </c>
      <c r="B4" s="12"/>
      <c r="C4" s="12"/>
      <c r="D4" s="9"/>
      <c r="E4" s="9"/>
      <c r="F4" s="9"/>
      <c r="G4" s="13" t="s">
        <v>74</v>
      </c>
      <c r="H4" s="14"/>
      <c r="I4" s="9"/>
      <c r="J4" s="9"/>
    </row>
    <row r="5" spans="1:10">
      <c r="A5" s="22">
        <v>3</v>
      </c>
      <c r="B5" s="12"/>
      <c r="C5" s="12"/>
      <c r="D5" s="9"/>
      <c r="E5" s="9"/>
      <c r="F5" s="9"/>
      <c r="G5" s="13" t="s">
        <v>75</v>
      </c>
      <c r="H5" s="14"/>
      <c r="I5" s="9"/>
      <c r="J5" s="9"/>
    </row>
    <row r="6" spans="1:10">
      <c r="A6" s="9"/>
      <c r="B6" s="9"/>
      <c r="C6" s="9"/>
      <c r="D6" s="9"/>
      <c r="E6" s="9"/>
      <c r="F6" s="9"/>
      <c r="G6" s="9"/>
      <c r="H6" s="9"/>
      <c r="I6" s="9"/>
      <c r="J6" s="9"/>
    </row>
    <row r="7" spans="1:10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>
      <c r="A8" s="7" t="s">
        <v>76</v>
      </c>
      <c r="B8" s="8"/>
      <c r="C8" s="9"/>
      <c r="D8" s="9"/>
      <c r="E8" s="9"/>
      <c r="F8" s="9"/>
      <c r="G8" s="7" t="s">
        <v>77</v>
      </c>
      <c r="H8" s="9"/>
      <c r="I8" s="9"/>
      <c r="J8" s="9"/>
    </row>
    <row r="9" spans="1:10">
      <c r="A9" s="15" t="s">
        <v>78</v>
      </c>
      <c r="B9" s="15" t="s">
        <v>71</v>
      </c>
      <c r="C9" s="15" t="s">
        <v>79</v>
      </c>
      <c r="D9" s="15" t="s">
        <v>80</v>
      </c>
      <c r="E9" s="15" t="s">
        <v>81</v>
      </c>
      <c r="F9" s="9"/>
      <c r="G9" s="23" t="s">
        <v>78</v>
      </c>
      <c r="H9" s="13"/>
      <c r="I9" s="9"/>
      <c r="J9" s="9"/>
    </row>
    <row r="10" spans="1:10">
      <c r="A10" s="4" t="s">
        <v>82</v>
      </c>
      <c r="B10" s="4" t="s">
        <v>83</v>
      </c>
      <c r="C10" s="4" t="s">
        <v>84</v>
      </c>
      <c r="D10" s="16">
        <v>42778</v>
      </c>
      <c r="E10" s="4">
        <v>4130</v>
      </c>
      <c r="F10" s="17"/>
      <c r="G10" s="9"/>
      <c r="H10" s="9"/>
      <c r="I10" s="9"/>
      <c r="J10" s="9"/>
    </row>
    <row r="11" spans="1:10">
      <c r="A11" s="4" t="s">
        <v>85</v>
      </c>
      <c r="B11" s="4" t="s">
        <v>86</v>
      </c>
      <c r="C11" s="4" t="s">
        <v>87</v>
      </c>
      <c r="D11" s="16">
        <v>42779</v>
      </c>
      <c r="E11" s="4">
        <v>3420</v>
      </c>
      <c r="F11" s="17"/>
      <c r="G11" s="9"/>
      <c r="H11" s="9"/>
      <c r="I11" s="9"/>
      <c r="J11" s="9"/>
    </row>
    <row r="12" spans="1:10">
      <c r="A12" s="4" t="s">
        <v>88</v>
      </c>
      <c r="B12" s="4" t="s">
        <v>83</v>
      </c>
      <c r="C12" s="4" t="s">
        <v>87</v>
      </c>
      <c r="D12" s="16">
        <v>42780</v>
      </c>
      <c r="E12" s="4">
        <v>3230</v>
      </c>
      <c r="F12" s="17"/>
      <c r="G12" s="7" t="s">
        <v>89</v>
      </c>
      <c r="H12" s="9"/>
      <c r="I12" s="9"/>
      <c r="J12" s="9"/>
    </row>
    <row r="13" spans="1:10">
      <c r="A13" s="4" t="s">
        <v>90</v>
      </c>
      <c r="B13" s="4" t="s">
        <v>83</v>
      </c>
      <c r="C13" s="4" t="s">
        <v>84</v>
      </c>
      <c r="D13" s="16">
        <v>42811</v>
      </c>
      <c r="E13" s="4">
        <v>1350</v>
      </c>
      <c r="F13" s="17"/>
      <c r="G13" s="23" t="s">
        <v>81</v>
      </c>
      <c r="H13" s="13"/>
      <c r="I13" s="9"/>
      <c r="J13" s="9"/>
    </row>
    <row r="14" spans="1:10">
      <c r="A14" s="4" t="s">
        <v>91</v>
      </c>
      <c r="B14" s="4" t="s">
        <v>83</v>
      </c>
      <c r="C14" s="4" t="s">
        <v>84</v>
      </c>
      <c r="D14" s="16">
        <v>42820</v>
      </c>
      <c r="E14" s="4">
        <v>1240</v>
      </c>
      <c r="F14" s="17"/>
      <c r="G14" s="9"/>
      <c r="H14" s="18"/>
      <c r="I14" s="9"/>
      <c r="J14" s="9"/>
    </row>
    <row r="15" spans="1:10">
      <c r="A15" s="4" t="s">
        <v>88</v>
      </c>
      <c r="B15" s="4" t="s">
        <v>83</v>
      </c>
      <c r="C15" s="4" t="s">
        <v>87</v>
      </c>
      <c r="D15" s="16">
        <v>42820</v>
      </c>
      <c r="E15" s="4">
        <v>3120</v>
      </c>
      <c r="F15" s="17"/>
      <c r="G15" s="19"/>
      <c r="H15" s="20"/>
      <c r="I15" s="9"/>
      <c r="J15" s="9"/>
    </row>
    <row r="16" spans="1:10">
      <c r="A16" s="4" t="s">
        <v>92</v>
      </c>
      <c r="B16" s="4" t="s">
        <v>83</v>
      </c>
      <c r="C16" s="4" t="s">
        <v>87</v>
      </c>
      <c r="D16" s="16">
        <v>42826</v>
      </c>
      <c r="E16" s="4">
        <v>1260</v>
      </c>
      <c r="F16" s="17"/>
      <c r="G16" s="19"/>
      <c r="H16" s="20"/>
      <c r="I16" s="9"/>
      <c r="J16" s="9"/>
    </row>
    <row r="17" spans="1:10">
      <c r="A17" s="4" t="s">
        <v>93</v>
      </c>
      <c r="B17" s="4" t="s">
        <v>75</v>
      </c>
      <c r="C17" s="4" t="s">
        <v>84</v>
      </c>
      <c r="D17" s="16">
        <v>42835</v>
      </c>
      <c r="E17" s="4">
        <v>2400</v>
      </c>
      <c r="F17" s="17"/>
      <c r="G17" s="19"/>
      <c r="H17" s="20"/>
      <c r="I17" s="9"/>
      <c r="J17" s="9"/>
    </row>
    <row r="18" spans="1:10">
      <c r="A18" s="4" t="s">
        <v>94</v>
      </c>
      <c r="B18" s="4" t="s">
        <v>83</v>
      </c>
      <c r="C18" s="4" t="s">
        <v>87</v>
      </c>
      <c r="D18" s="16">
        <v>42845</v>
      </c>
      <c r="E18" s="4">
        <v>3105</v>
      </c>
      <c r="F18" s="17"/>
      <c r="G18" s="19"/>
      <c r="H18" s="20"/>
      <c r="I18" s="9"/>
      <c r="J18" s="9"/>
    </row>
    <row r="19" spans="1:10">
      <c r="A19" s="4" t="s">
        <v>95</v>
      </c>
      <c r="B19" s="4" t="s">
        <v>75</v>
      </c>
      <c r="C19" s="4" t="s">
        <v>84</v>
      </c>
      <c r="D19" s="16">
        <v>42845</v>
      </c>
      <c r="E19" s="4">
        <v>1550</v>
      </c>
      <c r="F19" s="17"/>
      <c r="G19" s="19"/>
      <c r="H19" s="20"/>
      <c r="I19" s="9"/>
      <c r="J19" s="9"/>
    </row>
    <row r="20" spans="1:10">
      <c r="A20" s="4" t="s">
        <v>91</v>
      </c>
      <c r="B20" s="4" t="s">
        <v>83</v>
      </c>
      <c r="C20" s="4" t="s">
        <v>84</v>
      </c>
      <c r="D20" s="16">
        <v>42893</v>
      </c>
      <c r="E20" s="4">
        <v>2110</v>
      </c>
      <c r="F20" s="17"/>
      <c r="G20" s="19"/>
      <c r="H20" s="20"/>
      <c r="I20" s="9"/>
      <c r="J20" s="9"/>
    </row>
    <row r="21" spans="1:10">
      <c r="A21" s="4" t="s">
        <v>96</v>
      </c>
      <c r="B21" s="4" t="s">
        <v>86</v>
      </c>
      <c r="C21" s="4" t="s">
        <v>87</v>
      </c>
      <c r="D21" s="16">
        <v>42926</v>
      </c>
      <c r="E21" s="4">
        <v>1500</v>
      </c>
      <c r="F21" s="17"/>
      <c r="G21" s="19"/>
      <c r="H21" s="20"/>
      <c r="I21" s="9"/>
      <c r="J21" s="9"/>
    </row>
    <row r="22" spans="1:10">
      <c r="A22" s="4" t="s">
        <v>97</v>
      </c>
      <c r="B22" s="4" t="s">
        <v>83</v>
      </c>
      <c r="C22" s="4" t="s">
        <v>84</v>
      </c>
      <c r="D22" s="16">
        <v>42926</v>
      </c>
      <c r="E22" s="4">
        <v>3150</v>
      </c>
      <c r="F22" s="17"/>
      <c r="G22" s="19"/>
      <c r="H22" s="20"/>
      <c r="I22" s="9"/>
      <c r="J22" s="9"/>
    </row>
    <row r="23" spans="1:10">
      <c r="A23" s="4" t="s">
        <v>98</v>
      </c>
      <c r="B23" s="4" t="s">
        <v>83</v>
      </c>
      <c r="C23" s="4" t="s">
        <v>84</v>
      </c>
      <c r="D23" s="16">
        <v>42926</v>
      </c>
      <c r="E23" s="4">
        <v>4530</v>
      </c>
      <c r="F23" s="17"/>
      <c r="G23" s="19"/>
      <c r="H23" s="20"/>
      <c r="I23" s="9"/>
      <c r="J23" s="9"/>
    </row>
    <row r="24" spans="1:10">
      <c r="A24" s="4" t="s">
        <v>99</v>
      </c>
      <c r="B24" s="4" t="s">
        <v>83</v>
      </c>
      <c r="C24" s="4" t="s">
        <v>87</v>
      </c>
      <c r="D24" s="16">
        <v>42933</v>
      </c>
      <c r="E24" s="4">
        <v>1250</v>
      </c>
      <c r="F24" s="17"/>
      <c r="G24" s="19"/>
      <c r="H24" s="20"/>
      <c r="I24" s="9"/>
      <c r="J24" s="9"/>
    </row>
    <row r="25" spans="1:10">
      <c r="A25" s="4" t="s">
        <v>100</v>
      </c>
      <c r="B25" s="4" t="s">
        <v>86</v>
      </c>
      <c r="C25" s="4" t="s">
        <v>87</v>
      </c>
      <c r="D25" s="16">
        <v>42934</v>
      </c>
      <c r="E25" s="4">
        <v>2200</v>
      </c>
      <c r="F25" s="17"/>
      <c r="G25" s="19"/>
      <c r="H25" s="20"/>
      <c r="I25" s="9"/>
      <c r="J25" s="9"/>
    </row>
    <row r="26" spans="1:10">
      <c r="A26" s="4" t="s">
        <v>101</v>
      </c>
      <c r="B26" s="4" t="s">
        <v>86</v>
      </c>
      <c r="C26" s="4" t="s">
        <v>87</v>
      </c>
      <c r="D26" s="16">
        <v>42987</v>
      </c>
      <c r="E26" s="4">
        <v>2130</v>
      </c>
      <c r="F26" s="17"/>
      <c r="G26" s="19"/>
      <c r="H26" s="20"/>
      <c r="I26" s="9"/>
      <c r="J26" s="9"/>
    </row>
    <row r="27" spans="1:10">
      <c r="A27" s="4" t="s">
        <v>102</v>
      </c>
      <c r="B27" s="4" t="s">
        <v>83</v>
      </c>
      <c r="C27" s="4" t="s">
        <v>84</v>
      </c>
      <c r="D27" s="16">
        <v>42993</v>
      </c>
      <c r="E27" s="4">
        <v>1210</v>
      </c>
      <c r="F27" s="17"/>
      <c r="G27" s="19"/>
      <c r="H27" s="20"/>
      <c r="I27" s="9"/>
      <c r="J27" s="9"/>
    </row>
    <row r="28" spans="1:10">
      <c r="A28" s="4" t="s">
        <v>103</v>
      </c>
      <c r="B28" s="4" t="s">
        <v>75</v>
      </c>
      <c r="C28" s="4" t="s">
        <v>84</v>
      </c>
      <c r="D28" s="16">
        <v>42994</v>
      </c>
      <c r="E28" s="4">
        <v>2350</v>
      </c>
      <c r="F28" s="17"/>
      <c r="G28" s="19"/>
      <c r="H28" s="20"/>
      <c r="I28" s="9"/>
      <c r="J28" s="9"/>
    </row>
    <row r="29" spans="1:10">
      <c r="A29" s="4" t="s">
        <v>101</v>
      </c>
      <c r="B29" s="4" t="s">
        <v>86</v>
      </c>
      <c r="C29" s="4" t="s">
        <v>87</v>
      </c>
      <c r="D29" s="16">
        <v>42995</v>
      </c>
      <c r="E29" s="4">
        <v>1330</v>
      </c>
      <c r="F29" s="17"/>
      <c r="G29" s="19"/>
      <c r="H29" s="20"/>
      <c r="I29" s="9"/>
      <c r="J29" s="9"/>
    </row>
    <row r="30" spans="1:10">
      <c r="A30" s="4" t="s">
        <v>104</v>
      </c>
      <c r="B30" s="4" t="s">
        <v>86</v>
      </c>
      <c r="C30" s="4" t="s">
        <v>84</v>
      </c>
      <c r="D30" s="16">
        <v>43008</v>
      </c>
      <c r="E30" s="4">
        <v>3280</v>
      </c>
      <c r="F30" s="17"/>
      <c r="G30" s="19"/>
      <c r="H30" s="20"/>
      <c r="I30" s="9"/>
      <c r="J30" s="9"/>
    </row>
    <row r="31" spans="1:10">
      <c r="A31" s="9"/>
      <c r="B31" s="9"/>
      <c r="C31" s="9"/>
      <c r="D31" s="9"/>
      <c r="E31" s="9"/>
      <c r="F31" s="9"/>
      <c r="G31" s="19"/>
      <c r="H31" s="20"/>
      <c r="I31" s="9"/>
      <c r="J31" s="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"/>
  <sheetViews>
    <sheetView workbookViewId="0"/>
  </sheetViews>
  <sheetFormatPr defaultRowHeight="17"/>
  <cols>
    <col min="1" max="1" width="9.33203125" customWidth="1"/>
    <col min="2" max="4" width="9.6640625" customWidth="1"/>
    <col min="5" max="5" width="11.5" customWidth="1"/>
  </cols>
  <sheetData>
    <row r="1" spans="1:5" ht="23">
      <c r="A1" s="6" t="s">
        <v>182</v>
      </c>
      <c r="B1" s="6"/>
      <c r="C1" s="26"/>
      <c r="D1" s="26"/>
      <c r="E1" s="26"/>
    </row>
    <row r="2" spans="1:5">
      <c r="A2" s="24"/>
      <c r="B2" s="24"/>
      <c r="C2" s="24"/>
      <c r="D2" s="24"/>
      <c r="E2" s="24"/>
    </row>
    <row r="3" spans="1:5">
      <c r="A3" s="15" t="s">
        <v>105</v>
      </c>
      <c r="B3" s="15" t="s">
        <v>106</v>
      </c>
      <c r="C3" s="15" t="s">
        <v>107</v>
      </c>
      <c r="D3" s="15" t="s">
        <v>108</v>
      </c>
      <c r="E3" s="25" t="s">
        <v>109</v>
      </c>
    </row>
    <row r="4" spans="1:5">
      <c r="A4" s="4" t="s">
        <v>27</v>
      </c>
      <c r="B4" s="4">
        <v>90</v>
      </c>
      <c r="C4" s="4">
        <v>90</v>
      </c>
      <c r="D4" s="4">
        <v>85</v>
      </c>
      <c r="E4" s="4"/>
    </row>
    <row r="5" spans="1:5">
      <c r="A5" s="4" t="s">
        <v>25</v>
      </c>
      <c r="B5" s="4">
        <v>75</v>
      </c>
      <c r="C5" s="4">
        <v>95</v>
      </c>
      <c r="D5" s="4">
        <v>85</v>
      </c>
      <c r="E5" s="4"/>
    </row>
    <row r="6" spans="1:5">
      <c r="A6" s="4" t="s">
        <v>22</v>
      </c>
      <c r="B6" s="4">
        <v>65</v>
      </c>
      <c r="C6" s="4">
        <v>95</v>
      </c>
      <c r="D6" s="4">
        <v>80</v>
      </c>
      <c r="E6" s="4"/>
    </row>
    <row r="7" spans="1:5">
      <c r="A7" s="4" t="s">
        <v>18</v>
      </c>
      <c r="B7" s="4">
        <v>80</v>
      </c>
      <c r="C7" s="4">
        <v>90</v>
      </c>
      <c r="D7" s="4">
        <v>75</v>
      </c>
      <c r="E7" s="4"/>
    </row>
    <row r="8" spans="1:5">
      <c r="A8" s="4" t="s">
        <v>16</v>
      </c>
      <c r="B8" s="4">
        <v>90</v>
      </c>
      <c r="C8" s="4">
        <v>85</v>
      </c>
      <c r="D8" s="4">
        <v>85</v>
      </c>
      <c r="E8" s="4"/>
    </row>
    <row r="9" spans="1:5">
      <c r="A9" s="4" t="s">
        <v>12</v>
      </c>
      <c r="B9" s="4">
        <v>75</v>
      </c>
      <c r="C9" s="4">
        <v>78</v>
      </c>
      <c r="D9" s="4">
        <v>90</v>
      </c>
      <c r="E9" s="4"/>
    </row>
    <row r="10" spans="1:5">
      <c r="A10" s="4" t="s">
        <v>8</v>
      </c>
      <c r="B10" s="4">
        <v>80</v>
      </c>
      <c r="C10" s="4">
        <v>85</v>
      </c>
      <c r="D10" s="4">
        <v>80</v>
      </c>
      <c r="E10" s="4"/>
    </row>
  </sheetData>
  <phoneticPr fontId="1" type="noConversion"/>
  <conditionalFormatting sqref="A4:A10">
    <cfRule type="expression" dxfId="0" priority="1" stopIfTrue="1">
      <formula>2009-YEAR($A4)&gt;=15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G25"/>
  <sheetViews>
    <sheetView workbookViewId="0"/>
  </sheetViews>
  <sheetFormatPr defaultRowHeight="17"/>
  <cols>
    <col min="5" max="5" width="10.75" bestFit="1" customWidth="1"/>
    <col min="7" max="7" width="10.75" bestFit="1" customWidth="1"/>
  </cols>
  <sheetData>
    <row r="1" spans="2:7">
      <c r="B1" t="s">
        <v>148</v>
      </c>
    </row>
    <row r="2" spans="2:7">
      <c r="B2" s="38" t="s">
        <v>3</v>
      </c>
      <c r="C2" s="38" t="s">
        <v>149</v>
      </c>
      <c r="D2" s="38" t="s">
        <v>150</v>
      </c>
      <c r="E2" s="38" t="s">
        <v>151</v>
      </c>
      <c r="F2" s="38" t="s">
        <v>152</v>
      </c>
      <c r="G2" s="38" t="s">
        <v>153</v>
      </c>
    </row>
    <row r="3" spans="2:7">
      <c r="B3" s="2" t="s">
        <v>154</v>
      </c>
      <c r="C3" s="2" t="s">
        <v>155</v>
      </c>
      <c r="D3" s="2" t="s">
        <v>156</v>
      </c>
      <c r="E3" s="39">
        <v>28584</v>
      </c>
      <c r="F3" s="40">
        <f ca="1">YEAR(TODAY())-YEAR(E3)</f>
        <v>44</v>
      </c>
      <c r="G3" s="39">
        <v>37236</v>
      </c>
    </row>
    <row r="4" spans="2:7">
      <c r="B4" s="2" t="s">
        <v>157</v>
      </c>
      <c r="C4" s="2" t="s">
        <v>155</v>
      </c>
      <c r="D4" s="2" t="s">
        <v>158</v>
      </c>
      <c r="E4" s="39">
        <v>26215</v>
      </c>
      <c r="F4" s="40">
        <f t="shared" ref="F4:F25" ca="1" si="0">YEAR(TODAY())-YEAR(E4)</f>
        <v>51</v>
      </c>
      <c r="G4" s="39">
        <v>33946</v>
      </c>
    </row>
    <row r="5" spans="2:7">
      <c r="B5" s="2" t="s">
        <v>159</v>
      </c>
      <c r="C5" s="2" t="s">
        <v>160</v>
      </c>
      <c r="D5" s="2" t="s">
        <v>156</v>
      </c>
      <c r="E5" s="39">
        <v>21890</v>
      </c>
      <c r="F5" s="40">
        <f t="shared" ca="1" si="0"/>
        <v>63</v>
      </c>
      <c r="G5" s="39">
        <v>35761</v>
      </c>
    </row>
    <row r="6" spans="2:7">
      <c r="B6" s="2" t="s">
        <v>161</v>
      </c>
      <c r="C6" s="2" t="s">
        <v>155</v>
      </c>
      <c r="D6" s="2" t="s">
        <v>158</v>
      </c>
      <c r="E6" s="39">
        <v>21728</v>
      </c>
      <c r="F6" s="40">
        <f t="shared" ca="1" si="0"/>
        <v>63</v>
      </c>
      <c r="G6" s="39">
        <v>32118</v>
      </c>
    </row>
    <row r="7" spans="2:7">
      <c r="B7" s="2" t="s">
        <v>162</v>
      </c>
      <c r="C7" s="2" t="s">
        <v>160</v>
      </c>
      <c r="D7" s="2" t="s">
        <v>156</v>
      </c>
      <c r="E7" s="39">
        <v>28346</v>
      </c>
      <c r="F7" s="40">
        <f t="shared" ca="1" si="0"/>
        <v>45</v>
      </c>
      <c r="G7" s="39">
        <v>36864</v>
      </c>
    </row>
    <row r="8" spans="2:7">
      <c r="B8" s="2" t="s">
        <v>163</v>
      </c>
      <c r="C8" s="2" t="s">
        <v>164</v>
      </c>
      <c r="D8" s="2" t="s">
        <v>158</v>
      </c>
      <c r="E8" s="39">
        <v>27429</v>
      </c>
      <c r="F8" s="40">
        <f t="shared" ca="1" si="0"/>
        <v>47</v>
      </c>
      <c r="G8" s="39">
        <v>36139</v>
      </c>
    </row>
    <row r="9" spans="2:7">
      <c r="B9" s="2" t="s">
        <v>165</v>
      </c>
      <c r="C9" s="2" t="s">
        <v>164</v>
      </c>
      <c r="D9" s="2" t="s">
        <v>158</v>
      </c>
      <c r="E9" s="39">
        <v>26026</v>
      </c>
      <c r="F9" s="40">
        <f t="shared" ca="1" si="0"/>
        <v>51</v>
      </c>
      <c r="G9" s="39">
        <v>35760</v>
      </c>
    </row>
    <row r="10" spans="2:7">
      <c r="B10" s="2" t="s">
        <v>166</v>
      </c>
      <c r="C10" s="2" t="s">
        <v>160</v>
      </c>
      <c r="D10" s="2" t="s">
        <v>156</v>
      </c>
      <c r="E10" s="39">
        <v>26353</v>
      </c>
      <c r="F10" s="40">
        <f t="shared" ca="1" si="0"/>
        <v>50</v>
      </c>
      <c r="G10" s="39">
        <v>36105</v>
      </c>
    </row>
    <row r="11" spans="2:7">
      <c r="B11" s="2" t="s">
        <v>167</v>
      </c>
      <c r="C11" s="2" t="s">
        <v>168</v>
      </c>
      <c r="D11" s="2" t="s">
        <v>156</v>
      </c>
      <c r="E11" s="39">
        <v>27004</v>
      </c>
      <c r="F11" s="40">
        <f t="shared" ca="1" si="0"/>
        <v>49</v>
      </c>
      <c r="G11" s="39">
        <v>35769</v>
      </c>
    </row>
    <row r="12" spans="2:7">
      <c r="B12" s="2" t="s">
        <v>169</v>
      </c>
      <c r="C12" s="2" t="s">
        <v>168</v>
      </c>
      <c r="D12" s="2" t="s">
        <v>158</v>
      </c>
      <c r="E12" s="39">
        <v>28611</v>
      </c>
      <c r="F12" s="40">
        <f t="shared" ca="1" si="0"/>
        <v>44</v>
      </c>
      <c r="G12" s="39">
        <v>37211</v>
      </c>
    </row>
    <row r="13" spans="2:7">
      <c r="B13" s="2" t="s">
        <v>170</v>
      </c>
      <c r="C13" s="2" t="s">
        <v>168</v>
      </c>
      <c r="D13" s="2" t="s">
        <v>158</v>
      </c>
      <c r="E13" s="39">
        <v>22712</v>
      </c>
      <c r="F13" s="40">
        <f t="shared" ca="1" si="0"/>
        <v>60</v>
      </c>
      <c r="G13" s="39">
        <v>30293</v>
      </c>
    </row>
    <row r="14" spans="2:7">
      <c r="B14" s="2" t="s">
        <v>171</v>
      </c>
      <c r="C14" s="2" t="s">
        <v>155</v>
      </c>
      <c r="D14" s="2" t="s">
        <v>156</v>
      </c>
      <c r="E14" s="39">
        <v>28295</v>
      </c>
      <c r="F14" s="40">
        <f t="shared" ca="1" si="0"/>
        <v>45</v>
      </c>
      <c r="G14" s="39">
        <v>36865</v>
      </c>
    </row>
    <row r="15" spans="2:7">
      <c r="B15" s="2" t="s">
        <v>180</v>
      </c>
      <c r="C15" s="2" t="s">
        <v>160</v>
      </c>
      <c r="D15" s="2" t="s">
        <v>156</v>
      </c>
      <c r="E15" s="39">
        <v>26028</v>
      </c>
      <c r="F15" s="40">
        <f t="shared" ca="1" si="0"/>
        <v>51</v>
      </c>
      <c r="G15" s="39">
        <v>36491</v>
      </c>
    </row>
    <row r="16" spans="2:7">
      <c r="B16" s="2" t="s">
        <v>172</v>
      </c>
      <c r="C16" s="2" t="s">
        <v>160</v>
      </c>
      <c r="D16" s="2" t="s">
        <v>158</v>
      </c>
      <c r="E16" s="39">
        <v>24174</v>
      </c>
      <c r="F16" s="40">
        <f t="shared" ca="1" si="0"/>
        <v>56</v>
      </c>
      <c r="G16" s="39">
        <v>35038</v>
      </c>
    </row>
    <row r="17" spans="2:7">
      <c r="B17" s="2" t="s">
        <v>173</v>
      </c>
      <c r="C17" s="2" t="s">
        <v>155</v>
      </c>
      <c r="D17" s="2" t="s">
        <v>156</v>
      </c>
      <c r="E17" s="39">
        <v>26917</v>
      </c>
      <c r="F17" s="40">
        <f t="shared" ca="1" si="0"/>
        <v>49</v>
      </c>
      <c r="G17" s="39">
        <v>36760</v>
      </c>
    </row>
    <row r="18" spans="2:7">
      <c r="B18" s="2" t="s">
        <v>174</v>
      </c>
      <c r="C18" s="2" t="s">
        <v>168</v>
      </c>
      <c r="D18" s="2" t="s">
        <v>158</v>
      </c>
      <c r="E18" s="39">
        <v>25958</v>
      </c>
      <c r="F18" s="40">
        <f t="shared" ca="1" si="0"/>
        <v>51</v>
      </c>
      <c r="G18" s="39">
        <v>35398</v>
      </c>
    </row>
    <row r="19" spans="2:7">
      <c r="B19" s="2" t="s">
        <v>157</v>
      </c>
      <c r="C19" s="2" t="s">
        <v>155</v>
      </c>
      <c r="D19" s="2" t="s">
        <v>158</v>
      </c>
      <c r="E19" s="39">
        <v>26215</v>
      </c>
      <c r="F19" s="40">
        <f t="shared" ca="1" si="0"/>
        <v>51</v>
      </c>
      <c r="G19" s="39">
        <v>33946</v>
      </c>
    </row>
    <row r="20" spans="2:7">
      <c r="B20" s="2" t="s">
        <v>181</v>
      </c>
      <c r="C20" s="2" t="s">
        <v>160</v>
      </c>
      <c r="D20" s="2" t="s">
        <v>158</v>
      </c>
      <c r="E20" s="39">
        <v>23158</v>
      </c>
      <c r="F20" s="40">
        <f t="shared" ca="1" si="0"/>
        <v>59</v>
      </c>
      <c r="G20" s="39">
        <v>32841</v>
      </c>
    </row>
    <row r="21" spans="2:7">
      <c r="B21" s="2" t="s">
        <v>175</v>
      </c>
      <c r="C21" s="2" t="s">
        <v>155</v>
      </c>
      <c r="D21" s="2" t="s">
        <v>156</v>
      </c>
      <c r="E21" s="39">
        <v>22283</v>
      </c>
      <c r="F21" s="40">
        <f t="shared" ca="1" si="0"/>
        <v>61</v>
      </c>
      <c r="G21" s="39">
        <v>31029</v>
      </c>
    </row>
    <row r="22" spans="2:7">
      <c r="B22" s="2" t="s">
        <v>176</v>
      </c>
      <c r="C22" s="2" t="s">
        <v>164</v>
      </c>
      <c r="D22" s="2" t="s">
        <v>156</v>
      </c>
      <c r="E22" s="39">
        <v>28484</v>
      </c>
      <c r="F22" s="40">
        <f t="shared" ca="1" si="0"/>
        <v>45</v>
      </c>
      <c r="G22" s="39">
        <v>36874</v>
      </c>
    </row>
    <row r="23" spans="2:7">
      <c r="B23" s="2" t="s">
        <v>177</v>
      </c>
      <c r="C23" s="2" t="s">
        <v>164</v>
      </c>
      <c r="D23" s="2" t="s">
        <v>158</v>
      </c>
      <c r="E23" s="39">
        <v>27107</v>
      </c>
      <c r="F23" s="40">
        <f t="shared" ca="1" si="0"/>
        <v>48</v>
      </c>
      <c r="G23" s="39">
        <v>35036</v>
      </c>
    </row>
    <row r="24" spans="2:7">
      <c r="B24" s="2" t="s">
        <v>178</v>
      </c>
      <c r="C24" s="2" t="s">
        <v>179</v>
      </c>
      <c r="D24" s="2" t="s">
        <v>158</v>
      </c>
      <c r="E24" s="39">
        <v>22657</v>
      </c>
      <c r="F24" s="40">
        <f t="shared" ca="1" si="0"/>
        <v>60</v>
      </c>
      <c r="G24" s="39">
        <v>32098</v>
      </c>
    </row>
    <row r="25" spans="2:7">
      <c r="B25" s="2" t="s">
        <v>163</v>
      </c>
      <c r="C25" s="2" t="s">
        <v>164</v>
      </c>
      <c r="D25" s="2" t="s">
        <v>158</v>
      </c>
      <c r="E25" s="39">
        <v>27429</v>
      </c>
      <c r="F25" s="40">
        <f t="shared" ca="1" si="0"/>
        <v>47</v>
      </c>
      <c r="G25" s="39">
        <v>36139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H5"/>
  <sheetViews>
    <sheetView workbookViewId="0"/>
  </sheetViews>
  <sheetFormatPr defaultRowHeight="17"/>
  <cols>
    <col min="2" max="2" width="12.58203125" customWidth="1"/>
    <col min="3" max="8" width="11.9140625" customWidth="1"/>
  </cols>
  <sheetData>
    <row r="1" spans="2:8" ht="23">
      <c r="B1" s="42" t="s">
        <v>123</v>
      </c>
      <c r="C1" s="42"/>
      <c r="D1" s="42"/>
      <c r="E1" s="42"/>
      <c r="F1" s="42"/>
      <c r="G1" s="42"/>
      <c r="H1" s="42"/>
    </row>
    <row r="2" spans="2:8">
      <c r="B2" s="28"/>
      <c r="C2" s="28"/>
      <c r="D2" s="28"/>
      <c r="E2" s="28"/>
      <c r="F2" s="28"/>
      <c r="G2" s="28"/>
      <c r="H2" s="1"/>
    </row>
    <row r="3" spans="2:8">
      <c r="B3" s="31" t="s">
        <v>124</v>
      </c>
      <c r="C3" s="32">
        <v>2017</v>
      </c>
      <c r="D3" s="32">
        <v>2018</v>
      </c>
      <c r="E3" s="32">
        <v>2019</v>
      </c>
      <c r="F3" s="32">
        <v>2020</v>
      </c>
      <c r="G3" s="32">
        <v>2021</v>
      </c>
      <c r="H3" s="32">
        <v>2022</v>
      </c>
    </row>
    <row r="4" spans="2:8">
      <c r="B4" s="29" t="s">
        <v>125</v>
      </c>
      <c r="C4" s="30">
        <v>590800</v>
      </c>
      <c r="D4" s="30">
        <v>642770</v>
      </c>
      <c r="E4" s="30">
        <v>705775</v>
      </c>
      <c r="F4" s="30">
        <v>930485</v>
      </c>
      <c r="G4" s="30">
        <v>1001206</v>
      </c>
      <c r="H4" s="30">
        <v>1004115</v>
      </c>
    </row>
    <row r="5" spans="2:8">
      <c r="B5" s="29" t="s">
        <v>126</v>
      </c>
      <c r="C5" s="30">
        <v>-20748</v>
      </c>
      <c r="D5" s="30">
        <v>51970</v>
      </c>
      <c r="E5" s="30">
        <v>63005</v>
      </c>
      <c r="F5" s="30">
        <v>224710</v>
      </c>
      <c r="G5" s="30">
        <v>70721</v>
      </c>
      <c r="H5" s="30">
        <v>2909</v>
      </c>
    </row>
  </sheetData>
  <mergeCells count="1">
    <mergeCell ref="B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G37"/>
  <sheetViews>
    <sheetView workbookViewId="0"/>
  </sheetViews>
  <sheetFormatPr defaultRowHeight="17"/>
  <cols>
    <col min="5" max="5" width="10.4140625" bestFit="1" customWidth="1"/>
  </cols>
  <sheetData>
    <row r="5" spans="2:7">
      <c r="B5" s="27" t="s">
        <v>110</v>
      </c>
      <c r="C5" s="27" t="s">
        <v>111</v>
      </c>
      <c r="D5" s="27" t="s">
        <v>112</v>
      </c>
      <c r="E5" s="27" t="s">
        <v>113</v>
      </c>
      <c r="F5" s="27" t="s">
        <v>114</v>
      </c>
      <c r="G5" s="27" t="s">
        <v>115</v>
      </c>
    </row>
    <row r="6" spans="2:7">
      <c r="B6" s="27" t="s">
        <v>116</v>
      </c>
      <c r="C6" s="27" t="s">
        <v>117</v>
      </c>
      <c r="D6" s="27" t="s">
        <v>118</v>
      </c>
      <c r="E6" s="14">
        <v>500000</v>
      </c>
      <c r="F6" s="14">
        <v>0</v>
      </c>
      <c r="G6" s="27">
        <v>20</v>
      </c>
    </row>
    <row r="7" spans="2:7">
      <c r="B7" s="27" t="s">
        <v>116</v>
      </c>
      <c r="C7" s="27" t="s">
        <v>119</v>
      </c>
      <c r="D7" s="27" t="s">
        <v>118</v>
      </c>
      <c r="E7" s="14">
        <v>450000</v>
      </c>
      <c r="F7" s="14">
        <v>20000</v>
      </c>
      <c r="G7" s="27">
        <v>10</v>
      </c>
    </row>
    <row r="8" spans="2:7">
      <c r="B8" s="27" t="s">
        <v>116</v>
      </c>
      <c r="C8" s="27" t="s">
        <v>120</v>
      </c>
      <c r="D8" s="27" t="s">
        <v>118</v>
      </c>
      <c r="E8" s="14">
        <v>350000</v>
      </c>
      <c r="F8" s="14">
        <v>60000</v>
      </c>
      <c r="G8" s="27">
        <v>10</v>
      </c>
    </row>
    <row r="9" spans="2:7">
      <c r="B9" s="27" t="s">
        <v>116</v>
      </c>
      <c r="C9" s="27" t="s">
        <v>121</v>
      </c>
      <c r="D9" s="27" t="s">
        <v>118</v>
      </c>
      <c r="E9" s="14">
        <v>150000</v>
      </c>
      <c r="F9" s="14">
        <v>80000</v>
      </c>
      <c r="G9" s="27">
        <v>10</v>
      </c>
    </row>
    <row r="10" spans="2:7">
      <c r="B10" s="27" t="s">
        <v>116</v>
      </c>
      <c r="C10" s="27" t="s">
        <v>117</v>
      </c>
      <c r="D10" s="27" t="s">
        <v>86</v>
      </c>
      <c r="E10" s="14">
        <v>600000</v>
      </c>
      <c r="F10" s="14">
        <v>0</v>
      </c>
      <c r="G10" s="27">
        <v>20</v>
      </c>
    </row>
    <row r="11" spans="2:7">
      <c r="B11" s="27" t="s">
        <v>116</v>
      </c>
      <c r="C11" s="27" t="s">
        <v>119</v>
      </c>
      <c r="D11" s="27" t="s">
        <v>86</v>
      </c>
      <c r="E11" s="14">
        <v>500000</v>
      </c>
      <c r="F11" s="14">
        <v>20000</v>
      </c>
      <c r="G11" s="27">
        <v>10</v>
      </c>
    </row>
    <row r="12" spans="2:7">
      <c r="B12" s="27" t="s">
        <v>116</v>
      </c>
      <c r="C12" s="27" t="s">
        <v>120</v>
      </c>
      <c r="D12" s="27" t="s">
        <v>86</v>
      </c>
      <c r="E12" s="14">
        <v>400000</v>
      </c>
      <c r="F12" s="14">
        <v>60000</v>
      </c>
      <c r="G12" s="27">
        <v>10</v>
      </c>
    </row>
    <row r="13" spans="2:7">
      <c r="B13" s="27" t="s">
        <v>116</v>
      </c>
      <c r="C13" s="27" t="s">
        <v>121</v>
      </c>
      <c r="D13" s="27" t="s">
        <v>86</v>
      </c>
      <c r="E13" s="14">
        <v>250000</v>
      </c>
      <c r="F13" s="14">
        <v>80000</v>
      </c>
      <c r="G13" s="27">
        <v>10</v>
      </c>
    </row>
    <row r="14" spans="2:7">
      <c r="B14" s="27" t="s">
        <v>122</v>
      </c>
      <c r="C14" s="27" t="s">
        <v>117</v>
      </c>
      <c r="D14" s="27" t="s">
        <v>86</v>
      </c>
      <c r="E14" s="14">
        <v>220000</v>
      </c>
      <c r="F14" s="14">
        <v>0</v>
      </c>
      <c r="G14" s="27">
        <v>0</v>
      </c>
    </row>
    <row r="15" spans="2:7">
      <c r="B15" s="27" t="s">
        <v>122</v>
      </c>
      <c r="C15" s="27" t="s">
        <v>119</v>
      </c>
      <c r="D15" s="27" t="s">
        <v>86</v>
      </c>
      <c r="E15" s="14">
        <v>190000</v>
      </c>
      <c r="F15" s="14">
        <v>20000</v>
      </c>
      <c r="G15" s="27">
        <v>0</v>
      </c>
    </row>
    <row r="16" spans="2:7">
      <c r="B16" s="27" t="s">
        <v>122</v>
      </c>
      <c r="C16" s="27" t="s">
        <v>120</v>
      </c>
      <c r="D16" s="27" t="s">
        <v>86</v>
      </c>
      <c r="E16" s="14">
        <v>150000</v>
      </c>
      <c r="F16" s="14">
        <v>60000</v>
      </c>
      <c r="G16" s="27">
        <v>0</v>
      </c>
    </row>
    <row r="17" spans="2:7">
      <c r="B17" s="27" t="s">
        <v>122</v>
      </c>
      <c r="C17" s="27" t="s">
        <v>121</v>
      </c>
      <c r="D17" s="27" t="s">
        <v>86</v>
      </c>
      <c r="E17" s="14">
        <v>350000</v>
      </c>
      <c r="F17" s="14">
        <v>80000</v>
      </c>
      <c r="G17" s="27">
        <v>0</v>
      </c>
    </row>
    <row r="18" spans="2:7">
      <c r="B18" s="27" t="s">
        <v>122</v>
      </c>
      <c r="C18" s="27" t="s">
        <v>117</v>
      </c>
      <c r="D18" s="27" t="s">
        <v>83</v>
      </c>
      <c r="E18" s="14">
        <v>350000</v>
      </c>
      <c r="F18" s="14">
        <v>0</v>
      </c>
      <c r="G18" s="27">
        <v>0</v>
      </c>
    </row>
    <row r="19" spans="2:7">
      <c r="B19" s="27" t="s">
        <v>122</v>
      </c>
      <c r="C19" s="27" t="s">
        <v>119</v>
      </c>
      <c r="D19" s="27" t="s">
        <v>83</v>
      </c>
      <c r="E19" s="14">
        <v>300000</v>
      </c>
      <c r="F19" s="14">
        <v>20000</v>
      </c>
      <c r="G19" s="27">
        <v>0</v>
      </c>
    </row>
    <row r="20" spans="2:7">
      <c r="B20" s="27" t="s">
        <v>122</v>
      </c>
      <c r="C20" s="27" t="s">
        <v>120</v>
      </c>
      <c r="D20" s="27" t="s">
        <v>83</v>
      </c>
      <c r="E20" s="14">
        <v>280000</v>
      </c>
      <c r="F20" s="14">
        <v>60000</v>
      </c>
      <c r="G20" s="27">
        <v>0</v>
      </c>
    </row>
    <row r="21" spans="2:7">
      <c r="B21" s="27" t="s">
        <v>122</v>
      </c>
      <c r="C21" s="27" t="s">
        <v>121</v>
      </c>
      <c r="D21" s="27" t="s">
        <v>83</v>
      </c>
      <c r="E21" s="14">
        <v>400000</v>
      </c>
      <c r="F21" s="14">
        <v>80000</v>
      </c>
      <c r="G21" s="27">
        <v>0</v>
      </c>
    </row>
    <row r="22" spans="2:7">
      <c r="B22" s="27" t="s">
        <v>122</v>
      </c>
      <c r="C22" s="27" t="s">
        <v>117</v>
      </c>
      <c r="D22" s="27" t="s">
        <v>83</v>
      </c>
      <c r="E22" s="14">
        <v>480000</v>
      </c>
      <c r="F22" s="14">
        <v>0</v>
      </c>
      <c r="G22" s="27">
        <v>0</v>
      </c>
    </row>
    <row r="23" spans="2:7">
      <c r="B23" s="27" t="s">
        <v>122</v>
      </c>
      <c r="C23" s="27" t="s">
        <v>119</v>
      </c>
      <c r="D23" s="27" t="s">
        <v>83</v>
      </c>
      <c r="E23" s="14">
        <v>400000</v>
      </c>
      <c r="F23" s="14">
        <v>20000</v>
      </c>
      <c r="G23" s="27">
        <v>0</v>
      </c>
    </row>
    <row r="24" spans="2:7">
      <c r="B24" s="27" t="s">
        <v>122</v>
      </c>
      <c r="C24" s="27" t="s">
        <v>120</v>
      </c>
      <c r="D24" s="27" t="s">
        <v>83</v>
      </c>
      <c r="E24" s="14">
        <v>380000</v>
      </c>
      <c r="F24" s="14">
        <v>60000</v>
      </c>
      <c r="G24" s="27">
        <v>0</v>
      </c>
    </row>
    <row r="25" spans="2:7">
      <c r="B25" s="27" t="s">
        <v>122</v>
      </c>
      <c r="C25" s="27" t="s">
        <v>121</v>
      </c>
      <c r="D25" s="27" t="s">
        <v>83</v>
      </c>
      <c r="E25" s="14">
        <v>600000</v>
      </c>
      <c r="F25" s="14">
        <v>80000</v>
      </c>
      <c r="G25" s="27">
        <v>0</v>
      </c>
    </row>
    <row r="26" spans="2:7">
      <c r="B26" s="27" t="s">
        <v>116</v>
      </c>
      <c r="C26" s="27" t="s">
        <v>117</v>
      </c>
      <c r="D26" s="27" t="s">
        <v>83</v>
      </c>
      <c r="E26" s="14">
        <v>650000</v>
      </c>
      <c r="F26" s="14">
        <v>0</v>
      </c>
      <c r="G26" s="27">
        <v>30</v>
      </c>
    </row>
    <row r="27" spans="2:7">
      <c r="B27" s="27" t="s">
        <v>116</v>
      </c>
      <c r="C27" s="27" t="s">
        <v>119</v>
      </c>
      <c r="D27" s="27" t="s">
        <v>83</v>
      </c>
      <c r="E27" s="14">
        <v>500000</v>
      </c>
      <c r="F27" s="14">
        <v>10000</v>
      </c>
      <c r="G27" s="27">
        <v>20</v>
      </c>
    </row>
    <row r="28" spans="2:7">
      <c r="B28" s="27" t="s">
        <v>116</v>
      </c>
      <c r="C28" s="27" t="s">
        <v>120</v>
      </c>
      <c r="D28" s="27" t="s">
        <v>83</v>
      </c>
      <c r="E28" s="14">
        <v>400000</v>
      </c>
      <c r="F28" s="14">
        <v>30000</v>
      </c>
      <c r="G28" s="27">
        <v>10</v>
      </c>
    </row>
    <row r="29" spans="2:7">
      <c r="B29" s="27" t="s">
        <v>116</v>
      </c>
      <c r="C29" s="27" t="s">
        <v>121</v>
      </c>
      <c r="D29" s="27" t="s">
        <v>83</v>
      </c>
      <c r="E29" s="14">
        <v>200000</v>
      </c>
      <c r="F29" s="14">
        <v>40000</v>
      </c>
      <c r="G29" s="27">
        <v>10</v>
      </c>
    </row>
    <row r="30" spans="2:7">
      <c r="B30" s="27" t="s">
        <v>116</v>
      </c>
      <c r="C30" s="27" t="s">
        <v>117</v>
      </c>
      <c r="D30" s="27" t="s">
        <v>86</v>
      </c>
      <c r="E30" s="14">
        <v>170000</v>
      </c>
      <c r="F30" s="14">
        <v>0</v>
      </c>
      <c r="G30" s="27">
        <v>30</v>
      </c>
    </row>
    <row r="31" spans="2:7">
      <c r="B31" s="27" t="s">
        <v>116</v>
      </c>
      <c r="C31" s="27" t="s">
        <v>119</v>
      </c>
      <c r="D31" s="27" t="s">
        <v>86</v>
      </c>
      <c r="E31" s="14">
        <v>150000</v>
      </c>
      <c r="F31" s="14">
        <v>10000</v>
      </c>
      <c r="G31" s="27">
        <v>20</v>
      </c>
    </row>
    <row r="32" spans="2:7">
      <c r="B32" s="27" t="s">
        <v>116</v>
      </c>
      <c r="C32" s="27" t="s">
        <v>120</v>
      </c>
      <c r="D32" s="27" t="s">
        <v>86</v>
      </c>
      <c r="E32" s="14">
        <v>100000</v>
      </c>
      <c r="F32" s="14">
        <v>30000</v>
      </c>
      <c r="G32" s="27">
        <v>10</v>
      </c>
    </row>
    <row r="33" spans="2:7">
      <c r="B33" s="27" t="s">
        <v>116</v>
      </c>
      <c r="C33" s="27" t="s">
        <v>121</v>
      </c>
      <c r="D33" s="27" t="s">
        <v>86</v>
      </c>
      <c r="E33" s="14">
        <v>250000</v>
      </c>
      <c r="F33" s="14">
        <v>40000</v>
      </c>
      <c r="G33" s="27">
        <v>10</v>
      </c>
    </row>
    <row r="34" spans="2:7">
      <c r="B34" s="27" t="s">
        <v>122</v>
      </c>
      <c r="C34" s="27" t="s">
        <v>117</v>
      </c>
      <c r="D34" s="27" t="s">
        <v>118</v>
      </c>
      <c r="E34" s="14">
        <v>550000</v>
      </c>
      <c r="F34" s="14">
        <v>0</v>
      </c>
      <c r="G34" s="27">
        <v>0</v>
      </c>
    </row>
    <row r="35" spans="2:7">
      <c r="B35" s="27" t="s">
        <v>122</v>
      </c>
      <c r="C35" s="27" t="s">
        <v>119</v>
      </c>
      <c r="D35" s="27" t="s">
        <v>118</v>
      </c>
      <c r="E35" s="14">
        <v>480000</v>
      </c>
      <c r="F35" s="14">
        <v>20000</v>
      </c>
      <c r="G35" s="27">
        <v>0</v>
      </c>
    </row>
    <row r="36" spans="2:7">
      <c r="B36" s="27" t="s">
        <v>122</v>
      </c>
      <c r="C36" s="27" t="s">
        <v>120</v>
      </c>
      <c r="D36" s="27" t="s">
        <v>118</v>
      </c>
      <c r="E36" s="14">
        <v>320000</v>
      </c>
      <c r="F36" s="14">
        <v>30000</v>
      </c>
      <c r="G36" s="27">
        <v>0</v>
      </c>
    </row>
    <row r="37" spans="2:7">
      <c r="B37" s="27" t="s">
        <v>122</v>
      </c>
      <c r="C37" s="27" t="s">
        <v>121</v>
      </c>
      <c r="D37" s="27" t="s">
        <v>118</v>
      </c>
      <c r="E37" s="14">
        <v>550000</v>
      </c>
      <c r="F37" s="14">
        <v>40000</v>
      </c>
      <c r="G37" s="27"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J12"/>
  <sheetViews>
    <sheetView workbookViewId="0"/>
  </sheetViews>
  <sheetFormatPr defaultRowHeight="17"/>
  <cols>
    <col min="1" max="1" width="13.5" customWidth="1"/>
    <col min="2" max="6" width="12.5" customWidth="1"/>
    <col min="9" max="9" width="10" bestFit="1" customWidth="1"/>
  </cols>
  <sheetData>
    <row r="4" spans="1:10">
      <c r="A4" s="33" t="s">
        <v>0</v>
      </c>
      <c r="B4" s="33"/>
      <c r="C4" s="33"/>
      <c r="D4" s="33"/>
      <c r="E4" s="33"/>
      <c r="F4" s="33"/>
    </row>
    <row r="5" spans="1:10">
      <c r="A5" s="34" t="s">
        <v>127</v>
      </c>
      <c r="B5" s="34" t="s">
        <v>128</v>
      </c>
      <c r="C5" s="34" t="s">
        <v>129</v>
      </c>
      <c r="D5" s="34" t="s">
        <v>130</v>
      </c>
      <c r="E5" s="34" t="s">
        <v>131</v>
      </c>
      <c r="F5" s="34" t="s">
        <v>132</v>
      </c>
      <c r="H5" s="33" t="s">
        <v>133</v>
      </c>
      <c r="I5" s="33"/>
      <c r="J5" s="33"/>
    </row>
    <row r="6" spans="1:10">
      <c r="A6" s="35"/>
      <c r="B6" s="36"/>
      <c r="C6" s="36"/>
      <c r="D6" s="36"/>
      <c r="E6" s="37"/>
      <c r="F6" s="37"/>
      <c r="H6" s="36" t="s">
        <v>134</v>
      </c>
      <c r="I6" s="36" t="s">
        <v>135</v>
      </c>
      <c r="J6" s="36" t="s">
        <v>131</v>
      </c>
    </row>
    <row r="7" spans="1:10">
      <c r="A7" s="36"/>
      <c r="B7" s="36"/>
      <c r="C7" s="36"/>
      <c r="D7" s="36"/>
      <c r="E7" s="37"/>
      <c r="F7" s="37"/>
      <c r="H7" s="36" t="s">
        <v>136</v>
      </c>
      <c r="I7" s="36" t="s">
        <v>137</v>
      </c>
      <c r="J7" s="37">
        <v>10</v>
      </c>
    </row>
    <row r="8" spans="1:10">
      <c r="A8" s="36"/>
      <c r="B8" s="36"/>
      <c r="C8" s="36"/>
      <c r="D8" s="36"/>
      <c r="E8" s="37"/>
      <c r="F8" s="37"/>
      <c r="H8" s="36" t="s">
        <v>138</v>
      </c>
      <c r="I8" s="36" t="s">
        <v>139</v>
      </c>
      <c r="J8" s="37">
        <v>11</v>
      </c>
    </row>
    <row r="9" spans="1:10">
      <c r="A9" s="36"/>
      <c r="B9" s="36"/>
      <c r="C9" s="36"/>
      <c r="D9" s="36"/>
      <c r="E9" s="37"/>
      <c r="F9" s="37"/>
      <c r="H9" s="36" t="s">
        <v>140</v>
      </c>
      <c r="I9" s="36" t="s">
        <v>141</v>
      </c>
      <c r="J9" s="37">
        <v>12</v>
      </c>
    </row>
    <row r="10" spans="1:10">
      <c r="A10" s="36"/>
      <c r="B10" s="36"/>
      <c r="C10" s="36"/>
      <c r="D10" s="36"/>
      <c r="E10" s="37"/>
      <c r="F10" s="37"/>
      <c r="H10" s="36" t="s">
        <v>142</v>
      </c>
      <c r="I10" s="36" t="s">
        <v>143</v>
      </c>
      <c r="J10" s="37">
        <v>15</v>
      </c>
    </row>
    <row r="11" spans="1:10">
      <c r="A11" s="36"/>
      <c r="B11" s="36"/>
      <c r="C11" s="36"/>
      <c r="D11" s="36"/>
      <c r="E11" s="37"/>
      <c r="F11" s="37"/>
      <c r="H11" s="36" t="s">
        <v>144</v>
      </c>
      <c r="I11" s="36" t="s">
        <v>145</v>
      </c>
      <c r="J11" s="37">
        <v>20</v>
      </c>
    </row>
    <row r="12" spans="1:10">
      <c r="A12" s="36"/>
      <c r="B12" s="36"/>
      <c r="C12" s="36"/>
      <c r="D12" s="36"/>
      <c r="E12" s="37"/>
      <c r="F12" s="37"/>
      <c r="H12" s="36" t="s">
        <v>146</v>
      </c>
      <c r="I12" s="36" t="s">
        <v>147</v>
      </c>
      <c r="J12" s="37">
        <v>18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요금계산">
          <controlPr defaultSize="0" autoLine="0" autoPict="0" r:id="rId4">
            <anchor moveWithCells="1">
              <from>
                <xdr:col>4</xdr:col>
                <xdr:colOff>6350</xdr:colOff>
                <xdr:row>0</xdr:row>
                <xdr:rowOff>196850</xdr:rowOff>
              </from>
              <to>
                <xdr:col>6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8193" r:id="rId3" name="cmd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기본작업-1</vt:lpstr>
      <vt:lpstr>기본작업-2</vt:lpstr>
      <vt:lpstr>계산작업-1</vt:lpstr>
      <vt:lpstr>계산작업-2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2022-04-28T09:01:12Z</dcterms:modified>
</cp:coreProperties>
</file>