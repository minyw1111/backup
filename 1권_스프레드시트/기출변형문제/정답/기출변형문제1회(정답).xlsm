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3년)\기본서\1급\2023년컴활1급(기본)\2023컴활1급\1권_스프레드시트\기출변형문제\정답\"/>
    </mc:Choice>
  </mc:AlternateContent>
  <xr:revisionPtr revIDLastSave="0" documentId="13_ncr:1_{CEEBC069-4AB1-4B31-B272-9F16118DED08}" xr6:coauthVersionLast="47" xr6:coauthVersionMax="47" xr10:uidLastSave="{00000000-0000-0000-0000-000000000000}"/>
  <bookViews>
    <workbookView xWindow="15970" yWindow="1730" windowWidth="21090" windowHeight="15330" tabRatio="807" xr2:uid="{00000000-000D-0000-FFFF-FFFF00000000}"/>
  </bookViews>
  <sheets>
    <sheet name="기본작업-1" sheetId="2" r:id="rId1"/>
    <sheet name="기본작업-2" sheetId="12" r:id="rId2"/>
    <sheet name="계산작업" sheetId="3" r:id="rId3"/>
    <sheet name="분석작업-1" sheetId="8" r:id="rId4"/>
    <sheet name="분석작업-2" sheetId="13" r:id="rId5"/>
    <sheet name="기타작업-1" sheetId="6" r:id="rId6"/>
    <sheet name="기타작업-2" sheetId="9" r:id="rId7"/>
    <sheet name="기타작업-3" sheetId="7" r:id="rId8"/>
  </sheets>
  <functionGroups builtInGroupCount="19"/>
  <definedNames>
    <definedName name="_xlnm._FilterDatabase" localSheetId="0" hidden="1">'기본작업-1'!$B$3:$J$17</definedName>
    <definedName name="_xlnm._FilterDatabase" localSheetId="4" hidden="1">'분석작업-2'!$B$5:$H$27</definedName>
    <definedName name="_xlnm.Criteria" localSheetId="0">'기본작업-1'!$B$19:$B$20</definedName>
    <definedName name="_xlnm.Extract" localSheetId="0">'기본작업-1'!$B$23:$H$23</definedName>
    <definedName name="MS_Access_Database_Query" localSheetId="3" hidden="1">'분석작업-1'!#REF!</definedName>
    <definedName name="_xlnm.Print_Area" localSheetId="1">'기본작업-2'!$B$3:$J$17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2" l="1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H3" i="3" l="1" a="1"/>
  <c r="H3" i="3" s="1"/>
  <c r="I3" i="3" a="1"/>
  <c r="I3" i="3" s="1"/>
  <c r="J3" i="3" a="1"/>
  <c r="J3" i="3" s="1"/>
  <c r="H4" i="3" a="1"/>
  <c r="H4" i="3" s="1"/>
  <c r="I4" i="3" a="1"/>
  <c r="I4" i="3" s="1"/>
  <c r="J4" i="3" a="1"/>
  <c r="J4" i="3" s="1"/>
  <c r="H5" i="3" a="1"/>
  <c r="H5" i="3" s="1"/>
  <c r="I5" i="3" a="1"/>
  <c r="I5" i="3" s="1"/>
  <c r="J5" i="3" a="1"/>
  <c r="J5" i="3" s="1"/>
  <c r="H6" i="3" a="1"/>
  <c r="H6" i="3" s="1"/>
  <c r="I6" i="3" a="1"/>
  <c r="I6" i="3" s="1"/>
  <c r="J6" i="3" a="1"/>
  <c r="J6" i="3" s="1"/>
  <c r="G4" i="3" a="1"/>
  <c r="G4" i="3" s="1"/>
  <c r="G5" i="3" a="1"/>
  <c r="G5" i="3" s="1"/>
  <c r="G6" i="3" a="1"/>
  <c r="G6" i="3" s="1"/>
  <c r="G3" i="3" a="1"/>
  <c r="G3" i="3" s="1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14" i="3"/>
  <c r="C4" i="3" a="1"/>
  <c r="C4" i="3" s="1"/>
  <c r="C5" i="3" a="1"/>
  <c r="C5" i="3" s="1"/>
  <c r="C6" i="3" a="1"/>
  <c r="C6" i="3" s="1"/>
  <c r="C3" i="3" a="1"/>
  <c r="C3" i="3" s="1"/>
  <c r="D4" i="3" a="1"/>
  <c r="D4" i="3" s="1"/>
  <c r="D5" i="3" a="1"/>
  <c r="D5" i="3" s="1"/>
  <c r="D6" i="3" a="1"/>
  <c r="D6" i="3" s="1"/>
  <c r="D3" i="3" a="1"/>
  <c r="D3" i="3" s="1"/>
  <c r="K16" i="3"/>
  <c r="K28" i="3"/>
  <c r="K31" i="3"/>
  <c r="K22" i="3"/>
  <c r="K27" i="3"/>
  <c r="K36" i="3"/>
  <c r="K33" i="3"/>
  <c r="K32" i="3"/>
  <c r="K26" i="3"/>
  <c r="K38" i="3"/>
  <c r="K17" i="3"/>
  <c r="K15" i="3"/>
  <c r="K29" i="3"/>
  <c r="K23" i="3"/>
  <c r="K37" i="3"/>
  <c r="K21" i="3"/>
  <c r="K25" i="3"/>
  <c r="K24" i="3"/>
  <c r="K35" i="3"/>
  <c r="K30" i="3"/>
  <c r="K18" i="3"/>
  <c r="K20" i="3"/>
  <c r="K34" i="3"/>
  <c r="K19" i="3"/>
  <c r="K14" i="3"/>
  <c r="I12" i="6" l="1"/>
  <c r="I11" i="6"/>
  <c r="I10" i="6"/>
  <c r="I9" i="6"/>
  <c r="I8" i="6"/>
  <c r="I7" i="6"/>
  <c r="I6" i="6"/>
  <c r="I5" i="6"/>
  <c r="I4" i="6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B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사원평가.accdb;DefaultDir=E:\영진(2021년)\1급\excel\스프레드시트(파일) - 최종\모의고사;DriverId=25;FIL=MS Access;MaxBufferSize=2048;PageTimeout=5;" command="SELECT 사원평가.직위, 사원평가.부서, 사원평가.정보화능력, 사원평가.엑셀, 사원평가.파워포인트, 사원평가.인터넷_x000d__x000a_FROM 사원평가 사원평가"/>
  </connection>
</connections>
</file>

<file path=xl/sharedStrings.xml><?xml version="1.0" encoding="utf-8"?>
<sst xmlns="http://schemas.openxmlformats.org/spreadsheetml/2006/main" count="503" uniqueCount="126">
  <si>
    <t>직위별 정보화 결과</t>
    <phoneticPr fontId="4" type="noConversion"/>
  </si>
  <si>
    <t>사번</t>
  </si>
  <si>
    <t>사원명</t>
    <phoneticPr fontId="4" type="noConversion"/>
  </si>
  <si>
    <t>부서</t>
  </si>
  <si>
    <t>직위</t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</si>
  <si>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</si>
  <si>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</si>
  <si>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</si>
  <si>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</si>
  <si>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총점</t>
  </si>
  <si>
    <t>BA-012</t>
  </si>
  <si>
    <t>김양현</t>
  </si>
  <si>
    <t>관리과</t>
  </si>
  <si>
    <t>과장</t>
  </si>
  <si>
    <t>BA-013</t>
  </si>
  <si>
    <t>김이란</t>
    <phoneticPr fontId="4" type="noConversion"/>
  </si>
  <si>
    <t>대리</t>
  </si>
  <si>
    <t>SA-035</t>
  </si>
  <si>
    <t>김영희</t>
  </si>
  <si>
    <t>홍보팀</t>
  </si>
  <si>
    <t>SA-034</t>
  </si>
  <si>
    <t>김환식</t>
  </si>
  <si>
    <t>SA-002</t>
  </si>
  <si>
    <t>김기상</t>
  </si>
  <si>
    <t>기획실</t>
  </si>
  <si>
    <t>SA-010</t>
  </si>
  <si>
    <t>김수지</t>
    <phoneticPr fontId="4" type="noConversion"/>
  </si>
  <si>
    <t>BA-009</t>
  </si>
  <si>
    <t>김영득</t>
  </si>
  <si>
    <t>SA-003</t>
  </si>
  <si>
    <t>김원평</t>
  </si>
  <si>
    <t>BA-006</t>
  </si>
  <si>
    <t>김한응</t>
  </si>
  <si>
    <t>BA-038</t>
  </si>
  <si>
    <t>강광일</t>
  </si>
  <si>
    <t>사무처</t>
  </si>
  <si>
    <t>SA-031</t>
  </si>
  <si>
    <t>김나영</t>
  </si>
  <si>
    <t>BA-031</t>
  </si>
  <si>
    <t>김석하</t>
  </si>
  <si>
    <t>SA-032</t>
  </si>
  <si>
    <t>김정은</t>
  </si>
  <si>
    <t>BA-033</t>
  </si>
  <si>
    <t>김종란</t>
  </si>
  <si>
    <t>[표1]</t>
    <phoneticPr fontId="4" type="noConversion"/>
  </si>
  <si>
    <t>[표3]</t>
    <phoneticPr fontId="4" type="noConversion"/>
  </si>
  <si>
    <t>부서</t>
    <phoneticPr fontId="4" type="noConversion"/>
  </si>
  <si>
    <t>정보화능력 합계</t>
    <phoneticPr fontId="4" type="noConversion"/>
  </si>
  <si>
    <t>인원수</t>
    <phoneticPr fontId="4" type="noConversion"/>
  </si>
  <si>
    <t xml:space="preserve">       직위
부서</t>
    <phoneticPr fontId="4" type="noConversion"/>
  </si>
  <si>
    <t>사원</t>
    <phoneticPr fontId="4" type="noConversion"/>
  </si>
  <si>
    <t>대리</t>
    <phoneticPr fontId="4" type="noConversion"/>
  </si>
  <si>
    <t>과장</t>
    <phoneticPr fontId="4" type="noConversion"/>
  </si>
  <si>
    <t>부장</t>
    <phoneticPr fontId="4" type="noConversion"/>
  </si>
  <si>
    <t>홍보팀</t>
    <phoneticPr fontId="4" type="noConversion"/>
  </si>
  <si>
    <t>사무처</t>
    <phoneticPr fontId="4" type="noConversion"/>
  </si>
  <si>
    <t>기획실</t>
    <phoneticPr fontId="4" type="noConversion"/>
  </si>
  <si>
    <t>기획실</t>
    <phoneticPr fontId="4" type="noConversion"/>
  </si>
  <si>
    <t>관리과</t>
    <phoneticPr fontId="4" type="noConversion"/>
  </si>
  <si>
    <t>관리과</t>
    <phoneticPr fontId="4" type="noConversion"/>
  </si>
  <si>
    <t>[표2]</t>
    <phoneticPr fontId="4" type="noConversion"/>
  </si>
  <si>
    <t>구분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</si>
  <si>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</si>
  <si>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</si>
  <si>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</si>
  <si>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</si>
  <si>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가중치</t>
    <phoneticPr fontId="4" type="noConversion"/>
  </si>
  <si>
    <t>[표4]</t>
    <phoneticPr fontId="4" type="noConversion"/>
  </si>
  <si>
    <t>사원명</t>
    <phoneticPr fontId="4" type="noConversion"/>
  </si>
  <si>
    <t>직위</t>
    <phoneticPr fontId="4" type="noConversion"/>
  </si>
  <si>
    <t>엑셀</t>
    <phoneticPr fontId="4" type="noConversion"/>
  </si>
  <si>
    <t>출석현황</t>
    <phoneticPr fontId="4" type="noConversion"/>
  </si>
  <si>
    <t>평균점수</t>
    <phoneticPr fontId="4" type="noConversion"/>
  </si>
  <si>
    <t>평가</t>
    <phoneticPr fontId="4" type="noConversion"/>
  </si>
  <si>
    <t>대리</t>
    <phoneticPr fontId="4" type="noConversion"/>
  </si>
  <si>
    <t>결석없음</t>
    <phoneticPr fontId="4" type="noConversion"/>
  </si>
  <si>
    <t>방극준</t>
  </si>
  <si>
    <t>부장</t>
  </si>
  <si>
    <t>김원섭</t>
  </si>
  <si>
    <t>홍보팀</t>
    <phoneticPr fontId="4" type="noConversion"/>
  </si>
  <si>
    <t>도충선</t>
    <phoneticPr fontId="4" type="noConversion"/>
  </si>
  <si>
    <t>결석없음</t>
    <phoneticPr fontId="4" type="noConversion"/>
  </si>
  <si>
    <t>김충희</t>
  </si>
  <si>
    <t>대리</t>
    <phoneticPr fontId="4" type="noConversion"/>
  </si>
  <si>
    <t>유제관</t>
  </si>
  <si>
    <t>사원</t>
    <phoneticPr fontId="4" type="noConversion"/>
  </si>
  <si>
    <t>김병열</t>
  </si>
  <si>
    <t>사원</t>
    <phoneticPr fontId="4" type="noConversion"/>
  </si>
  <si>
    <t>김이란</t>
    <phoneticPr fontId="4" type="noConversion"/>
  </si>
  <si>
    <t>백준걸</t>
  </si>
  <si>
    <t>사무처</t>
    <phoneticPr fontId="4" type="noConversion"/>
  </si>
  <si>
    <t>안기순</t>
  </si>
  <si>
    <t>과장</t>
    <phoneticPr fontId="4" type="noConversion"/>
  </si>
  <si>
    <t>김태정</t>
  </si>
  <si>
    <t>유응구</t>
  </si>
  <si>
    <t>유근선</t>
  </si>
  <si>
    <t>김형섭</t>
  </si>
  <si>
    <t>양정회</t>
  </si>
  <si>
    <t>이영훈</t>
  </si>
  <si>
    <t>정보화능력</t>
    <phoneticPr fontId="4" type="noConversion"/>
  </si>
  <si>
    <t>김수지</t>
    <phoneticPr fontId="4" type="noConversion"/>
  </si>
  <si>
    <t>사원별 정보화 능력 평가</t>
    <phoneticPr fontId="4" type="noConversion"/>
  </si>
  <si>
    <t>사원명</t>
    <phoneticPr fontId="4" type="noConversion"/>
  </si>
  <si>
    <t>파워포인트</t>
    <phoneticPr fontId="4" type="noConversion"/>
  </si>
  <si>
    <t>합계</t>
    <phoneticPr fontId="4" type="noConversion"/>
  </si>
  <si>
    <t>사원명</t>
    <phoneticPr fontId="4" type="noConversion"/>
  </si>
  <si>
    <t>사번</t>
    <phoneticPr fontId="4" type="noConversion"/>
  </si>
  <si>
    <t>평균점수</t>
    <phoneticPr fontId="4" type="noConversion"/>
  </si>
  <si>
    <t>최병기</t>
    <phoneticPr fontId="4" type="noConversion"/>
  </si>
  <si>
    <t>SA-029</t>
  </si>
  <si>
    <t>BA-035</t>
  </si>
  <si>
    <t>최일목</t>
  </si>
  <si>
    <t>BA-004</t>
  </si>
  <si>
    <t>도충선</t>
  </si>
  <si>
    <t>SA-007</t>
  </si>
  <si>
    <t>김재근</t>
    <phoneticPr fontId="4" type="noConversion"/>
  </si>
  <si>
    <t>SA-009</t>
  </si>
  <si>
    <t>(모두)</t>
  </si>
  <si>
    <t>총합계</t>
  </si>
  <si>
    <t>평균 : 정보화능력</t>
  </si>
  <si>
    <t>평균 : 엑셀</t>
  </si>
  <si>
    <t>평균 : 파워포인트</t>
  </si>
  <si>
    <t>평균 : 인터넷</t>
  </si>
  <si>
    <t>합계 : 표준편차</t>
  </si>
  <si>
    <t>조건</t>
    <phoneticPr fontId="1" type="noConversion"/>
  </si>
  <si>
    <t>평가성적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</si>
</sst>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0.00_ "/>
    <numFmt numFmtId="177" formatCode="[Red][&lt;=60]0;[Blue][&gt;=90]0;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2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11" fillId="0" borderId="0"/>
  </cellStyleXfs>
  <cellXfs count="45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2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>
      <alignment horizontal="right" vertical="center" wrapText="1"/>
    </xf>
    <xf numFmtId="41" fontId="7" fillId="0" borderId="2" xfId="1" applyFont="1" applyFill="1" applyBorder="1" applyAlignment="1">
      <alignment vertical="center" wrapText="1"/>
    </xf>
    <xf numFmtId="0" fontId="7" fillId="3" borderId="1" xfId="2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41" fontId="8" fillId="0" borderId="2" xfId="1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0" fontId="7" fillId="0" borderId="2" xfId="2" applyFont="1" applyFill="1" applyBorder="1" applyAlignment="1">
      <alignment horizontal="center"/>
    </xf>
    <xf numFmtId="9" fontId="8" fillId="0" borderId="2" xfId="0" applyNumberFormat="1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7" fillId="0" borderId="2" xfId="2" applyFont="1" applyFill="1" applyBorder="1" applyAlignment="1">
      <alignment horizontal="center" wrapText="1"/>
    </xf>
    <xf numFmtId="41" fontId="8" fillId="0" borderId="2" xfId="1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1" fontId="8" fillId="0" borderId="2" xfId="1" applyFont="1" applyBorder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5" borderId="2" xfId="2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8" fillId="0" borderId="0" xfId="3" applyFont="1" applyAlignment="1">
      <alignment vertical="center"/>
    </xf>
    <xf numFmtId="0" fontId="9" fillId="0" borderId="2" xfId="3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1" fontId="13" fillId="0" borderId="2" xfId="1" applyFont="1" applyBorder="1" applyAlignment="1">
      <alignment horizontal="center" vertical="center"/>
    </xf>
    <xf numFmtId="0" fontId="7" fillId="0" borderId="0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 applyProtection="1">
      <alignment vertical="center" wrapText="1"/>
      <protection hidden="1"/>
    </xf>
    <xf numFmtId="43" fontId="8" fillId="0" borderId="2" xfId="1" applyNumberFormat="1" applyFont="1" applyBorder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9" fillId="0" borderId="4" xfId="0" applyFont="1" applyFill="1" applyBorder="1" applyAlignment="1">
      <alignment horizontal="center" vertical="center"/>
    </xf>
    <xf numFmtId="0" fontId="10" fillId="0" borderId="4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7" fillId="0" borderId="4" xfId="2" applyNumberFormat="1" applyFont="1" applyFill="1" applyBorder="1" applyAlignment="1">
      <alignment horizontal="center" wrapText="1"/>
    </xf>
    <xf numFmtId="41" fontId="8" fillId="0" borderId="3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2" applyNumberFormat="1" applyFont="1" applyFill="1" applyBorder="1" applyAlignment="1">
      <alignment horizontal="center" wrapText="1"/>
    </xf>
    <xf numFmtId="41" fontId="8" fillId="0" borderId="2" xfId="1" applyNumberFormat="1" applyFont="1" applyFill="1" applyBorder="1" applyAlignment="1">
      <alignment horizontal="center" vertical="center"/>
    </xf>
    <xf numFmtId="177" fontId="8" fillId="0" borderId="4" xfId="1" applyNumberFormat="1" applyFont="1" applyFill="1" applyBorder="1">
      <alignment vertical="center"/>
    </xf>
    <xf numFmtId="177" fontId="8" fillId="0" borderId="5" xfId="1" applyNumberFormat="1" applyFont="1" applyFill="1" applyBorder="1">
      <alignment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_02회 모의고사 B형(정답)" xfId="3" xr:uid="{00000000-0005-0000-0000-000002000000}"/>
    <cellStyle name="표준_Sheet1" xfId="2" xr:uid="{00000000-0005-0000-0000-000003000000}"/>
  </cellStyles>
  <dxfs count="2">
    <dxf>
      <font>
        <b/>
        <i/>
        <condense val="0"/>
        <extend val="0"/>
        <color indexed="12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500"/>
              <a:t>기획실 정보화 평가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'기타작업-1'!$F$3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('기타작업-1'!$F$4:$F$6,'기타작업-1'!$F$8)</c:f>
              <c:numCache>
                <c:formatCode>_(* #,##0_);_(* \(#,##0\);_(* "-"_);_(@_)</c:formatCode>
                <c:ptCount val="4"/>
                <c:pt idx="0">
                  <c:v>70</c:v>
                </c:pt>
                <c:pt idx="1">
                  <c:v>58</c:v>
                </c:pt>
                <c:pt idx="2">
                  <c:v>78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2D-44DA-9DF5-A7F1891B0B6C}"/>
            </c:ext>
          </c:extLst>
        </c:ser>
        <c:ser>
          <c:idx val="2"/>
          <c:order val="1"/>
          <c:tx>
            <c:strRef>
              <c:f>'기타작업-1'!$G$3</c:f>
              <c:strCache>
                <c:ptCount val="1"/>
                <c:pt idx="0">
                  <c:v>파워포인트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('기타작업-1'!$G$4:$G$6,'기타작업-1'!$G$8)</c:f>
              <c:numCache>
                <c:formatCode>_(* #,##0_);_(* \(#,##0\);_(* "-"_);_(@_)</c:formatCode>
                <c:ptCount val="4"/>
                <c:pt idx="0">
                  <c:v>32</c:v>
                </c:pt>
                <c:pt idx="1">
                  <c:v>88</c:v>
                </c:pt>
                <c:pt idx="2">
                  <c:v>71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2D-44DA-9DF5-A7F1891B0B6C}"/>
            </c:ext>
          </c:extLst>
        </c:ser>
        <c:ser>
          <c:idx val="3"/>
          <c:order val="2"/>
          <c:tx>
            <c:strRef>
              <c:f>'기타작업-1'!$H$3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('기타작업-1'!$H$4:$H$6,'기타작업-1'!$H$8)</c:f>
              <c:numCache>
                <c:formatCode>_(* #,##0_);_(* \(#,##0\);_(* "-"_);_(@_)</c:formatCode>
                <c:ptCount val="4"/>
                <c:pt idx="0">
                  <c:v>63</c:v>
                </c:pt>
                <c:pt idx="1">
                  <c:v>50</c:v>
                </c:pt>
                <c:pt idx="2">
                  <c:v>62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2D-44DA-9DF5-A7F1891B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8370368"/>
        <c:axId val="1758374528"/>
      </c:barChart>
      <c:lineChart>
        <c:grouping val="standard"/>
        <c:varyColors val="0"/>
        <c:ser>
          <c:idx val="4"/>
          <c:order val="3"/>
          <c:tx>
            <c:strRef>
              <c:f>'기타작업-1'!$I$3</c:f>
              <c:strCache>
                <c:ptCount val="1"/>
                <c:pt idx="0">
                  <c:v>합계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('기타작업-1'!$C$4:$C$6,'기타작업-1'!$C$8)</c:f>
              <c:strCache>
                <c:ptCount val="4"/>
                <c:pt idx="0">
                  <c:v>김기상</c:v>
                </c:pt>
                <c:pt idx="1">
                  <c:v>김원평</c:v>
                </c:pt>
                <c:pt idx="2">
                  <c:v>김영득</c:v>
                </c:pt>
                <c:pt idx="3">
                  <c:v>김수지</c:v>
                </c:pt>
              </c:strCache>
            </c:strRef>
          </c:cat>
          <c:val>
            <c:numRef>
              <c:f>('기타작업-1'!$I$4:$I$6,'기타작업-1'!$I$8)</c:f>
              <c:numCache>
                <c:formatCode>_(* #,##0_);_(* \(#,##0\);_(* "-"_);_(@_)</c:formatCode>
                <c:ptCount val="4"/>
                <c:pt idx="0">
                  <c:v>197</c:v>
                </c:pt>
                <c:pt idx="1">
                  <c:v>246</c:v>
                </c:pt>
                <c:pt idx="2">
                  <c:v>288</c:v>
                </c:pt>
                <c:pt idx="3">
                  <c:v>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8-41A2-9A92-D5C1FBBE4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697503"/>
        <c:axId val="479002607"/>
      </c:lineChart>
      <c:catAx>
        <c:axId val="17583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4528"/>
        <c:crosses val="autoZero"/>
        <c:auto val="1"/>
        <c:lblAlgn val="ctr"/>
        <c:lblOffset val="100"/>
        <c:noMultiLvlLbl val="0"/>
      </c:catAx>
      <c:valAx>
        <c:axId val="17583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0368"/>
        <c:crosses val="autoZero"/>
        <c:crossBetween val="between"/>
      </c:valAx>
      <c:valAx>
        <c:axId val="479002607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14697503"/>
        <c:crosses val="max"/>
        <c:crossBetween val="between"/>
      </c:valAx>
      <c:catAx>
        <c:axId val="2014697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9002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778250" y="215900"/>
          <a:ext cx="685800" cy="431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0.31693</cdr:x>
      <cdr:y>0.0084</cdr:y>
    </cdr:from>
    <cdr:to>
      <cdr:x>0.71396</cdr:x>
      <cdr:y>0.10924</cdr:y>
    </cdr:to>
    <cdr:sp macro="" textlink="">
      <cdr:nvSpPr>
        <cdr:cNvPr id="2" name="오각형 1"/>
        <cdr:cNvSpPr/>
      </cdr:nvSpPr>
      <cdr:spPr>
        <a:xfrm xmlns:a="http://schemas.openxmlformats.org/drawingml/2006/main">
          <a:off x="1758950" y="38100"/>
          <a:ext cx="2203450" cy="457200"/>
        </a:xfrm>
        <a:prstGeom xmlns:a="http://schemas.openxmlformats.org/drawingml/2006/main" prst="homePlate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ko-K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203200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628650</xdr:colOff>
          <xdr:row>2</xdr:row>
          <xdr:rowOff>209550</xdr:rowOff>
        </xdr:to>
        <xdr:sp macro="" textlink="">
          <xdr:nvSpPr>
            <xdr:cNvPr id="7169" name="점수조회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5.479533101854" createdVersion="6" refreshedVersion="6" minRefreshableVersion="3" recordCount="50" xr:uid="{00000000-000A-0000-FFFF-FFFF00000000}">
  <cacheSource type="external" connectionId="1"/>
  <cacheFields count="7">
    <cacheField name="직위" numFmtId="0" sqlType="-9">
      <sharedItems count="4">
        <s v="과장"/>
        <s v="대리"/>
        <s v="사원"/>
        <s v="팀장"/>
      </sharedItems>
    </cacheField>
    <cacheField name="부서" numFmtId="0" sqlType="-9">
      <sharedItems count="4">
        <s v="기획실"/>
        <s v="관리과"/>
        <s v="사무처"/>
        <s v="홍보팀"/>
      </sharedItems>
    </cacheField>
    <cacheField name="정보화능력" numFmtId="0" sqlType="4">
      <sharedItems containsSemiMixedTypes="0" containsString="0" containsNumber="1" containsInteger="1" minValue="32" maxValue="99" count="24">
        <n v="32"/>
        <n v="77"/>
        <n v="82"/>
        <n v="85"/>
        <n v="86"/>
        <n v="89"/>
        <n v="93"/>
        <n v="99"/>
        <n v="50"/>
        <n v="63"/>
        <n v="75"/>
        <n v="83"/>
        <n v="87"/>
        <n v="88"/>
        <n v="90"/>
        <n v="91"/>
        <n v="92"/>
        <n v="95"/>
        <n v="52"/>
        <n v="61"/>
        <n v="70"/>
        <n v="78"/>
        <n v="96"/>
        <n v="57"/>
      </sharedItems>
    </cacheField>
    <cacheField name="엑셀" numFmtId="0" sqlType="4">
      <sharedItems containsSemiMixedTypes="0" containsString="0" containsNumber="1" containsInteger="1" minValue="50" maxValue="99" count="28">
        <n v="70"/>
        <n v="78"/>
        <n v="90"/>
        <n v="82"/>
        <n v="60"/>
        <n v="80"/>
        <n v="50"/>
        <n v="77"/>
        <n v="95"/>
        <n v="62"/>
        <n v="58"/>
        <n v="93"/>
        <n v="84"/>
        <n v="73"/>
        <n v="71"/>
        <n v="63"/>
        <n v="79"/>
        <n v="72"/>
        <n v="99"/>
        <n v="74"/>
        <n v="97"/>
        <n v="92"/>
        <n v="91"/>
        <n v="83"/>
        <n v="65"/>
        <n v="87"/>
        <n v="56"/>
        <n v="88"/>
      </sharedItems>
    </cacheField>
    <cacheField name="파워포인트" numFmtId="0" sqlType="4">
      <sharedItems containsSemiMixedTypes="0" containsString="0" containsNumber="1" containsInteger="1" minValue="32" maxValue="96" count="26">
        <n v="32"/>
        <n v="71"/>
        <n v="75"/>
        <n v="89"/>
        <n v="85"/>
        <n v="95"/>
        <n v="78"/>
        <n v="93"/>
        <n v="88"/>
        <n v="87"/>
        <n v="65"/>
        <n v="70"/>
        <n v="92"/>
        <n v="96"/>
        <n v="60"/>
        <n v="91"/>
        <n v="82"/>
        <n v="83"/>
        <n v="90"/>
        <n v="57"/>
        <n v="50"/>
        <n v="62"/>
        <n v="86"/>
        <n v="79"/>
        <n v="63"/>
        <n v="80"/>
      </sharedItems>
    </cacheField>
    <cacheField name="인터넷" numFmtId="0" sqlType="4">
      <sharedItems containsSemiMixedTypes="0" containsString="0" containsNumber="1" containsInteger="1" minValue="50" maxValue="96" count="23">
        <n v="63"/>
        <n v="62"/>
        <n v="71"/>
        <n v="82"/>
        <n v="85"/>
        <n v="90"/>
        <n v="79"/>
        <n v="95"/>
        <n v="50"/>
        <n v="93"/>
        <n v="70"/>
        <n v="80"/>
        <n v="78"/>
        <n v="60"/>
        <n v="73"/>
        <n v="72"/>
        <n v="83"/>
        <n v="89"/>
        <n v="92"/>
        <n v="96"/>
        <n v="52"/>
        <n v="65"/>
        <n v="91"/>
      </sharedItems>
    </cacheField>
    <cacheField name="표준편차" numFmtId="0" formula="STDEV(정보화능력,엑셀,파워포인트,인터넷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  <x v="0"/>
    <x v="0"/>
  </r>
  <r>
    <x v="0"/>
    <x v="0"/>
    <x v="1"/>
    <x v="1"/>
    <x v="1"/>
    <x v="1"/>
  </r>
  <r>
    <x v="0"/>
    <x v="1"/>
    <x v="2"/>
    <x v="2"/>
    <x v="2"/>
    <x v="2"/>
  </r>
  <r>
    <x v="0"/>
    <x v="2"/>
    <x v="3"/>
    <x v="3"/>
    <x v="3"/>
    <x v="3"/>
  </r>
  <r>
    <x v="0"/>
    <x v="0"/>
    <x v="3"/>
    <x v="4"/>
    <x v="4"/>
    <x v="4"/>
  </r>
  <r>
    <x v="0"/>
    <x v="2"/>
    <x v="4"/>
    <x v="5"/>
    <x v="5"/>
    <x v="3"/>
  </r>
  <r>
    <x v="0"/>
    <x v="3"/>
    <x v="5"/>
    <x v="6"/>
    <x v="6"/>
    <x v="5"/>
  </r>
  <r>
    <x v="0"/>
    <x v="3"/>
    <x v="5"/>
    <x v="7"/>
    <x v="7"/>
    <x v="6"/>
  </r>
  <r>
    <x v="0"/>
    <x v="2"/>
    <x v="6"/>
    <x v="8"/>
    <x v="6"/>
    <x v="6"/>
  </r>
  <r>
    <x v="0"/>
    <x v="2"/>
    <x v="7"/>
    <x v="9"/>
    <x v="7"/>
    <x v="7"/>
  </r>
  <r>
    <x v="1"/>
    <x v="0"/>
    <x v="8"/>
    <x v="10"/>
    <x v="8"/>
    <x v="8"/>
  </r>
  <r>
    <x v="1"/>
    <x v="1"/>
    <x v="9"/>
    <x v="11"/>
    <x v="9"/>
    <x v="9"/>
  </r>
  <r>
    <x v="1"/>
    <x v="0"/>
    <x v="10"/>
    <x v="12"/>
    <x v="6"/>
    <x v="10"/>
  </r>
  <r>
    <x v="1"/>
    <x v="0"/>
    <x v="1"/>
    <x v="13"/>
    <x v="10"/>
    <x v="5"/>
  </r>
  <r>
    <x v="1"/>
    <x v="1"/>
    <x v="11"/>
    <x v="0"/>
    <x v="11"/>
    <x v="11"/>
  </r>
  <r>
    <x v="1"/>
    <x v="2"/>
    <x v="3"/>
    <x v="4"/>
    <x v="12"/>
    <x v="12"/>
  </r>
  <r>
    <x v="1"/>
    <x v="1"/>
    <x v="3"/>
    <x v="9"/>
    <x v="13"/>
    <x v="10"/>
  </r>
  <r>
    <x v="1"/>
    <x v="2"/>
    <x v="12"/>
    <x v="12"/>
    <x v="10"/>
    <x v="13"/>
  </r>
  <r>
    <x v="1"/>
    <x v="3"/>
    <x v="13"/>
    <x v="14"/>
    <x v="4"/>
    <x v="1"/>
  </r>
  <r>
    <x v="1"/>
    <x v="0"/>
    <x v="13"/>
    <x v="7"/>
    <x v="14"/>
    <x v="14"/>
  </r>
  <r>
    <x v="1"/>
    <x v="3"/>
    <x v="5"/>
    <x v="15"/>
    <x v="6"/>
    <x v="10"/>
  </r>
  <r>
    <x v="1"/>
    <x v="3"/>
    <x v="5"/>
    <x v="16"/>
    <x v="15"/>
    <x v="9"/>
  </r>
  <r>
    <x v="1"/>
    <x v="2"/>
    <x v="14"/>
    <x v="2"/>
    <x v="16"/>
    <x v="15"/>
  </r>
  <r>
    <x v="1"/>
    <x v="2"/>
    <x v="15"/>
    <x v="17"/>
    <x v="17"/>
    <x v="16"/>
  </r>
  <r>
    <x v="1"/>
    <x v="3"/>
    <x v="16"/>
    <x v="9"/>
    <x v="18"/>
    <x v="12"/>
  </r>
  <r>
    <x v="1"/>
    <x v="2"/>
    <x v="6"/>
    <x v="1"/>
    <x v="3"/>
    <x v="9"/>
  </r>
  <r>
    <x v="1"/>
    <x v="2"/>
    <x v="17"/>
    <x v="18"/>
    <x v="7"/>
    <x v="17"/>
  </r>
  <r>
    <x v="2"/>
    <x v="1"/>
    <x v="18"/>
    <x v="19"/>
    <x v="3"/>
    <x v="12"/>
  </r>
  <r>
    <x v="2"/>
    <x v="1"/>
    <x v="19"/>
    <x v="20"/>
    <x v="18"/>
    <x v="18"/>
  </r>
  <r>
    <x v="2"/>
    <x v="0"/>
    <x v="20"/>
    <x v="21"/>
    <x v="19"/>
    <x v="19"/>
  </r>
  <r>
    <x v="2"/>
    <x v="0"/>
    <x v="10"/>
    <x v="5"/>
    <x v="1"/>
    <x v="13"/>
  </r>
  <r>
    <x v="2"/>
    <x v="3"/>
    <x v="21"/>
    <x v="2"/>
    <x v="6"/>
    <x v="10"/>
  </r>
  <r>
    <x v="2"/>
    <x v="1"/>
    <x v="3"/>
    <x v="22"/>
    <x v="2"/>
    <x v="7"/>
  </r>
  <r>
    <x v="2"/>
    <x v="1"/>
    <x v="3"/>
    <x v="1"/>
    <x v="20"/>
    <x v="10"/>
  </r>
  <r>
    <x v="2"/>
    <x v="3"/>
    <x v="3"/>
    <x v="22"/>
    <x v="6"/>
    <x v="1"/>
  </r>
  <r>
    <x v="2"/>
    <x v="3"/>
    <x v="12"/>
    <x v="12"/>
    <x v="21"/>
    <x v="16"/>
  </r>
  <r>
    <x v="2"/>
    <x v="2"/>
    <x v="16"/>
    <x v="23"/>
    <x v="22"/>
    <x v="7"/>
  </r>
  <r>
    <x v="2"/>
    <x v="2"/>
    <x v="16"/>
    <x v="1"/>
    <x v="2"/>
    <x v="7"/>
  </r>
  <r>
    <x v="2"/>
    <x v="2"/>
    <x v="22"/>
    <x v="24"/>
    <x v="23"/>
    <x v="9"/>
  </r>
  <r>
    <x v="2"/>
    <x v="2"/>
    <x v="22"/>
    <x v="25"/>
    <x v="5"/>
    <x v="18"/>
  </r>
  <r>
    <x v="3"/>
    <x v="1"/>
    <x v="23"/>
    <x v="26"/>
    <x v="12"/>
    <x v="17"/>
  </r>
  <r>
    <x v="3"/>
    <x v="1"/>
    <x v="21"/>
    <x v="5"/>
    <x v="6"/>
    <x v="20"/>
  </r>
  <r>
    <x v="3"/>
    <x v="1"/>
    <x v="3"/>
    <x v="3"/>
    <x v="10"/>
    <x v="21"/>
  </r>
  <r>
    <x v="3"/>
    <x v="2"/>
    <x v="3"/>
    <x v="9"/>
    <x v="7"/>
    <x v="22"/>
  </r>
  <r>
    <x v="3"/>
    <x v="1"/>
    <x v="3"/>
    <x v="3"/>
    <x v="24"/>
    <x v="5"/>
  </r>
  <r>
    <x v="3"/>
    <x v="1"/>
    <x v="13"/>
    <x v="14"/>
    <x v="25"/>
    <x v="20"/>
  </r>
  <r>
    <x v="3"/>
    <x v="0"/>
    <x v="5"/>
    <x v="15"/>
    <x v="10"/>
    <x v="10"/>
  </r>
  <r>
    <x v="3"/>
    <x v="3"/>
    <x v="14"/>
    <x v="11"/>
    <x v="1"/>
    <x v="5"/>
  </r>
  <r>
    <x v="3"/>
    <x v="2"/>
    <x v="16"/>
    <x v="8"/>
    <x v="4"/>
    <x v="12"/>
  </r>
  <r>
    <x v="3"/>
    <x v="2"/>
    <x v="17"/>
    <x v="27"/>
    <x v="12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G8" firstHeaderRow="0" firstDataRow="1" firstDataCol="1" rowPageCount="1" colPageCount="1"/>
  <pivotFields count="7">
    <pivotField axis="axisPage" compact="0" outline="0" showAll="0">
      <items count="5">
        <item x="0"/>
        <item x="1"/>
        <item x="2"/>
        <item x="3"/>
        <item t="default"/>
      </items>
    </pivotField>
    <pivotField axis="axisRow" compact="0" outline="0" showAll="0">
      <items count="5">
        <item x="1"/>
        <item x="0"/>
        <item x="2"/>
        <item x="3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평균 : 정보화능력" fld="2" subtotal="average" baseField="1" baseItem="0" numFmtId="176"/>
    <dataField name="평균 : 엑셀" fld="3" subtotal="average" baseField="1" baseItem="0" numFmtId="176"/>
    <dataField name="평균 : 파워포인트" fld="4" subtotal="average" baseField="1" baseItem="0" numFmtId="176"/>
    <dataField name="평균 : 인터넷" fld="5" subtotal="average" baseField="1" baseItem="0" numFmtId="176"/>
    <dataField name="합계 : 표준편차" fld="6" baseField="1" baseItem="0" numFmtId="176"/>
  </dataFields>
  <pivotTableStyleInfo name="PivotStyleLight24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J29"/>
  <sheetViews>
    <sheetView tabSelected="1" workbookViewId="0"/>
  </sheetViews>
  <sheetFormatPr defaultRowHeight="17"/>
  <cols>
    <col min="1" max="1" width="1.58203125" customWidth="1"/>
    <col min="5" max="5" width="10.4140625" bestFit="1" customWidth="1"/>
    <col min="6" max="10" width="11" customWidth="1"/>
  </cols>
  <sheetData>
    <row r="1" spans="2:10" ht="30">
      <c r="B1" s="43" t="s">
        <v>0</v>
      </c>
      <c r="C1" s="43"/>
      <c r="D1" s="43"/>
      <c r="E1" s="43"/>
      <c r="F1" s="43"/>
      <c r="G1" s="43"/>
      <c r="H1" s="43"/>
      <c r="I1" s="43"/>
      <c r="J1" s="43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27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27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27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27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27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27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27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27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27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27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27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27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27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27">
        <f t="shared" si="0"/>
        <v>353</v>
      </c>
    </row>
    <row r="19" spans="2:10">
      <c r="B19" s="26" t="s">
        <v>124</v>
      </c>
    </row>
    <row r="20" spans="2:10">
      <c r="B20" t="b">
        <f>AND(E4="과장",J4&gt;=300)</f>
        <v>1</v>
      </c>
    </row>
    <row r="23" spans="2:10">
      <c r="B23" s="6" t="s">
        <v>1</v>
      </c>
      <c r="C23" s="6" t="s">
        <v>2</v>
      </c>
      <c r="D23" s="6" t="s">
        <v>3</v>
      </c>
      <c r="E23" s="6" t="s">
        <v>5</v>
      </c>
      <c r="F23" s="6" t="s">
        <v>6</v>
      </c>
      <c r="G23" s="6" t="s">
        <v>7</v>
      </c>
      <c r="H23" s="6" t="s">
        <v>8</v>
      </c>
    </row>
    <row r="24" spans="2:10">
      <c r="B24" s="3" t="s">
        <v>10</v>
      </c>
      <c r="C24" s="3" t="s">
        <v>11</v>
      </c>
      <c r="D24" s="3" t="s">
        <v>12</v>
      </c>
      <c r="E24" s="4">
        <v>82</v>
      </c>
      <c r="F24" s="4">
        <v>90</v>
      </c>
      <c r="G24" s="4">
        <v>75</v>
      </c>
      <c r="H24" s="4">
        <v>71</v>
      </c>
    </row>
    <row r="25" spans="2:10">
      <c r="B25" s="3" t="s">
        <v>17</v>
      </c>
      <c r="C25" s="3" t="s">
        <v>18</v>
      </c>
      <c r="D25" s="3" t="s">
        <v>19</v>
      </c>
      <c r="E25" s="4">
        <v>89</v>
      </c>
      <c r="F25" s="4">
        <v>50</v>
      </c>
      <c r="G25" s="4">
        <v>78</v>
      </c>
      <c r="H25" s="4">
        <v>90</v>
      </c>
    </row>
    <row r="26" spans="2:10">
      <c r="B26" s="3" t="s">
        <v>25</v>
      </c>
      <c r="C26" s="3" t="s">
        <v>26</v>
      </c>
      <c r="D26" s="3" t="s">
        <v>24</v>
      </c>
      <c r="E26" s="4">
        <v>85</v>
      </c>
      <c r="F26" s="4">
        <v>60</v>
      </c>
      <c r="G26" s="4">
        <v>85</v>
      </c>
      <c r="H26" s="4">
        <v>85</v>
      </c>
    </row>
    <row r="27" spans="2:10">
      <c r="B27" s="3" t="s">
        <v>33</v>
      </c>
      <c r="C27" s="3" t="s">
        <v>34</v>
      </c>
      <c r="D27" s="3" t="s">
        <v>35</v>
      </c>
      <c r="E27" s="4">
        <v>99</v>
      </c>
      <c r="F27" s="4">
        <v>62</v>
      </c>
      <c r="G27" s="4">
        <v>93</v>
      </c>
      <c r="H27" s="4">
        <v>95</v>
      </c>
    </row>
    <row r="28" spans="2:10">
      <c r="B28" s="3" t="s">
        <v>36</v>
      </c>
      <c r="C28" s="3" t="s">
        <v>37</v>
      </c>
      <c r="D28" s="3" t="s">
        <v>35</v>
      </c>
      <c r="E28" s="4">
        <v>86</v>
      </c>
      <c r="F28" s="4">
        <v>80</v>
      </c>
      <c r="G28" s="4">
        <v>95</v>
      </c>
      <c r="H28" s="4">
        <v>82</v>
      </c>
    </row>
    <row r="29" spans="2:10">
      <c r="B29" s="3" t="s">
        <v>38</v>
      </c>
      <c r="C29" s="3" t="s">
        <v>39</v>
      </c>
      <c r="D29" s="3" t="s">
        <v>35</v>
      </c>
      <c r="E29" s="4">
        <v>93</v>
      </c>
      <c r="F29" s="4">
        <v>95</v>
      </c>
      <c r="G29" s="4">
        <v>78</v>
      </c>
      <c r="H29" s="4">
        <v>79</v>
      </c>
    </row>
  </sheetData>
  <mergeCells count="1">
    <mergeCell ref="B1:J1"/>
  </mergeCells>
  <phoneticPr fontId="1" type="noConversion"/>
  <conditionalFormatting sqref="B4:J17 B19">
    <cfRule type="expression" dxfId="1" priority="1">
      <formula>AND($E4="대리",$J4&gt;=300)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J17"/>
  <sheetViews>
    <sheetView view="pageBreakPreview" zoomScaleNormal="100" zoomScaleSheetLayoutView="100" workbookViewId="0"/>
  </sheetViews>
  <sheetFormatPr defaultRowHeight="17"/>
  <cols>
    <col min="1" max="1" width="1.58203125" customWidth="1"/>
    <col min="6" max="10" width="11" customWidth="1"/>
  </cols>
  <sheetData>
    <row r="1" spans="2:10">
      <c r="B1" s="42"/>
      <c r="C1" s="42"/>
      <c r="D1" s="42"/>
      <c r="E1" s="42"/>
      <c r="F1" s="42"/>
      <c r="G1" s="42"/>
      <c r="H1" s="42"/>
      <c r="I1" s="42"/>
      <c r="J1" s="42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27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27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27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27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27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27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27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27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27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27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27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27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27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27">
        <f t="shared" si="0"/>
        <v>353</v>
      </c>
    </row>
  </sheetData>
  <sheetProtection sheet="1" objects="1" scenarios="1"/>
  <phoneticPr fontId="1" type="noConversion"/>
  <pageMargins left="0.7" right="0.7" top="0.75" bottom="0.75" header="0.3" footer="0.3"/>
  <pageSetup paperSize="9" scale="8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M39"/>
  <sheetViews>
    <sheetView workbookViewId="0"/>
  </sheetViews>
  <sheetFormatPr defaultRowHeight="17"/>
  <cols>
    <col min="1" max="1" width="3.58203125" customWidth="1"/>
    <col min="3" max="3" width="15" bestFit="1" customWidth="1"/>
    <col min="5" max="5" width="10.4140625" bestFit="1" customWidth="1"/>
    <col min="6" max="6" width="11.25" customWidth="1"/>
    <col min="7" max="7" width="10.4140625" bestFit="1" customWidth="1"/>
    <col min="9" max="9" width="10" bestFit="1" customWidth="1"/>
  </cols>
  <sheetData>
    <row r="1" spans="2:13">
      <c r="B1" s="7" t="s">
        <v>44</v>
      </c>
      <c r="C1" s="7"/>
      <c r="D1" s="7"/>
      <c r="E1" s="7"/>
      <c r="F1" s="7" t="s">
        <v>45</v>
      </c>
      <c r="G1" s="7"/>
      <c r="H1" s="7"/>
      <c r="I1" s="7"/>
      <c r="J1" s="7"/>
      <c r="K1" s="7"/>
      <c r="L1" s="7"/>
      <c r="M1" s="7"/>
    </row>
    <row r="2" spans="2:13" ht="34">
      <c r="B2" s="8" t="s">
        <v>46</v>
      </c>
      <c r="C2" s="17" t="s">
        <v>47</v>
      </c>
      <c r="D2" s="17" t="s">
        <v>48</v>
      </c>
      <c r="E2" s="7"/>
      <c r="F2" s="9" t="s">
        <v>49</v>
      </c>
      <c r="G2" s="17" t="s">
        <v>50</v>
      </c>
      <c r="H2" s="17" t="s">
        <v>51</v>
      </c>
      <c r="I2" s="17" t="s">
        <v>52</v>
      </c>
      <c r="J2" s="17" t="s">
        <v>53</v>
      </c>
      <c r="K2" s="7"/>
      <c r="L2" s="7"/>
      <c r="M2" s="7"/>
    </row>
    <row r="3" spans="2:13">
      <c r="B3" s="8" t="s">
        <v>54</v>
      </c>
      <c r="C3" s="10">
        <f t="array" ref="C3">SUM(($B$14:$B$38=$B3)*$E$14:$E$38)</f>
        <v>585</v>
      </c>
      <c r="D3" s="11" t="str">
        <f t="array" ref="D3">SUM(IF($B$14:$B$38=$B3,1,0))&amp;"명"</f>
        <v>7명</v>
      </c>
      <c r="E3" s="7"/>
      <c r="F3" s="8" t="s">
        <v>54</v>
      </c>
      <c r="G3" s="10">
        <f t="array" ref="G3">MAX(($B$14:$B$38=$F3)*($D$14:$D$38=G$2)*($E$14:$H$38))</f>
        <v>95</v>
      </c>
      <c r="H3" s="10">
        <f t="array" ref="H3">MAX(($B$14:$B$38=$F3)*($D$14:$D$38=H$2)*($E$14:$H$38))</f>
        <v>98</v>
      </c>
      <c r="I3" s="10">
        <f t="array" ref="I3">MAX(($B$14:$B$38=$F3)*($D$14:$D$38=I$2)*($E$14:$H$38))</f>
        <v>88</v>
      </c>
      <c r="J3" s="10">
        <f t="array" ref="J3">MAX(($B$14:$B$38=$F3)*($D$14:$D$38=J$2)*($E$14:$H$38))</f>
        <v>91</v>
      </c>
      <c r="K3" s="7"/>
      <c r="L3" s="7"/>
      <c r="M3" s="7"/>
    </row>
    <row r="4" spans="2:13">
      <c r="B4" s="8" t="s">
        <v>55</v>
      </c>
      <c r="C4" s="10">
        <f t="array" ref="C4">SUM(($B$14:$B$38=$B4)*$E$14:$E$38)</f>
        <v>519</v>
      </c>
      <c r="D4" s="11" t="str">
        <f t="array" ref="D4">SUM(IF($B$14:$B$38=$B4,1,0))&amp;"명"</f>
        <v>6명</v>
      </c>
      <c r="E4" s="7"/>
      <c r="F4" s="8" t="s">
        <v>55</v>
      </c>
      <c r="G4" s="10">
        <f t="array" ref="G4">MAX(($B$14:$B$38=$F4)*($D$14:$D$38=G$2)*($E$14:$H$38))</f>
        <v>94</v>
      </c>
      <c r="H4" s="10">
        <f t="array" ref="H4">MAX(($B$14:$B$38=$F4)*($D$14:$D$38=H$2)*($E$14:$H$38))</f>
        <v>96</v>
      </c>
      <c r="I4" s="10">
        <f t="array" ref="I4">MAX(($B$14:$B$38=$F4)*($D$14:$D$38=I$2)*($E$14:$H$38))</f>
        <v>93</v>
      </c>
      <c r="J4" s="10">
        <f t="array" ref="J4">MAX(($B$14:$B$38=$F4)*($D$14:$D$38=J$2)*($E$14:$H$38))</f>
        <v>100</v>
      </c>
      <c r="K4" s="7"/>
      <c r="L4" s="7"/>
      <c r="M4" s="7"/>
    </row>
    <row r="5" spans="2:13">
      <c r="B5" s="8" t="s">
        <v>56</v>
      </c>
      <c r="C5" s="10">
        <f t="array" ref="C5">SUM(($B$14:$B$38=$B5)*$E$14:$E$38)</f>
        <v>260</v>
      </c>
      <c r="D5" s="11" t="str">
        <f t="array" ref="D5">SUM(IF($B$14:$B$38=$B5,1,0))&amp;"명"</f>
        <v>4명</v>
      </c>
      <c r="E5" s="7"/>
      <c r="F5" s="8" t="s">
        <v>57</v>
      </c>
      <c r="G5" s="10">
        <f t="array" ref="G5">MAX(($B$14:$B$38=$F5)*($D$14:$D$38=G$2)*($E$14:$H$38))</f>
        <v>96</v>
      </c>
      <c r="H5" s="10">
        <f t="array" ref="H5">MAX(($B$14:$B$38=$F5)*($D$14:$D$38=H$2)*($E$14:$H$38))</f>
        <v>68</v>
      </c>
      <c r="I5" s="10">
        <f t="array" ref="I5">MAX(($B$14:$B$38=$F5)*($D$14:$D$38=I$2)*($E$14:$H$38))</f>
        <v>82</v>
      </c>
      <c r="J5" s="10">
        <f t="array" ref="J5">MAX(($B$14:$B$38=$F5)*($D$14:$D$38=J$2)*($E$14:$H$38))</f>
        <v>83</v>
      </c>
      <c r="K5" s="7"/>
      <c r="L5" s="7"/>
      <c r="M5" s="7"/>
    </row>
    <row r="6" spans="2:13">
      <c r="B6" s="8" t="s">
        <v>58</v>
      </c>
      <c r="C6" s="10">
        <f t="array" ref="C6">SUM(($B$14:$B$38=$B6)*$E$14:$E$38)</f>
        <v>561</v>
      </c>
      <c r="D6" s="11" t="str">
        <f t="array" ref="D6">SUM(IF($B$14:$B$38=$B6,1,0))&amp;"명"</f>
        <v>8명</v>
      </c>
      <c r="E6" s="7"/>
      <c r="F6" s="8" t="s">
        <v>59</v>
      </c>
      <c r="G6" s="10">
        <f t="array" ref="G6">MAX(($B$14:$B$38=$F6)*($D$14:$D$38=G$2)*($E$14:$H$38))</f>
        <v>97</v>
      </c>
      <c r="H6" s="10">
        <f t="array" ref="H6">MAX(($B$14:$B$38=$F6)*($D$14:$D$38=H$2)*($E$14:$H$38))</f>
        <v>98</v>
      </c>
      <c r="I6" s="10">
        <f t="array" ref="I6">MAX(($B$14:$B$38=$F6)*($D$14:$D$38=I$2)*($E$14:$H$38))</f>
        <v>95</v>
      </c>
      <c r="J6" s="10">
        <f t="array" ref="J6">MAX(($B$14:$B$38=$F6)*($D$14:$D$38=J$2)*($E$14:$H$38))</f>
        <v>100</v>
      </c>
      <c r="K6" s="7"/>
      <c r="L6" s="7"/>
      <c r="M6" s="7"/>
    </row>
    <row r="7" spans="2:13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>
      <c r="B8" s="7" t="s">
        <v>60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>
      <c r="B9" s="8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7"/>
      <c r="H9" s="7"/>
      <c r="I9" s="7"/>
      <c r="J9" s="7"/>
      <c r="K9" s="7"/>
      <c r="L9" s="7"/>
      <c r="M9" s="7"/>
    </row>
    <row r="10" spans="2:13">
      <c r="B10" s="8" t="s">
        <v>66</v>
      </c>
      <c r="C10" s="13">
        <v>0.4</v>
      </c>
      <c r="D10" s="13">
        <v>0.3</v>
      </c>
      <c r="E10" s="13">
        <v>0.2</v>
      </c>
      <c r="F10" s="13">
        <v>0.1</v>
      </c>
      <c r="G10" s="7"/>
      <c r="H10" s="14"/>
      <c r="I10" s="7"/>
      <c r="J10" s="7"/>
      <c r="K10" s="7"/>
      <c r="L10" s="7"/>
      <c r="M10" s="7"/>
    </row>
    <row r="11" spans="2:13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2:13">
      <c r="B12" s="7" t="s">
        <v>67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2:13">
      <c r="B13" s="8" t="s">
        <v>46</v>
      </c>
      <c r="C13" s="8" t="s">
        <v>68</v>
      </c>
      <c r="D13" s="8" t="s">
        <v>69</v>
      </c>
      <c r="E13" s="12" t="s">
        <v>62</v>
      </c>
      <c r="F13" s="12" t="s">
        <v>70</v>
      </c>
      <c r="G13" s="12" t="s">
        <v>64</v>
      </c>
      <c r="H13" s="12" t="s">
        <v>65</v>
      </c>
      <c r="I13" s="12" t="s">
        <v>71</v>
      </c>
      <c r="J13" s="17" t="s">
        <v>72</v>
      </c>
      <c r="K13" s="17" t="s">
        <v>73</v>
      </c>
      <c r="L13" s="7"/>
      <c r="M13" s="7"/>
    </row>
    <row r="14" spans="2:13">
      <c r="B14" s="8" t="s">
        <v>56</v>
      </c>
      <c r="C14" s="15" t="s">
        <v>43</v>
      </c>
      <c r="D14" s="8" t="s">
        <v>74</v>
      </c>
      <c r="E14" s="10">
        <v>27</v>
      </c>
      <c r="F14" s="10">
        <v>65</v>
      </c>
      <c r="G14" s="10">
        <v>43</v>
      </c>
      <c r="H14" s="10">
        <v>68</v>
      </c>
      <c r="I14" s="16" t="s">
        <v>75</v>
      </c>
      <c r="J14" s="28">
        <f>SUMPRODUCT(E14:H14,$C$10:$F$10)-IF(ISERROR(VALUE(I14)),0,10)</f>
        <v>45.7</v>
      </c>
      <c r="K14" s="8" t="str">
        <f>fn평가(D14,E14)</f>
        <v/>
      </c>
      <c r="L14" s="7"/>
      <c r="M14" s="7"/>
    </row>
    <row r="15" spans="2:13">
      <c r="B15" s="8" t="s">
        <v>59</v>
      </c>
      <c r="C15" s="15" t="s">
        <v>76</v>
      </c>
      <c r="D15" s="8" t="s">
        <v>77</v>
      </c>
      <c r="E15" s="10">
        <v>80</v>
      </c>
      <c r="F15" s="10">
        <v>73</v>
      </c>
      <c r="G15" s="10">
        <v>61</v>
      </c>
      <c r="H15" s="10">
        <v>75</v>
      </c>
      <c r="I15" s="16">
        <v>1</v>
      </c>
      <c r="J15" s="28">
        <f t="shared" ref="J15:J38" si="0">SUMPRODUCT(E15:H15,$C$10:$F$10)-IF(ISERROR(VALUE(I15)),0,10)</f>
        <v>63.599999999999994</v>
      </c>
      <c r="K15" s="8" t="str">
        <f t="shared" ref="K15:K38" si="1">fn평가(D15,E15)</f>
        <v/>
      </c>
      <c r="L15" s="7"/>
      <c r="M15" s="7"/>
    </row>
    <row r="16" spans="2:13">
      <c r="B16" s="8" t="s">
        <v>57</v>
      </c>
      <c r="C16" s="15" t="s">
        <v>78</v>
      </c>
      <c r="D16" s="8" t="s">
        <v>77</v>
      </c>
      <c r="E16" s="10">
        <v>83</v>
      </c>
      <c r="F16" s="10">
        <v>72</v>
      </c>
      <c r="G16" s="10">
        <v>71</v>
      </c>
      <c r="H16" s="10">
        <v>78</v>
      </c>
      <c r="I16" s="16">
        <v>2</v>
      </c>
      <c r="J16" s="28">
        <f t="shared" si="0"/>
        <v>66.8</v>
      </c>
      <c r="K16" s="8" t="str">
        <f t="shared" si="1"/>
        <v/>
      </c>
      <c r="L16" s="7"/>
      <c r="M16" s="7"/>
    </row>
    <row r="17" spans="2:13">
      <c r="B17" s="8" t="s">
        <v>79</v>
      </c>
      <c r="C17" s="15" t="s">
        <v>80</v>
      </c>
      <c r="D17" s="8" t="s">
        <v>52</v>
      </c>
      <c r="E17" s="10">
        <v>82</v>
      </c>
      <c r="F17" s="10">
        <v>79</v>
      </c>
      <c r="G17" s="10">
        <v>73</v>
      </c>
      <c r="H17" s="10">
        <v>88</v>
      </c>
      <c r="I17" s="16">
        <v>3</v>
      </c>
      <c r="J17" s="28">
        <f t="shared" si="0"/>
        <v>69.899999999999991</v>
      </c>
      <c r="K17" s="8" t="str">
        <f t="shared" si="1"/>
        <v/>
      </c>
      <c r="L17" s="7"/>
      <c r="M17" s="7"/>
    </row>
    <row r="18" spans="2:13">
      <c r="B18" s="8" t="s">
        <v>58</v>
      </c>
      <c r="C18" s="15" t="s">
        <v>26</v>
      </c>
      <c r="D18" s="8" t="s">
        <v>52</v>
      </c>
      <c r="E18" s="10">
        <v>80</v>
      </c>
      <c r="F18" s="10">
        <v>77</v>
      </c>
      <c r="G18" s="10">
        <v>74</v>
      </c>
      <c r="H18" s="10">
        <v>95</v>
      </c>
      <c r="I18" s="16" t="s">
        <v>81</v>
      </c>
      <c r="J18" s="28">
        <f t="shared" si="0"/>
        <v>79.399999999999991</v>
      </c>
      <c r="K18" s="8" t="str">
        <f t="shared" si="1"/>
        <v/>
      </c>
      <c r="L18" s="7"/>
      <c r="M18" s="7"/>
    </row>
    <row r="19" spans="2:13">
      <c r="B19" s="8" t="s">
        <v>55</v>
      </c>
      <c r="C19" s="15" t="s">
        <v>82</v>
      </c>
      <c r="D19" s="8" t="s">
        <v>83</v>
      </c>
      <c r="E19" s="10">
        <v>82</v>
      </c>
      <c r="F19" s="10">
        <v>79</v>
      </c>
      <c r="G19" s="10">
        <v>76</v>
      </c>
      <c r="H19" s="10">
        <v>65</v>
      </c>
      <c r="I19" s="16">
        <v>2</v>
      </c>
      <c r="J19" s="28">
        <f t="shared" si="0"/>
        <v>68.2</v>
      </c>
      <c r="K19" s="8" t="str">
        <f t="shared" si="1"/>
        <v/>
      </c>
      <c r="L19" s="7"/>
      <c r="M19" s="7"/>
    </row>
    <row r="20" spans="2:13">
      <c r="B20" s="8" t="s">
        <v>59</v>
      </c>
      <c r="C20" s="15" t="s">
        <v>84</v>
      </c>
      <c r="D20" s="8" t="s">
        <v>85</v>
      </c>
      <c r="E20" s="10">
        <v>80</v>
      </c>
      <c r="F20" s="10">
        <v>77</v>
      </c>
      <c r="G20" s="10">
        <v>76</v>
      </c>
      <c r="H20" s="10">
        <v>70</v>
      </c>
      <c r="I20" s="16">
        <v>3</v>
      </c>
      <c r="J20" s="28">
        <f t="shared" si="0"/>
        <v>67.3</v>
      </c>
      <c r="K20" s="8" t="str">
        <f t="shared" si="1"/>
        <v>우수사원</v>
      </c>
      <c r="L20" s="7"/>
      <c r="M20" s="7"/>
    </row>
    <row r="21" spans="2:13">
      <c r="B21" s="8" t="s">
        <v>54</v>
      </c>
      <c r="C21" s="15" t="s">
        <v>86</v>
      </c>
      <c r="D21" s="8" t="s">
        <v>87</v>
      </c>
      <c r="E21" s="10">
        <v>85</v>
      </c>
      <c r="F21" s="10">
        <v>88</v>
      </c>
      <c r="G21" s="10">
        <v>82</v>
      </c>
      <c r="H21" s="10">
        <v>95</v>
      </c>
      <c r="I21" s="16" t="s">
        <v>81</v>
      </c>
      <c r="J21" s="28">
        <f t="shared" si="0"/>
        <v>86.3</v>
      </c>
      <c r="K21" s="8" t="str">
        <f t="shared" si="1"/>
        <v>우수사원</v>
      </c>
      <c r="L21" s="7"/>
      <c r="M21" s="7"/>
    </row>
    <row r="22" spans="2:13">
      <c r="B22" s="8" t="s">
        <v>56</v>
      </c>
      <c r="C22" s="15" t="s">
        <v>39</v>
      </c>
      <c r="D22" s="8" t="s">
        <v>52</v>
      </c>
      <c r="E22" s="10">
        <v>70</v>
      </c>
      <c r="F22" s="10">
        <v>75</v>
      </c>
      <c r="G22" s="10">
        <v>82</v>
      </c>
      <c r="H22" s="10">
        <v>65</v>
      </c>
      <c r="I22" s="16">
        <v>1</v>
      </c>
      <c r="J22" s="28">
        <f t="shared" si="0"/>
        <v>63.400000000000006</v>
      </c>
      <c r="K22" s="8" t="str">
        <f t="shared" si="1"/>
        <v/>
      </c>
      <c r="L22" s="7"/>
      <c r="M22" s="7"/>
    </row>
    <row r="23" spans="2:13">
      <c r="B23" s="8" t="s">
        <v>59</v>
      </c>
      <c r="C23" s="15" t="s">
        <v>18</v>
      </c>
      <c r="D23" s="8" t="s">
        <v>77</v>
      </c>
      <c r="E23" s="10">
        <v>80</v>
      </c>
      <c r="F23" s="10">
        <v>86</v>
      </c>
      <c r="G23" s="10">
        <v>86</v>
      </c>
      <c r="H23" s="10">
        <v>100</v>
      </c>
      <c r="I23" s="16" t="s">
        <v>81</v>
      </c>
      <c r="J23" s="28">
        <f t="shared" si="0"/>
        <v>85</v>
      </c>
      <c r="K23" s="8" t="str">
        <f t="shared" si="1"/>
        <v/>
      </c>
      <c r="L23" s="7"/>
      <c r="M23" s="7"/>
    </row>
    <row r="24" spans="2:13">
      <c r="B24" s="8" t="s">
        <v>54</v>
      </c>
      <c r="C24" s="15" t="s">
        <v>88</v>
      </c>
      <c r="D24" s="8" t="s">
        <v>83</v>
      </c>
      <c r="E24" s="10">
        <v>84</v>
      </c>
      <c r="F24" s="10">
        <v>58</v>
      </c>
      <c r="G24" s="10">
        <v>89</v>
      </c>
      <c r="H24" s="10">
        <v>75</v>
      </c>
      <c r="I24" s="16">
        <v>3</v>
      </c>
      <c r="J24" s="28">
        <f t="shared" si="0"/>
        <v>66.3</v>
      </c>
      <c r="K24" s="8" t="str">
        <f t="shared" si="1"/>
        <v/>
      </c>
      <c r="L24" s="7"/>
      <c r="M24" s="7"/>
    </row>
    <row r="25" spans="2:13">
      <c r="B25" s="8" t="s">
        <v>54</v>
      </c>
      <c r="C25" s="15" t="s">
        <v>89</v>
      </c>
      <c r="D25" s="8" t="s">
        <v>87</v>
      </c>
      <c r="E25" s="10">
        <v>80</v>
      </c>
      <c r="F25" s="10">
        <v>86</v>
      </c>
      <c r="G25" s="10">
        <v>89</v>
      </c>
      <c r="H25" s="10">
        <v>67</v>
      </c>
      <c r="I25" s="16">
        <v>3</v>
      </c>
      <c r="J25" s="28">
        <f t="shared" si="0"/>
        <v>72.3</v>
      </c>
      <c r="K25" s="8" t="str">
        <f t="shared" si="1"/>
        <v>우수사원</v>
      </c>
      <c r="L25" s="7"/>
      <c r="M25" s="7"/>
    </row>
    <row r="26" spans="2:13">
      <c r="B26" s="8" t="s">
        <v>90</v>
      </c>
      <c r="C26" s="15" t="s">
        <v>91</v>
      </c>
      <c r="D26" s="8" t="s">
        <v>77</v>
      </c>
      <c r="E26" s="10">
        <v>91</v>
      </c>
      <c r="F26" s="10">
        <v>60</v>
      </c>
      <c r="G26" s="10">
        <v>90</v>
      </c>
      <c r="H26" s="10">
        <v>98</v>
      </c>
      <c r="I26" s="16">
        <v>1</v>
      </c>
      <c r="J26" s="28">
        <f t="shared" si="0"/>
        <v>72.2</v>
      </c>
      <c r="K26" s="8" t="str">
        <f t="shared" si="1"/>
        <v/>
      </c>
      <c r="L26" s="7"/>
      <c r="M26" s="7"/>
    </row>
    <row r="27" spans="2:13">
      <c r="B27" s="8" t="s">
        <v>55</v>
      </c>
      <c r="C27" s="15" t="s">
        <v>28</v>
      </c>
      <c r="D27" s="8" t="s">
        <v>92</v>
      </c>
      <c r="E27" s="10">
        <v>85</v>
      </c>
      <c r="F27" s="10">
        <v>85</v>
      </c>
      <c r="G27" s="10">
        <v>93</v>
      </c>
      <c r="H27" s="10">
        <v>77</v>
      </c>
      <c r="I27" s="16">
        <v>2</v>
      </c>
      <c r="J27" s="28">
        <f t="shared" si="0"/>
        <v>75.8</v>
      </c>
      <c r="K27" s="8" t="str">
        <f t="shared" si="1"/>
        <v/>
      </c>
      <c r="L27" s="7"/>
      <c r="M27" s="7"/>
    </row>
    <row r="28" spans="2:13">
      <c r="B28" s="8" t="s">
        <v>90</v>
      </c>
      <c r="C28" s="15" t="s">
        <v>41</v>
      </c>
      <c r="D28" s="8" t="s">
        <v>50</v>
      </c>
      <c r="E28" s="10">
        <v>86</v>
      </c>
      <c r="F28" s="10">
        <v>67</v>
      </c>
      <c r="G28" s="10">
        <v>94</v>
      </c>
      <c r="H28" s="10">
        <v>88</v>
      </c>
      <c r="I28" s="16">
        <v>1</v>
      </c>
      <c r="J28" s="28">
        <f t="shared" si="0"/>
        <v>72.099999999999994</v>
      </c>
      <c r="K28" s="8" t="str">
        <f t="shared" si="1"/>
        <v>우수사원</v>
      </c>
      <c r="L28" s="7"/>
      <c r="M28" s="7"/>
    </row>
    <row r="29" spans="2:13">
      <c r="B29" s="8" t="s">
        <v>56</v>
      </c>
      <c r="C29" s="15" t="s">
        <v>37</v>
      </c>
      <c r="D29" s="8" t="s">
        <v>87</v>
      </c>
      <c r="E29" s="10">
        <v>80</v>
      </c>
      <c r="F29" s="10">
        <v>55</v>
      </c>
      <c r="G29" s="10">
        <v>96</v>
      </c>
      <c r="H29" s="10">
        <v>90</v>
      </c>
      <c r="I29" s="16" t="s">
        <v>81</v>
      </c>
      <c r="J29" s="28">
        <f t="shared" si="0"/>
        <v>76.7</v>
      </c>
      <c r="K29" s="8" t="str">
        <f t="shared" si="1"/>
        <v>우수사원</v>
      </c>
      <c r="L29" s="7"/>
      <c r="M29" s="7"/>
    </row>
    <row r="30" spans="2:13">
      <c r="B30" s="8" t="s">
        <v>54</v>
      </c>
      <c r="C30" s="15" t="s">
        <v>93</v>
      </c>
      <c r="D30" s="8" t="s">
        <v>83</v>
      </c>
      <c r="E30" s="10">
        <v>83</v>
      </c>
      <c r="F30" s="10">
        <v>66</v>
      </c>
      <c r="G30" s="10">
        <v>96</v>
      </c>
      <c r="H30" s="10">
        <v>67</v>
      </c>
      <c r="I30" s="16">
        <v>3</v>
      </c>
      <c r="J30" s="28">
        <f t="shared" si="0"/>
        <v>68.900000000000006</v>
      </c>
      <c r="K30" s="8" t="str">
        <f t="shared" si="1"/>
        <v/>
      </c>
      <c r="L30" s="7"/>
      <c r="M30" s="7"/>
    </row>
    <row r="31" spans="2:13">
      <c r="B31" s="8" t="s">
        <v>59</v>
      </c>
      <c r="C31" s="15" t="s">
        <v>94</v>
      </c>
      <c r="D31" s="8" t="s">
        <v>51</v>
      </c>
      <c r="E31" s="10">
        <v>58</v>
      </c>
      <c r="F31" s="10">
        <v>88</v>
      </c>
      <c r="G31" s="10">
        <v>98</v>
      </c>
      <c r="H31" s="10">
        <v>98</v>
      </c>
      <c r="I31" s="16">
        <v>1</v>
      </c>
      <c r="J31" s="28">
        <f t="shared" si="0"/>
        <v>69</v>
      </c>
      <c r="K31" s="8" t="str">
        <f t="shared" si="1"/>
        <v/>
      </c>
      <c r="L31" s="7"/>
      <c r="M31" s="7"/>
    </row>
    <row r="32" spans="2:13">
      <c r="B32" s="8" t="s">
        <v>59</v>
      </c>
      <c r="C32" s="15" t="s">
        <v>95</v>
      </c>
      <c r="D32" s="8" t="s">
        <v>87</v>
      </c>
      <c r="E32" s="10">
        <v>47</v>
      </c>
      <c r="F32" s="10">
        <v>69</v>
      </c>
      <c r="G32" s="10">
        <v>90</v>
      </c>
      <c r="H32" s="10">
        <v>83</v>
      </c>
      <c r="I32" s="16" t="s">
        <v>75</v>
      </c>
      <c r="J32" s="28">
        <f t="shared" si="0"/>
        <v>65.8</v>
      </c>
      <c r="K32" s="8" t="str">
        <f t="shared" si="1"/>
        <v/>
      </c>
      <c r="L32" s="7"/>
      <c r="M32" s="7"/>
    </row>
    <row r="33" spans="2:13">
      <c r="B33" s="8" t="s">
        <v>59</v>
      </c>
      <c r="C33" s="15" t="s">
        <v>32</v>
      </c>
      <c r="D33" s="8" t="s">
        <v>87</v>
      </c>
      <c r="E33" s="10">
        <v>56</v>
      </c>
      <c r="F33" s="10">
        <v>92</v>
      </c>
      <c r="G33" s="10">
        <v>91</v>
      </c>
      <c r="H33" s="10">
        <v>97</v>
      </c>
      <c r="I33" s="16">
        <v>2</v>
      </c>
      <c r="J33" s="28">
        <f t="shared" si="0"/>
        <v>67.900000000000006</v>
      </c>
      <c r="K33" s="8" t="str">
        <f t="shared" si="1"/>
        <v/>
      </c>
      <c r="L33" s="7"/>
      <c r="M33" s="7"/>
    </row>
    <row r="34" spans="2:13">
      <c r="B34" s="8" t="s">
        <v>79</v>
      </c>
      <c r="C34" s="15" t="s">
        <v>96</v>
      </c>
      <c r="D34" s="8" t="s">
        <v>77</v>
      </c>
      <c r="E34" s="10">
        <v>87</v>
      </c>
      <c r="F34" s="10">
        <v>57</v>
      </c>
      <c r="G34" s="10">
        <v>91</v>
      </c>
      <c r="H34" s="10">
        <v>83</v>
      </c>
      <c r="I34" s="16">
        <v>2</v>
      </c>
      <c r="J34" s="28">
        <f t="shared" si="0"/>
        <v>68.400000000000006</v>
      </c>
      <c r="K34" s="8" t="str">
        <f t="shared" si="1"/>
        <v/>
      </c>
      <c r="L34" s="7"/>
      <c r="M34" s="7"/>
    </row>
    <row r="35" spans="2:13">
      <c r="B35" s="8" t="s">
        <v>79</v>
      </c>
      <c r="C35" s="15" t="s">
        <v>11</v>
      </c>
      <c r="D35" s="8" t="s">
        <v>83</v>
      </c>
      <c r="E35" s="10">
        <v>84</v>
      </c>
      <c r="F35" s="10">
        <v>74</v>
      </c>
      <c r="G35" s="10">
        <v>92</v>
      </c>
      <c r="H35" s="10">
        <v>98</v>
      </c>
      <c r="I35" s="16">
        <v>2</v>
      </c>
      <c r="J35" s="28">
        <f t="shared" si="0"/>
        <v>74</v>
      </c>
      <c r="K35" s="8" t="str">
        <f t="shared" si="1"/>
        <v/>
      </c>
      <c r="L35" s="7"/>
      <c r="M35" s="7"/>
    </row>
    <row r="36" spans="2:13">
      <c r="B36" s="8" t="s">
        <v>90</v>
      </c>
      <c r="C36" s="15" t="s">
        <v>97</v>
      </c>
      <c r="D36" s="8" t="s">
        <v>77</v>
      </c>
      <c r="E36" s="10">
        <v>94</v>
      </c>
      <c r="F36" s="10">
        <v>57</v>
      </c>
      <c r="G36" s="10">
        <v>94</v>
      </c>
      <c r="H36" s="10">
        <v>100</v>
      </c>
      <c r="I36" s="16">
        <v>1</v>
      </c>
      <c r="J36" s="28">
        <f t="shared" si="0"/>
        <v>73.5</v>
      </c>
      <c r="K36" s="8" t="str">
        <f t="shared" si="1"/>
        <v/>
      </c>
      <c r="L36" s="7"/>
      <c r="M36" s="7"/>
    </row>
    <row r="37" spans="2:13">
      <c r="B37" s="8" t="s">
        <v>90</v>
      </c>
      <c r="C37" s="15" t="s">
        <v>98</v>
      </c>
      <c r="D37" s="8" t="s">
        <v>51</v>
      </c>
      <c r="E37" s="10">
        <v>81</v>
      </c>
      <c r="F37" s="10">
        <v>75</v>
      </c>
      <c r="G37" s="10">
        <v>96</v>
      </c>
      <c r="H37" s="10">
        <v>87</v>
      </c>
      <c r="I37" s="16" t="s">
        <v>81</v>
      </c>
      <c r="J37" s="28">
        <f t="shared" si="0"/>
        <v>82.8</v>
      </c>
      <c r="K37" s="8" t="str">
        <f t="shared" si="1"/>
        <v/>
      </c>
      <c r="L37" s="7"/>
      <c r="M37" s="7"/>
    </row>
    <row r="38" spans="2:13">
      <c r="B38" s="8" t="s">
        <v>58</v>
      </c>
      <c r="C38" s="15" t="s">
        <v>30</v>
      </c>
      <c r="D38" s="8" t="s">
        <v>83</v>
      </c>
      <c r="E38" s="10">
        <v>80</v>
      </c>
      <c r="F38" s="10">
        <v>57</v>
      </c>
      <c r="G38" s="10">
        <v>97</v>
      </c>
      <c r="H38" s="10">
        <v>75</v>
      </c>
      <c r="I38" s="16">
        <v>2</v>
      </c>
      <c r="J38" s="28">
        <f t="shared" si="0"/>
        <v>66</v>
      </c>
      <c r="K38" s="8" t="str">
        <f t="shared" si="1"/>
        <v/>
      </c>
      <c r="L38" s="7"/>
      <c r="M38" s="7"/>
    </row>
    <row r="39" spans="2:1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8"/>
  <sheetViews>
    <sheetView workbookViewId="0"/>
  </sheetViews>
  <sheetFormatPr defaultRowHeight="17"/>
  <cols>
    <col min="2" max="2" width="7.08203125" customWidth="1"/>
    <col min="3" max="3" width="16.4140625" bestFit="1" customWidth="1"/>
    <col min="4" max="4" width="10.58203125" customWidth="1"/>
    <col min="5" max="5" width="16.4140625" customWidth="1"/>
    <col min="6" max="6" width="12.5" customWidth="1"/>
    <col min="7" max="7" width="14.5" customWidth="1"/>
    <col min="8" max="8" width="16.4140625" customWidth="1"/>
    <col min="9" max="10" width="16.4140625" bestFit="1" customWidth="1"/>
    <col min="11" max="12" width="16.4140625" customWidth="1"/>
    <col min="13" max="13" width="16.4140625" bestFit="1" customWidth="1"/>
    <col min="14" max="17" width="16.4140625" customWidth="1"/>
    <col min="18" max="18" width="21.08203125" bestFit="1" customWidth="1"/>
    <col min="19" max="19" width="15.1640625" customWidth="1"/>
    <col min="20" max="20" width="21.08203125" bestFit="1" customWidth="1"/>
    <col min="21" max="21" width="17.1640625" customWidth="1"/>
    <col min="22" max="22" width="17.1640625" bestFit="1" customWidth="1"/>
  </cols>
  <sheetData>
    <row r="1" spans="2:7">
      <c r="B1" s="29" t="s">
        <v>4</v>
      </c>
      <c r="C1" t="s">
        <v>117</v>
      </c>
    </row>
    <row r="3" spans="2:7">
      <c r="B3" s="29" t="s">
        <v>3</v>
      </c>
      <c r="C3" t="s">
        <v>119</v>
      </c>
      <c r="D3" t="s">
        <v>120</v>
      </c>
      <c r="E3" t="s">
        <v>121</v>
      </c>
      <c r="F3" t="s">
        <v>122</v>
      </c>
      <c r="G3" t="s">
        <v>123</v>
      </c>
    </row>
    <row r="4" spans="2:7">
      <c r="B4" t="s">
        <v>12</v>
      </c>
      <c r="C4" s="30">
        <v>76.07692307692308</v>
      </c>
      <c r="D4" s="30">
        <v>78.92307692307692</v>
      </c>
      <c r="E4" s="30">
        <v>77.692307692307693</v>
      </c>
      <c r="F4" s="30">
        <v>76.692307692307693</v>
      </c>
      <c r="G4" s="30">
        <v>16.176114078067904</v>
      </c>
    </row>
    <row r="5" spans="2:7">
      <c r="B5" t="s">
        <v>24</v>
      </c>
      <c r="C5" s="30">
        <v>71.8</v>
      </c>
      <c r="D5" s="30">
        <v>73.5</v>
      </c>
      <c r="E5" s="30">
        <v>67.2</v>
      </c>
      <c r="F5" s="30">
        <v>71.900000000000006</v>
      </c>
      <c r="G5" s="30">
        <v>27.141603981096377</v>
      </c>
    </row>
    <row r="6" spans="2:7">
      <c r="B6" t="s">
        <v>35</v>
      </c>
      <c r="C6" s="30">
        <v>91.294117647058826</v>
      </c>
      <c r="D6" s="30">
        <v>80</v>
      </c>
      <c r="E6" s="30">
        <v>86.117647058823536</v>
      </c>
      <c r="F6" s="30">
        <v>85.117647058823536</v>
      </c>
      <c r="G6" s="30">
        <v>78.690850802364565</v>
      </c>
    </row>
    <row r="7" spans="2:7">
      <c r="B7" t="s">
        <v>19</v>
      </c>
      <c r="C7" s="30">
        <v>87.6</v>
      </c>
      <c r="D7" s="30">
        <v>76</v>
      </c>
      <c r="E7" s="30">
        <v>80.400000000000006</v>
      </c>
      <c r="F7" s="30">
        <v>77.7</v>
      </c>
      <c r="G7" s="30">
        <v>51.14929129518805</v>
      </c>
    </row>
    <row r="8" spans="2:7">
      <c r="B8" t="s">
        <v>118</v>
      </c>
      <c r="C8" s="30">
        <v>82.7</v>
      </c>
      <c r="D8" s="30">
        <v>77.62</v>
      </c>
      <c r="E8" s="30">
        <v>79</v>
      </c>
      <c r="F8" s="30">
        <v>78.8</v>
      </c>
      <c r="G8" s="30">
        <v>109.96514599332524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B5:H27"/>
  <sheetViews>
    <sheetView workbookViewId="0"/>
  </sheetViews>
  <sheetFormatPr defaultRowHeight="17"/>
  <cols>
    <col min="5" max="5" width="10.58203125" bestFit="1" customWidth="1"/>
    <col min="7" max="7" width="10.58203125" bestFit="1" customWidth="1"/>
  </cols>
  <sheetData>
    <row r="5" spans="2:8">
      <c r="B5" s="19" t="s">
        <v>46</v>
      </c>
      <c r="C5" s="19" t="s">
        <v>2</v>
      </c>
      <c r="D5" s="19" t="s">
        <v>69</v>
      </c>
      <c r="E5" s="20" t="s">
        <v>5</v>
      </c>
      <c r="F5" s="20" t="s">
        <v>6</v>
      </c>
      <c r="G5" s="20" t="s">
        <v>7</v>
      </c>
      <c r="H5" s="20" t="s">
        <v>8</v>
      </c>
    </row>
    <row r="6" spans="2:8">
      <c r="B6" s="8" t="s">
        <v>54</v>
      </c>
      <c r="C6" s="3" t="s">
        <v>80</v>
      </c>
      <c r="D6" s="8" t="s">
        <v>52</v>
      </c>
      <c r="E6" s="18">
        <v>82</v>
      </c>
      <c r="F6" s="18">
        <v>79</v>
      </c>
      <c r="G6" s="18">
        <v>73</v>
      </c>
      <c r="H6" s="18">
        <v>88</v>
      </c>
    </row>
    <row r="7" spans="2:8" hidden="1">
      <c r="B7" s="8" t="s">
        <v>58</v>
      </c>
      <c r="C7" s="3" t="s">
        <v>26</v>
      </c>
      <c r="D7" s="8" t="s">
        <v>52</v>
      </c>
      <c r="E7" s="18">
        <v>80</v>
      </c>
      <c r="F7" s="18">
        <v>77</v>
      </c>
      <c r="G7" s="18">
        <v>74</v>
      </c>
      <c r="H7" s="18">
        <v>95</v>
      </c>
    </row>
    <row r="8" spans="2:8">
      <c r="B8" s="8" t="s">
        <v>56</v>
      </c>
      <c r="C8" s="3" t="s">
        <v>39</v>
      </c>
      <c r="D8" s="8" t="s">
        <v>52</v>
      </c>
      <c r="E8" s="18">
        <v>70</v>
      </c>
      <c r="F8" s="18">
        <v>75</v>
      </c>
      <c r="G8" s="18">
        <v>82</v>
      </c>
      <c r="H8" s="18">
        <v>65</v>
      </c>
    </row>
    <row r="9" spans="2:8">
      <c r="B9" s="8" t="s">
        <v>56</v>
      </c>
      <c r="C9" s="3" t="s">
        <v>43</v>
      </c>
      <c r="D9" s="8" t="s">
        <v>51</v>
      </c>
      <c r="E9" s="18">
        <v>27</v>
      </c>
      <c r="F9" s="18">
        <v>65</v>
      </c>
      <c r="G9" s="18">
        <v>43</v>
      </c>
      <c r="H9" s="18">
        <v>68</v>
      </c>
    </row>
    <row r="10" spans="2:8" hidden="1">
      <c r="B10" s="8" t="s">
        <v>55</v>
      </c>
      <c r="C10" s="3" t="s">
        <v>82</v>
      </c>
      <c r="D10" s="8" t="s">
        <v>51</v>
      </c>
      <c r="E10" s="18">
        <v>82</v>
      </c>
      <c r="F10" s="18">
        <v>79</v>
      </c>
      <c r="G10" s="18">
        <v>76</v>
      </c>
      <c r="H10" s="18">
        <v>65</v>
      </c>
    </row>
    <row r="11" spans="2:8">
      <c r="B11" s="8" t="s">
        <v>54</v>
      </c>
      <c r="C11" s="3" t="s">
        <v>15</v>
      </c>
      <c r="D11" s="8" t="s">
        <v>51</v>
      </c>
      <c r="E11" s="18">
        <v>84</v>
      </c>
      <c r="F11" s="18">
        <v>58</v>
      </c>
      <c r="G11" s="18">
        <v>89</v>
      </c>
      <c r="H11" s="18">
        <v>75</v>
      </c>
    </row>
    <row r="12" spans="2:8" hidden="1">
      <c r="B12" s="8" t="s">
        <v>58</v>
      </c>
      <c r="C12" s="3" t="s">
        <v>94</v>
      </c>
      <c r="D12" s="8" t="s">
        <v>51</v>
      </c>
      <c r="E12" s="18">
        <v>58</v>
      </c>
      <c r="F12" s="18">
        <v>88</v>
      </c>
      <c r="G12" s="18">
        <v>98</v>
      </c>
      <c r="H12" s="18">
        <v>98</v>
      </c>
    </row>
    <row r="13" spans="2:8">
      <c r="B13" s="8" t="s">
        <v>54</v>
      </c>
      <c r="C13" s="3" t="s">
        <v>11</v>
      </c>
      <c r="D13" s="8" t="s">
        <v>51</v>
      </c>
      <c r="E13" s="18">
        <v>84</v>
      </c>
      <c r="F13" s="18">
        <v>74</v>
      </c>
      <c r="G13" s="18">
        <v>92</v>
      </c>
      <c r="H13" s="18">
        <v>98</v>
      </c>
    </row>
    <row r="14" spans="2:8" hidden="1">
      <c r="B14" s="8" t="s">
        <v>55</v>
      </c>
      <c r="C14" s="3" t="s">
        <v>98</v>
      </c>
      <c r="D14" s="8" t="s">
        <v>51</v>
      </c>
      <c r="E14" s="18">
        <v>81</v>
      </c>
      <c r="F14" s="18">
        <v>75</v>
      </c>
      <c r="G14" s="18">
        <v>96</v>
      </c>
      <c r="H14" s="18">
        <v>87</v>
      </c>
    </row>
    <row r="15" spans="2:8" hidden="1">
      <c r="B15" s="8" t="s">
        <v>58</v>
      </c>
      <c r="C15" s="3" t="s">
        <v>30</v>
      </c>
      <c r="D15" s="8" t="s">
        <v>51</v>
      </c>
      <c r="E15" s="18">
        <v>80</v>
      </c>
      <c r="F15" s="18">
        <v>57</v>
      </c>
      <c r="G15" s="18">
        <v>97</v>
      </c>
      <c r="H15" s="18">
        <v>75</v>
      </c>
    </row>
    <row r="16" spans="2:8" hidden="1">
      <c r="B16" s="8" t="s">
        <v>58</v>
      </c>
      <c r="C16" s="3" t="s">
        <v>76</v>
      </c>
      <c r="D16" s="8" t="s">
        <v>77</v>
      </c>
      <c r="E16" s="18">
        <v>80</v>
      </c>
      <c r="F16" s="18">
        <v>73</v>
      </c>
      <c r="G16" s="18">
        <v>61</v>
      </c>
      <c r="H16" s="18">
        <v>75</v>
      </c>
    </row>
    <row r="17" spans="2:8">
      <c r="B17" s="8" t="s">
        <v>56</v>
      </c>
      <c r="C17" s="3" t="s">
        <v>78</v>
      </c>
      <c r="D17" s="8" t="s">
        <v>77</v>
      </c>
      <c r="E17" s="18">
        <v>83</v>
      </c>
      <c r="F17" s="18">
        <v>72</v>
      </c>
      <c r="G17" s="18">
        <v>71</v>
      </c>
      <c r="H17" s="18">
        <v>78</v>
      </c>
    </row>
    <row r="18" spans="2:8" hidden="1">
      <c r="B18" s="8" t="s">
        <v>55</v>
      </c>
      <c r="C18" s="3" t="s">
        <v>91</v>
      </c>
      <c r="D18" s="8" t="s">
        <v>77</v>
      </c>
      <c r="E18" s="18">
        <v>91</v>
      </c>
      <c r="F18" s="18">
        <v>60</v>
      </c>
      <c r="G18" s="18">
        <v>90</v>
      </c>
      <c r="H18" s="18">
        <v>98</v>
      </c>
    </row>
    <row r="19" spans="2:8">
      <c r="B19" s="8" t="s">
        <v>54</v>
      </c>
      <c r="C19" s="3" t="s">
        <v>96</v>
      </c>
      <c r="D19" s="8" t="s">
        <v>77</v>
      </c>
      <c r="E19" s="18">
        <v>87</v>
      </c>
      <c r="F19" s="18">
        <v>57</v>
      </c>
      <c r="G19" s="18">
        <v>91</v>
      </c>
      <c r="H19" s="18">
        <v>83</v>
      </c>
    </row>
    <row r="20" spans="2:8" hidden="1">
      <c r="B20" s="8" t="s">
        <v>55</v>
      </c>
      <c r="C20" s="3" t="s">
        <v>97</v>
      </c>
      <c r="D20" s="8" t="s">
        <v>77</v>
      </c>
      <c r="E20" s="18">
        <v>94</v>
      </c>
      <c r="F20" s="18">
        <v>57</v>
      </c>
      <c r="G20" s="18">
        <v>94</v>
      </c>
      <c r="H20" s="18">
        <v>100</v>
      </c>
    </row>
    <row r="21" spans="2:8" hidden="1">
      <c r="B21" s="8" t="s">
        <v>58</v>
      </c>
      <c r="C21" s="3" t="s">
        <v>84</v>
      </c>
      <c r="D21" s="8" t="s">
        <v>50</v>
      </c>
      <c r="E21" s="18">
        <v>80</v>
      </c>
      <c r="F21" s="18">
        <v>77</v>
      </c>
      <c r="G21" s="18">
        <v>76</v>
      </c>
      <c r="H21" s="18">
        <v>70</v>
      </c>
    </row>
    <row r="22" spans="2:8">
      <c r="B22" s="8" t="s">
        <v>54</v>
      </c>
      <c r="C22" s="3" t="s">
        <v>86</v>
      </c>
      <c r="D22" s="8" t="s">
        <v>50</v>
      </c>
      <c r="E22" s="18">
        <v>85</v>
      </c>
      <c r="F22" s="18">
        <v>88</v>
      </c>
      <c r="G22" s="18">
        <v>82</v>
      </c>
      <c r="H22" s="18">
        <v>95</v>
      </c>
    </row>
    <row r="23" spans="2:8">
      <c r="B23" s="8" t="s">
        <v>54</v>
      </c>
      <c r="C23" s="3" t="s">
        <v>89</v>
      </c>
      <c r="D23" s="8" t="s">
        <v>50</v>
      </c>
      <c r="E23" s="18">
        <v>80</v>
      </c>
      <c r="F23" s="18">
        <v>86</v>
      </c>
      <c r="G23" s="18">
        <v>89</v>
      </c>
      <c r="H23" s="18">
        <v>67</v>
      </c>
    </row>
    <row r="24" spans="2:8" hidden="1">
      <c r="B24" s="8" t="s">
        <v>55</v>
      </c>
      <c r="C24" s="3" t="s">
        <v>41</v>
      </c>
      <c r="D24" s="8" t="s">
        <v>50</v>
      </c>
      <c r="E24" s="18">
        <v>86</v>
      </c>
      <c r="F24" s="18">
        <v>67</v>
      </c>
      <c r="G24" s="18">
        <v>94</v>
      </c>
      <c r="H24" s="18">
        <v>88</v>
      </c>
    </row>
    <row r="25" spans="2:8">
      <c r="B25" s="8" t="s">
        <v>56</v>
      </c>
      <c r="C25" s="3" t="s">
        <v>37</v>
      </c>
      <c r="D25" s="8" t="s">
        <v>50</v>
      </c>
      <c r="E25" s="18">
        <v>80</v>
      </c>
      <c r="F25" s="18">
        <v>55</v>
      </c>
      <c r="G25" s="18">
        <v>96</v>
      </c>
      <c r="H25" s="18">
        <v>90</v>
      </c>
    </row>
    <row r="26" spans="2:8" hidden="1">
      <c r="B26" s="8" t="s">
        <v>58</v>
      </c>
      <c r="C26" s="3" t="s">
        <v>95</v>
      </c>
      <c r="D26" s="8" t="s">
        <v>50</v>
      </c>
      <c r="E26" s="18">
        <v>47</v>
      </c>
      <c r="F26" s="18">
        <v>69</v>
      </c>
      <c r="G26" s="18">
        <v>90</v>
      </c>
      <c r="H26" s="18">
        <v>83</v>
      </c>
    </row>
    <row r="27" spans="2:8" hidden="1">
      <c r="B27" s="8" t="s">
        <v>58</v>
      </c>
      <c r="C27" s="3" t="s">
        <v>32</v>
      </c>
      <c r="D27" s="8" t="s">
        <v>50</v>
      </c>
      <c r="E27" s="18">
        <v>56</v>
      </c>
      <c r="F27" s="18">
        <v>92</v>
      </c>
      <c r="G27" s="18">
        <v>91</v>
      </c>
      <c r="H27" s="18">
        <v>97</v>
      </c>
    </row>
  </sheetData>
  <autoFilter ref="B5:H27" xr:uid="{00000000-0009-0000-0000-000004000000}">
    <filterColumn colId="0">
      <filters>
        <filter val="기획실"/>
        <filter val="홍보팀"/>
      </filters>
    </filterColumn>
  </autoFilter>
  <phoneticPr fontId="1" type="noConversion"/>
  <dataValidations count="1">
    <dataValidation type="list" allowBlank="1" showInputMessage="1" showErrorMessage="1" errorTitle="직급" error="목록에 있는 값만 입력하세요._x000a_사원, 대리, 과장, 부장" promptTitle="직급목록" prompt="사원, 대리, 과장, 부장" sqref="D6:D27" xr:uid="{00000000-0002-0000-0400-000001000000}">
      <formula1>"사원,대리,과장,부장"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I12"/>
  <sheetViews>
    <sheetView workbookViewId="0"/>
  </sheetViews>
  <sheetFormatPr defaultRowHeight="17"/>
  <cols>
    <col min="1" max="1" width="3.58203125" customWidth="1"/>
    <col min="5" max="5" width="10.4140625" bestFit="1" customWidth="1"/>
    <col min="7" max="7" width="10.4140625" bestFit="1" customWidth="1"/>
  </cols>
  <sheetData>
    <row r="1" spans="2:9" ht="30">
      <c r="B1" s="44" t="s">
        <v>101</v>
      </c>
      <c r="C1" s="44"/>
      <c r="D1" s="44"/>
      <c r="E1" s="44"/>
      <c r="F1" s="44"/>
      <c r="G1" s="44"/>
      <c r="H1" s="44"/>
      <c r="I1" s="44"/>
    </row>
    <row r="2" spans="2:9">
      <c r="B2" s="21"/>
      <c r="C2" s="21"/>
      <c r="D2" s="21"/>
      <c r="E2" s="21"/>
      <c r="F2" s="21"/>
      <c r="G2" s="21"/>
      <c r="H2" s="21"/>
      <c r="I2" s="21"/>
    </row>
    <row r="3" spans="2:9">
      <c r="B3" s="2" t="s">
        <v>1</v>
      </c>
      <c r="C3" s="2" t="s">
        <v>102</v>
      </c>
      <c r="D3" s="2" t="s">
        <v>3</v>
      </c>
      <c r="E3" s="2" t="s">
        <v>99</v>
      </c>
      <c r="F3" s="2" t="s">
        <v>70</v>
      </c>
      <c r="G3" s="2" t="s">
        <v>103</v>
      </c>
      <c r="H3" s="2" t="s">
        <v>65</v>
      </c>
      <c r="I3" s="2" t="s">
        <v>104</v>
      </c>
    </row>
    <row r="4" spans="2:9">
      <c r="B4" s="3" t="s">
        <v>22</v>
      </c>
      <c r="C4" s="3" t="s">
        <v>23</v>
      </c>
      <c r="D4" s="3" t="s">
        <v>24</v>
      </c>
      <c r="E4" s="4">
        <v>32</v>
      </c>
      <c r="F4" s="4">
        <v>70</v>
      </c>
      <c r="G4" s="4">
        <v>32</v>
      </c>
      <c r="H4" s="4">
        <v>63</v>
      </c>
      <c r="I4" s="5">
        <f>SUM(E4:H4)</f>
        <v>197</v>
      </c>
    </row>
    <row r="5" spans="2:9">
      <c r="B5" s="3" t="s">
        <v>29</v>
      </c>
      <c r="C5" s="3" t="s">
        <v>30</v>
      </c>
      <c r="D5" s="3" t="s">
        <v>24</v>
      </c>
      <c r="E5" s="4">
        <v>50</v>
      </c>
      <c r="F5" s="4">
        <v>58</v>
      </c>
      <c r="G5" s="4">
        <v>88</v>
      </c>
      <c r="H5" s="4">
        <v>50</v>
      </c>
      <c r="I5" s="5">
        <f t="shared" ref="I5:I12" si="0">SUM(E5:H5)</f>
        <v>246</v>
      </c>
    </row>
    <row r="6" spans="2:9">
      <c r="B6" s="3" t="s">
        <v>27</v>
      </c>
      <c r="C6" s="3" t="s">
        <v>28</v>
      </c>
      <c r="D6" s="3" t="s">
        <v>24</v>
      </c>
      <c r="E6" s="4">
        <v>77</v>
      </c>
      <c r="F6" s="4">
        <v>78</v>
      </c>
      <c r="G6" s="4">
        <v>71</v>
      </c>
      <c r="H6" s="4">
        <v>62</v>
      </c>
      <c r="I6" s="5">
        <f t="shared" si="0"/>
        <v>288</v>
      </c>
    </row>
    <row r="7" spans="2:9">
      <c r="B7" s="3" t="s">
        <v>10</v>
      </c>
      <c r="C7" s="3" t="s">
        <v>11</v>
      </c>
      <c r="D7" s="3" t="s">
        <v>12</v>
      </c>
      <c r="E7" s="4">
        <v>82</v>
      </c>
      <c r="F7" s="4">
        <v>90</v>
      </c>
      <c r="G7" s="4">
        <v>75</v>
      </c>
      <c r="H7" s="4">
        <v>71</v>
      </c>
      <c r="I7" s="5">
        <f t="shared" si="0"/>
        <v>318</v>
      </c>
    </row>
    <row r="8" spans="2:9">
      <c r="B8" s="3" t="s">
        <v>25</v>
      </c>
      <c r="C8" s="3" t="s">
        <v>100</v>
      </c>
      <c r="D8" s="3" t="s">
        <v>24</v>
      </c>
      <c r="E8" s="4">
        <v>85</v>
      </c>
      <c r="F8" s="4">
        <v>60</v>
      </c>
      <c r="G8" s="4">
        <v>85</v>
      </c>
      <c r="H8" s="4">
        <v>85</v>
      </c>
      <c r="I8" s="5">
        <f t="shared" si="0"/>
        <v>315</v>
      </c>
    </row>
    <row r="9" spans="2:9">
      <c r="B9" s="3" t="s">
        <v>36</v>
      </c>
      <c r="C9" s="3" t="s">
        <v>37</v>
      </c>
      <c r="D9" s="3" t="s">
        <v>35</v>
      </c>
      <c r="E9" s="4">
        <v>86</v>
      </c>
      <c r="F9" s="4">
        <v>80</v>
      </c>
      <c r="G9" s="4">
        <v>95</v>
      </c>
      <c r="H9" s="4">
        <v>82</v>
      </c>
      <c r="I9" s="5">
        <f t="shared" si="0"/>
        <v>343</v>
      </c>
    </row>
    <row r="10" spans="2:9">
      <c r="B10" s="3" t="s">
        <v>17</v>
      </c>
      <c r="C10" s="3" t="s">
        <v>18</v>
      </c>
      <c r="D10" s="3" t="s">
        <v>19</v>
      </c>
      <c r="E10" s="4">
        <v>89</v>
      </c>
      <c r="F10" s="4">
        <v>50</v>
      </c>
      <c r="G10" s="4">
        <v>78</v>
      </c>
      <c r="H10" s="4">
        <v>90</v>
      </c>
      <c r="I10" s="5">
        <f t="shared" si="0"/>
        <v>307</v>
      </c>
    </row>
    <row r="11" spans="2:9">
      <c r="B11" s="3" t="s">
        <v>38</v>
      </c>
      <c r="C11" s="3" t="s">
        <v>39</v>
      </c>
      <c r="D11" s="3" t="s">
        <v>35</v>
      </c>
      <c r="E11" s="4">
        <v>93</v>
      </c>
      <c r="F11" s="4">
        <v>95</v>
      </c>
      <c r="G11" s="4">
        <v>78</v>
      </c>
      <c r="H11" s="4">
        <v>79</v>
      </c>
      <c r="I11" s="5">
        <f t="shared" si="0"/>
        <v>345</v>
      </c>
    </row>
    <row r="12" spans="2:9">
      <c r="B12" s="3" t="s">
        <v>33</v>
      </c>
      <c r="C12" s="3" t="s">
        <v>34</v>
      </c>
      <c r="D12" s="3" t="s">
        <v>35</v>
      </c>
      <c r="E12" s="4">
        <v>99</v>
      </c>
      <c r="F12" s="4">
        <v>62</v>
      </c>
      <c r="G12" s="4">
        <v>93</v>
      </c>
      <c r="H12" s="4">
        <v>95</v>
      </c>
      <c r="I12" s="5">
        <f t="shared" si="0"/>
        <v>349</v>
      </c>
    </row>
  </sheetData>
  <mergeCells count="1">
    <mergeCell ref="B1:I1"/>
  </mergeCells>
  <phoneticPr fontId="1" type="noConversion"/>
  <conditionalFormatting sqref="B9:H12">
    <cfRule type="expression" dxfId="0" priority="1" stopIfTrue="1">
      <formula>AND(#REF!="대리",$I9&gt;=300)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5:I30"/>
  <sheetViews>
    <sheetView workbookViewId="0"/>
  </sheetViews>
  <sheetFormatPr defaultRowHeight="17"/>
  <cols>
    <col min="5" max="5" width="10.58203125" bestFit="1" customWidth="1"/>
    <col min="7" max="7" width="10.58203125" bestFit="1" customWidth="1"/>
    <col min="9" max="9" width="10" bestFit="1" customWidth="1"/>
  </cols>
  <sheetData>
    <row r="5" spans="2:9">
      <c r="B5" s="31" t="s">
        <v>46</v>
      </c>
      <c r="C5" s="31" t="s">
        <v>2</v>
      </c>
      <c r="D5" s="31" t="s">
        <v>69</v>
      </c>
      <c r="E5" s="32" t="s">
        <v>5</v>
      </c>
      <c r="F5" s="32" t="s">
        <v>6</v>
      </c>
      <c r="G5" s="32" t="s">
        <v>7</v>
      </c>
      <c r="H5" s="32" t="s">
        <v>8</v>
      </c>
      <c r="I5" s="33" t="s">
        <v>71</v>
      </c>
    </row>
    <row r="6" spans="2:9">
      <c r="B6" s="34" t="s">
        <v>56</v>
      </c>
      <c r="C6" s="35" t="s">
        <v>43</v>
      </c>
      <c r="D6" s="34" t="s">
        <v>51</v>
      </c>
      <c r="E6" s="40">
        <v>27</v>
      </c>
      <c r="F6" s="40">
        <v>65</v>
      </c>
      <c r="G6" s="40">
        <v>43</v>
      </c>
      <c r="H6" s="40">
        <v>68</v>
      </c>
      <c r="I6" s="36" t="s">
        <v>75</v>
      </c>
    </row>
    <row r="7" spans="2:9">
      <c r="B7" s="34" t="s">
        <v>58</v>
      </c>
      <c r="C7" s="35" t="s">
        <v>76</v>
      </c>
      <c r="D7" s="34" t="s">
        <v>77</v>
      </c>
      <c r="E7" s="40">
        <v>80</v>
      </c>
      <c r="F7" s="40">
        <v>73</v>
      </c>
      <c r="G7" s="40">
        <v>61</v>
      </c>
      <c r="H7" s="40">
        <v>75</v>
      </c>
      <c r="I7" s="36">
        <v>1</v>
      </c>
    </row>
    <row r="8" spans="2:9">
      <c r="B8" s="34" t="s">
        <v>56</v>
      </c>
      <c r="C8" s="35" t="s">
        <v>78</v>
      </c>
      <c r="D8" s="34" t="s">
        <v>77</v>
      </c>
      <c r="E8" s="40">
        <v>83</v>
      </c>
      <c r="F8" s="40">
        <v>72</v>
      </c>
      <c r="G8" s="40">
        <v>71</v>
      </c>
      <c r="H8" s="40">
        <v>78</v>
      </c>
      <c r="I8" s="36">
        <v>2</v>
      </c>
    </row>
    <row r="9" spans="2:9">
      <c r="B9" s="34" t="s">
        <v>54</v>
      </c>
      <c r="C9" s="35" t="s">
        <v>80</v>
      </c>
      <c r="D9" s="34" t="s">
        <v>52</v>
      </c>
      <c r="E9" s="40">
        <v>82</v>
      </c>
      <c r="F9" s="40">
        <v>79</v>
      </c>
      <c r="G9" s="40">
        <v>73</v>
      </c>
      <c r="H9" s="40">
        <v>88</v>
      </c>
      <c r="I9" s="36">
        <v>3</v>
      </c>
    </row>
    <row r="10" spans="2:9">
      <c r="B10" s="34" t="s">
        <v>58</v>
      </c>
      <c r="C10" s="35" t="s">
        <v>26</v>
      </c>
      <c r="D10" s="34" t="s">
        <v>52</v>
      </c>
      <c r="E10" s="40">
        <v>80</v>
      </c>
      <c r="F10" s="40">
        <v>77</v>
      </c>
      <c r="G10" s="40">
        <v>74</v>
      </c>
      <c r="H10" s="40">
        <v>95</v>
      </c>
      <c r="I10" s="36" t="s">
        <v>75</v>
      </c>
    </row>
    <row r="11" spans="2:9">
      <c r="B11" s="34" t="s">
        <v>55</v>
      </c>
      <c r="C11" s="35" t="s">
        <v>82</v>
      </c>
      <c r="D11" s="34" t="s">
        <v>51</v>
      </c>
      <c r="E11" s="40">
        <v>82</v>
      </c>
      <c r="F11" s="40">
        <v>79</v>
      </c>
      <c r="G11" s="40">
        <v>76</v>
      </c>
      <c r="H11" s="40">
        <v>65</v>
      </c>
      <c r="I11" s="36">
        <v>2</v>
      </c>
    </row>
    <row r="12" spans="2:9">
      <c r="B12" s="34" t="s">
        <v>58</v>
      </c>
      <c r="C12" s="35" t="s">
        <v>84</v>
      </c>
      <c r="D12" s="34" t="s">
        <v>50</v>
      </c>
      <c r="E12" s="40">
        <v>80</v>
      </c>
      <c r="F12" s="40">
        <v>77</v>
      </c>
      <c r="G12" s="40">
        <v>76</v>
      </c>
      <c r="H12" s="40">
        <v>70</v>
      </c>
      <c r="I12" s="36">
        <v>3</v>
      </c>
    </row>
    <row r="13" spans="2:9">
      <c r="B13" s="34" t="s">
        <v>54</v>
      </c>
      <c r="C13" s="35" t="s">
        <v>86</v>
      </c>
      <c r="D13" s="34" t="s">
        <v>50</v>
      </c>
      <c r="E13" s="40">
        <v>85</v>
      </c>
      <c r="F13" s="40">
        <v>88</v>
      </c>
      <c r="G13" s="40">
        <v>82</v>
      </c>
      <c r="H13" s="40">
        <v>95</v>
      </c>
      <c r="I13" s="36" t="s">
        <v>75</v>
      </c>
    </row>
    <row r="14" spans="2:9">
      <c r="B14" s="34" t="s">
        <v>56</v>
      </c>
      <c r="C14" s="35" t="s">
        <v>39</v>
      </c>
      <c r="D14" s="34" t="s">
        <v>52</v>
      </c>
      <c r="E14" s="40">
        <v>70</v>
      </c>
      <c r="F14" s="40">
        <v>75</v>
      </c>
      <c r="G14" s="40">
        <v>82</v>
      </c>
      <c r="H14" s="40">
        <v>65</v>
      </c>
      <c r="I14" s="36">
        <v>1</v>
      </c>
    </row>
    <row r="15" spans="2:9">
      <c r="B15" s="34" t="s">
        <v>58</v>
      </c>
      <c r="C15" s="35" t="s">
        <v>18</v>
      </c>
      <c r="D15" s="34" t="s">
        <v>77</v>
      </c>
      <c r="E15" s="40">
        <v>80</v>
      </c>
      <c r="F15" s="40">
        <v>86</v>
      </c>
      <c r="G15" s="40">
        <v>86</v>
      </c>
      <c r="H15" s="40">
        <v>100</v>
      </c>
      <c r="I15" s="36" t="s">
        <v>75</v>
      </c>
    </row>
    <row r="16" spans="2:9">
      <c r="B16" s="34" t="s">
        <v>54</v>
      </c>
      <c r="C16" s="35" t="s">
        <v>15</v>
      </c>
      <c r="D16" s="34" t="s">
        <v>51</v>
      </c>
      <c r="E16" s="40">
        <v>84</v>
      </c>
      <c r="F16" s="40">
        <v>58</v>
      </c>
      <c r="G16" s="40">
        <v>89</v>
      </c>
      <c r="H16" s="40">
        <v>75</v>
      </c>
      <c r="I16" s="36">
        <v>3</v>
      </c>
    </row>
    <row r="17" spans="2:9">
      <c r="B17" s="34" t="s">
        <v>54</v>
      </c>
      <c r="C17" s="35" t="s">
        <v>89</v>
      </c>
      <c r="D17" s="34" t="s">
        <v>50</v>
      </c>
      <c r="E17" s="40">
        <v>80</v>
      </c>
      <c r="F17" s="40">
        <v>86</v>
      </c>
      <c r="G17" s="40">
        <v>89</v>
      </c>
      <c r="H17" s="40">
        <v>67</v>
      </c>
      <c r="I17" s="36">
        <v>3</v>
      </c>
    </row>
    <row r="18" spans="2:9">
      <c r="B18" s="34" t="s">
        <v>55</v>
      </c>
      <c r="C18" s="35" t="s">
        <v>91</v>
      </c>
      <c r="D18" s="34" t="s">
        <v>77</v>
      </c>
      <c r="E18" s="40">
        <v>91</v>
      </c>
      <c r="F18" s="40">
        <v>60</v>
      </c>
      <c r="G18" s="40">
        <v>90</v>
      </c>
      <c r="H18" s="40">
        <v>98</v>
      </c>
      <c r="I18" s="36">
        <v>1</v>
      </c>
    </row>
    <row r="19" spans="2:9">
      <c r="B19" s="34" t="s">
        <v>55</v>
      </c>
      <c r="C19" s="35" t="s">
        <v>28</v>
      </c>
      <c r="D19" s="34" t="s">
        <v>52</v>
      </c>
      <c r="E19" s="40">
        <v>85</v>
      </c>
      <c r="F19" s="40">
        <v>85</v>
      </c>
      <c r="G19" s="40">
        <v>93</v>
      </c>
      <c r="H19" s="40">
        <v>77</v>
      </c>
      <c r="I19" s="36">
        <v>2</v>
      </c>
    </row>
    <row r="20" spans="2:9">
      <c r="B20" s="34" t="s">
        <v>55</v>
      </c>
      <c r="C20" s="35" t="s">
        <v>41</v>
      </c>
      <c r="D20" s="34" t="s">
        <v>50</v>
      </c>
      <c r="E20" s="40">
        <v>86</v>
      </c>
      <c r="F20" s="40">
        <v>67</v>
      </c>
      <c r="G20" s="40">
        <v>94</v>
      </c>
      <c r="H20" s="40">
        <v>88</v>
      </c>
      <c r="I20" s="36">
        <v>1</v>
      </c>
    </row>
    <row r="21" spans="2:9">
      <c r="B21" s="34" t="s">
        <v>56</v>
      </c>
      <c r="C21" s="35" t="s">
        <v>37</v>
      </c>
      <c r="D21" s="34" t="s">
        <v>50</v>
      </c>
      <c r="E21" s="40">
        <v>80</v>
      </c>
      <c r="F21" s="40">
        <v>55</v>
      </c>
      <c r="G21" s="40">
        <v>96</v>
      </c>
      <c r="H21" s="40">
        <v>90</v>
      </c>
      <c r="I21" s="36" t="s">
        <v>75</v>
      </c>
    </row>
    <row r="22" spans="2:9">
      <c r="B22" s="34" t="s">
        <v>54</v>
      </c>
      <c r="C22" s="35" t="s">
        <v>93</v>
      </c>
      <c r="D22" s="34" t="s">
        <v>51</v>
      </c>
      <c r="E22" s="40">
        <v>83</v>
      </c>
      <c r="F22" s="40">
        <v>66</v>
      </c>
      <c r="G22" s="40">
        <v>96</v>
      </c>
      <c r="H22" s="40">
        <v>67</v>
      </c>
      <c r="I22" s="36">
        <v>3</v>
      </c>
    </row>
    <row r="23" spans="2:9">
      <c r="B23" s="34" t="s">
        <v>58</v>
      </c>
      <c r="C23" s="35" t="s">
        <v>94</v>
      </c>
      <c r="D23" s="34" t="s">
        <v>51</v>
      </c>
      <c r="E23" s="40">
        <v>58</v>
      </c>
      <c r="F23" s="40">
        <v>88</v>
      </c>
      <c r="G23" s="40">
        <v>98</v>
      </c>
      <c r="H23" s="40">
        <v>98</v>
      </c>
      <c r="I23" s="36">
        <v>1</v>
      </c>
    </row>
    <row r="24" spans="2:9">
      <c r="B24" s="34" t="s">
        <v>58</v>
      </c>
      <c r="C24" s="35" t="s">
        <v>95</v>
      </c>
      <c r="D24" s="34" t="s">
        <v>50</v>
      </c>
      <c r="E24" s="40">
        <v>47</v>
      </c>
      <c r="F24" s="40">
        <v>69</v>
      </c>
      <c r="G24" s="40">
        <v>90</v>
      </c>
      <c r="H24" s="40">
        <v>83</v>
      </c>
      <c r="I24" s="36" t="s">
        <v>75</v>
      </c>
    </row>
    <row r="25" spans="2:9">
      <c r="B25" s="34" t="s">
        <v>58</v>
      </c>
      <c r="C25" s="35" t="s">
        <v>32</v>
      </c>
      <c r="D25" s="34" t="s">
        <v>50</v>
      </c>
      <c r="E25" s="40">
        <v>56</v>
      </c>
      <c r="F25" s="40">
        <v>92</v>
      </c>
      <c r="G25" s="40">
        <v>91</v>
      </c>
      <c r="H25" s="40">
        <v>97</v>
      </c>
      <c r="I25" s="36">
        <v>2</v>
      </c>
    </row>
    <row r="26" spans="2:9">
      <c r="B26" s="34" t="s">
        <v>54</v>
      </c>
      <c r="C26" s="35" t="s">
        <v>96</v>
      </c>
      <c r="D26" s="34" t="s">
        <v>77</v>
      </c>
      <c r="E26" s="40">
        <v>87</v>
      </c>
      <c r="F26" s="40">
        <v>57</v>
      </c>
      <c r="G26" s="40">
        <v>91</v>
      </c>
      <c r="H26" s="40">
        <v>83</v>
      </c>
      <c r="I26" s="36">
        <v>2</v>
      </c>
    </row>
    <row r="27" spans="2:9">
      <c r="B27" s="34" t="s">
        <v>54</v>
      </c>
      <c r="C27" s="35" t="s">
        <v>11</v>
      </c>
      <c r="D27" s="34" t="s">
        <v>51</v>
      </c>
      <c r="E27" s="40">
        <v>84</v>
      </c>
      <c r="F27" s="40">
        <v>74</v>
      </c>
      <c r="G27" s="40">
        <v>92</v>
      </c>
      <c r="H27" s="40">
        <v>98</v>
      </c>
      <c r="I27" s="36">
        <v>2</v>
      </c>
    </row>
    <row r="28" spans="2:9">
      <c r="B28" s="34" t="s">
        <v>55</v>
      </c>
      <c r="C28" s="35" t="s">
        <v>97</v>
      </c>
      <c r="D28" s="34" t="s">
        <v>77</v>
      </c>
      <c r="E28" s="40">
        <v>94</v>
      </c>
      <c r="F28" s="40">
        <v>57</v>
      </c>
      <c r="G28" s="40">
        <v>94</v>
      </c>
      <c r="H28" s="40">
        <v>100</v>
      </c>
      <c r="I28" s="36">
        <v>1</v>
      </c>
    </row>
    <row r="29" spans="2:9">
      <c r="B29" s="34" t="s">
        <v>55</v>
      </c>
      <c r="C29" s="35" t="s">
        <v>98</v>
      </c>
      <c r="D29" s="34" t="s">
        <v>51</v>
      </c>
      <c r="E29" s="40">
        <v>81</v>
      </c>
      <c r="F29" s="40">
        <v>75</v>
      </c>
      <c r="G29" s="40">
        <v>96</v>
      </c>
      <c r="H29" s="40">
        <v>87</v>
      </c>
      <c r="I29" s="36" t="s">
        <v>75</v>
      </c>
    </row>
    <row r="30" spans="2:9">
      <c r="B30" s="37" t="s">
        <v>58</v>
      </c>
      <c r="C30" s="38" t="s">
        <v>30</v>
      </c>
      <c r="D30" s="37" t="s">
        <v>51</v>
      </c>
      <c r="E30" s="41">
        <v>80</v>
      </c>
      <c r="F30" s="41">
        <v>57</v>
      </c>
      <c r="G30" s="41">
        <v>97</v>
      </c>
      <c r="H30" s="41">
        <v>75</v>
      </c>
      <c r="I30" s="39">
        <v>2</v>
      </c>
    </row>
  </sheetData>
  <phoneticPr fontId="1" type="noConversion"/>
  <conditionalFormatting sqref="E6:H30">
    <cfRule type="dataBar" priority="1">
      <dataBar>
        <cfvo type="percentile" val="20"/>
        <cfvo type="percentile" val="80"/>
        <color rgb="FF92D050"/>
      </dataBar>
      <extLst>
        <ext xmlns:x14="http://schemas.microsoft.com/office/spreadsheetml/2009/9/main" uri="{B025F937-C7B1-47D3-B67F-A62EFF666E3E}">
          <x14:id>{459BB0B7-DAA8-4299-85D4-9AE86EB0ACA3}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그래프보기">
                <anchor moveWithCells="1" sizeWithCells="1">
                  <from>
                    <xdr:col>5</xdr:col>
                    <xdr:colOff>0</xdr:colOff>
                    <xdr:row>0</xdr:row>
                    <xdr:rowOff>203200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9BB0B7-DAA8-4299-85D4-9AE86EB0ACA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E6:H30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8"/>
  <sheetViews>
    <sheetView workbookViewId="0"/>
  </sheetViews>
  <sheetFormatPr defaultRowHeight="17"/>
  <cols>
    <col min="1" max="1" width="9.9140625" customWidth="1"/>
    <col min="2" max="3" width="10.4140625" customWidth="1"/>
  </cols>
  <sheetData>
    <row r="1" spans="1:3">
      <c r="A1" s="22" t="s">
        <v>125</v>
      </c>
      <c r="B1" s="22"/>
      <c r="C1" s="22"/>
    </row>
    <row r="2" spans="1:3">
      <c r="A2" s="23" t="s">
        <v>105</v>
      </c>
      <c r="B2" s="23" t="s">
        <v>106</v>
      </c>
      <c r="C2" s="23" t="s">
        <v>107</v>
      </c>
    </row>
    <row r="3" spans="1:3">
      <c r="A3" s="24" t="s">
        <v>108</v>
      </c>
      <c r="B3" s="24" t="s">
        <v>109</v>
      </c>
      <c r="C3" s="25">
        <v>80</v>
      </c>
    </row>
    <row r="4" spans="1:3">
      <c r="A4" s="24" t="s">
        <v>15</v>
      </c>
      <c r="B4" s="24" t="s">
        <v>110</v>
      </c>
      <c r="C4" s="25">
        <v>95</v>
      </c>
    </row>
    <row r="5" spans="1:3">
      <c r="A5" s="24" t="s">
        <v>111</v>
      </c>
      <c r="B5" s="24" t="s">
        <v>112</v>
      </c>
      <c r="C5" s="25">
        <v>85</v>
      </c>
    </row>
    <row r="6" spans="1:3">
      <c r="A6" s="24" t="s">
        <v>113</v>
      </c>
      <c r="B6" s="24" t="s">
        <v>114</v>
      </c>
      <c r="C6" s="25">
        <v>75</v>
      </c>
    </row>
    <row r="7" spans="1:3">
      <c r="A7" s="24" t="s">
        <v>37</v>
      </c>
      <c r="B7" s="24" t="s">
        <v>36</v>
      </c>
      <c r="C7" s="25">
        <v>60</v>
      </c>
    </row>
    <row r="8" spans="1:3">
      <c r="A8" s="24" t="s">
        <v>115</v>
      </c>
      <c r="B8" s="24" t="s">
        <v>116</v>
      </c>
      <c r="C8" s="25">
        <v>65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점수조회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점수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2023-03-13T05:36:17Z</dcterms:modified>
</cp:coreProperties>
</file>