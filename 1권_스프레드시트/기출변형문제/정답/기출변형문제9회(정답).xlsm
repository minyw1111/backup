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영진(2023년)\1급\2023년컴활1급\스프레드시트\기출변형문제\정답\"/>
    </mc:Choice>
  </mc:AlternateContent>
  <bookViews>
    <workbookView xWindow="0" yWindow="0" windowWidth="17840" windowHeight="14690" tabRatio="833"/>
  </bookViews>
  <sheets>
    <sheet name="기본작업-1" sheetId="1" r:id="rId1"/>
    <sheet name="기본작업-2" sheetId="9" r:id="rId2"/>
    <sheet name="계산작업" sheetId="3" r:id="rId3"/>
    <sheet name="분석작업-1" sheetId="8" r:id="rId4"/>
    <sheet name="분석작업-2" sheetId="11" r:id="rId5"/>
    <sheet name="기타작업-1" sheetId="6" r:id="rId6"/>
    <sheet name="기타작업-2" sheetId="12" r:id="rId7"/>
    <sheet name="기타작업-3" sheetId="7" r:id="rId8"/>
  </sheets>
  <functionGroups builtInGroupCount="18"/>
  <definedNames>
    <definedName name="_xlnm._FilterDatabase" localSheetId="0" hidden="1">'기본작업-1'!$A$2:$K$33</definedName>
    <definedName name="_xlnm._FilterDatabase" localSheetId="1" hidden="1">'기본작업-2'!$A$2:$K$33</definedName>
    <definedName name="_xlnm._FilterDatabase" localSheetId="4" hidden="1">'분석작업-2'!$B$2:$E$18</definedName>
    <definedName name="_xlnm.Criteria" localSheetId="0">'기본작업-1'!$A$35:$A$36</definedName>
    <definedName name="_xlnm.Criteria" localSheetId="1">'기본작업-2'!#REF!</definedName>
    <definedName name="_xlnm.Extract" localSheetId="0">'기본작업-1'!$A$39:$F$39</definedName>
    <definedName name="_xlnm.Extract" localSheetId="1">'기본작업-2'!#REF!</definedName>
    <definedName name="_xlnm.Print_Area" localSheetId="1">'기본작업-2'!$A$2:$K$33</definedName>
    <definedName name="_xlnm.Print_Titles" localSheetId="1">'기본작업-2'!$2:$2</definedName>
  </definedNames>
  <calcPr calcId="162913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6" i="1" l="1"/>
  <c r="I3" i="3"/>
  <c r="I36" i="3" l="1" a="1"/>
  <c r="I36" i="3" s="1"/>
  <c r="I37" i="3" a="1"/>
  <c r="I37" i="3" s="1"/>
  <c r="I35" i="3" a="1"/>
  <c r="I35" i="3" s="1"/>
  <c r="C35" i="3"/>
  <c r="A35" i="3" a="1"/>
  <c r="A35" i="3" s="1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" i="3"/>
  <c r="I6" i="3"/>
  <c r="I10" i="3"/>
  <c r="I16" i="3"/>
  <c r="I7" i="3"/>
  <c r="I19" i="3"/>
  <c r="I5" i="3"/>
  <c r="I26" i="3"/>
  <c r="I28" i="3"/>
  <c r="I27" i="3"/>
  <c r="I30" i="3"/>
  <c r="I18" i="3"/>
  <c r="I31" i="3"/>
  <c r="I12" i="3"/>
  <c r="I4" i="3"/>
  <c r="I11" i="3"/>
  <c r="I22" i="3"/>
  <c r="I13" i="3"/>
  <c r="I29" i="3"/>
  <c r="I8" i="3"/>
  <c r="I17" i="3"/>
  <c r="I15" i="3"/>
  <c r="I21" i="3"/>
  <c r="I20" i="3"/>
  <c r="I14" i="3"/>
  <c r="I24" i="3"/>
  <c r="I9" i="3"/>
  <c r="I23" i="3"/>
  <c r="I25" i="3"/>
  <c r="H31" i="3" l="1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H5" i="3"/>
  <c r="H4" i="3"/>
  <c r="H3" i="3"/>
</calcChain>
</file>

<file path=xl/connections.xml><?xml version="1.0" encoding="utf-8"?>
<connections xmlns="http://schemas.openxmlformats.org/spreadsheetml/2006/main">
  <connection id="1" name="MS Access Database_Query" type="1" refreshedVersion="6">
    <dbPr connection="DSN=MS Access Database;DBQ=E:\영진(2021년)\1급\excel\스프레드시트(파일) - 최종\모의고사\도서판매.accdb;DefaultDir=E:\영진(2021년)\1급\excel\스프레드시트(파일) - 최종\모의고사;DriverId=25;FIL=MS Access;MaxBufferSize=2048;PageTimeout=5;" command="SELECT 도서판매현황.담당자, 도서판매현황.출판사, 도서판매현황.주문수량, 도서판매현황.판매단가_x000d__x000a_FROM 도서판매현황 도서판매현황"/>
  </connection>
</connections>
</file>

<file path=xl/sharedStrings.xml><?xml version="1.0" encoding="utf-8"?>
<sst xmlns="http://schemas.openxmlformats.org/spreadsheetml/2006/main" count="689" uniqueCount="285">
  <si>
    <t>접수번호</t>
  </si>
  <si>
    <t>주문일자</t>
  </si>
  <si>
    <t>주문처</t>
  </si>
  <si>
    <t>판매단가</t>
  </si>
  <si>
    <t>주문수량</t>
  </si>
  <si>
    <t>도서코드</t>
    <phoneticPr fontId="5" type="noConversion"/>
  </si>
  <si>
    <t>도서명</t>
  </si>
  <si>
    <t>발행년도</t>
    <phoneticPr fontId="5" type="noConversion"/>
  </si>
  <si>
    <t>저자</t>
  </si>
  <si>
    <t>출판사</t>
  </si>
  <si>
    <t>담당자</t>
  </si>
  <si>
    <t>고려대</t>
  </si>
  <si>
    <t>B-007</t>
  </si>
  <si>
    <t>멀티미디어 웹디자인</t>
  </si>
  <si>
    <t>최호진</t>
  </si>
  <si>
    <t>에이스</t>
    <phoneticPr fontId="5" type="noConversion"/>
  </si>
  <si>
    <t>이원호</t>
  </si>
  <si>
    <t>한경대</t>
  </si>
  <si>
    <t>C-005</t>
  </si>
  <si>
    <t>PHP</t>
    <phoneticPr fontId="5" type="noConversion"/>
  </si>
  <si>
    <t>암성현</t>
  </si>
  <si>
    <t>영진</t>
    <phoneticPr fontId="5" type="noConversion"/>
  </si>
  <si>
    <t>계림대</t>
  </si>
  <si>
    <t>B-006</t>
  </si>
  <si>
    <t>엑셀2010</t>
    <phoneticPr fontId="5" type="noConversion"/>
  </si>
  <si>
    <t>장창근</t>
  </si>
  <si>
    <t>김길창</t>
  </si>
  <si>
    <t>전주대</t>
  </si>
  <si>
    <t>C-002</t>
  </si>
  <si>
    <t>멀티미디어 저작워크샵</t>
  </si>
  <si>
    <t>박인규</t>
  </si>
  <si>
    <t>영진</t>
    <phoneticPr fontId="5" type="noConversion"/>
  </si>
  <si>
    <t>김원기</t>
  </si>
  <si>
    <t>군산대</t>
  </si>
  <si>
    <t>B-009</t>
  </si>
  <si>
    <t>플래쉬</t>
    <phoneticPr fontId="5" type="noConversion"/>
  </si>
  <si>
    <t>장인규</t>
  </si>
  <si>
    <t>목포대</t>
  </si>
  <si>
    <t>A-001</t>
    <phoneticPr fontId="5" type="noConversion"/>
  </si>
  <si>
    <t>타이포그래피</t>
    <phoneticPr fontId="5" type="noConversion"/>
  </si>
  <si>
    <t>장윤철</t>
  </si>
  <si>
    <t>김상두</t>
  </si>
  <si>
    <t>부산대</t>
  </si>
  <si>
    <t>A-003</t>
  </si>
  <si>
    <t>전산개론</t>
    <phoneticPr fontId="5" type="noConversion"/>
  </si>
  <si>
    <t>이현철</t>
  </si>
  <si>
    <t>강영훈</t>
  </si>
  <si>
    <t>동아대</t>
  </si>
  <si>
    <t>B-012</t>
  </si>
  <si>
    <t>정보통신</t>
  </si>
  <si>
    <t>김진일</t>
  </si>
  <si>
    <t>에이스</t>
    <phoneticPr fontId="5" type="noConversion"/>
  </si>
  <si>
    <t>서울대</t>
  </si>
  <si>
    <t>A-006</t>
  </si>
  <si>
    <t>전자회로</t>
  </si>
  <si>
    <t>민재호</t>
  </si>
  <si>
    <t>경상대</t>
  </si>
  <si>
    <t>B-005</t>
  </si>
  <si>
    <t>드림위버</t>
    <phoneticPr fontId="5" type="noConversion"/>
  </si>
  <si>
    <t>김한욱</t>
  </si>
  <si>
    <t>용천</t>
    <phoneticPr fontId="5" type="noConversion"/>
  </si>
  <si>
    <t>울산대</t>
  </si>
  <si>
    <t>A-011</t>
  </si>
  <si>
    <t>웹솔루션</t>
    <phoneticPr fontId="5" type="noConversion"/>
  </si>
  <si>
    <t>장용덕</t>
  </si>
  <si>
    <t>광주대</t>
  </si>
  <si>
    <t>B-008</t>
  </si>
  <si>
    <t>마케팅</t>
    <phoneticPr fontId="5" type="noConversion"/>
  </si>
  <si>
    <t>이태승</t>
  </si>
  <si>
    <t>용천</t>
    <phoneticPr fontId="5" type="noConversion"/>
  </si>
  <si>
    <t>대원대</t>
  </si>
  <si>
    <t>B-010</t>
  </si>
  <si>
    <t>쇼핑몰</t>
    <phoneticPr fontId="5" type="noConversion"/>
  </si>
  <si>
    <t>김영준</t>
  </si>
  <si>
    <t>세종대</t>
  </si>
  <si>
    <t>A-008</t>
  </si>
  <si>
    <t>포토샵</t>
    <phoneticPr fontId="5" type="noConversion"/>
  </si>
  <si>
    <t>한정수</t>
    <phoneticPr fontId="5" type="noConversion"/>
  </si>
  <si>
    <t>문화대</t>
  </si>
  <si>
    <t>A-002</t>
  </si>
  <si>
    <t>일러스트cs</t>
    <phoneticPr fontId="5" type="noConversion"/>
  </si>
  <si>
    <t>박정인</t>
    <phoneticPr fontId="5" type="noConversion"/>
  </si>
  <si>
    <t>김일환</t>
  </si>
  <si>
    <t>부산대</t>
    <phoneticPr fontId="5" type="noConversion"/>
  </si>
  <si>
    <t>A-004</t>
  </si>
  <si>
    <t>비주얼베이직</t>
    <phoneticPr fontId="5" type="noConversion"/>
  </si>
  <si>
    <t>김이란</t>
    <phoneticPr fontId="5" type="noConversion"/>
  </si>
  <si>
    <t>명지대</t>
  </si>
  <si>
    <t>B-013</t>
  </si>
  <si>
    <t>c++</t>
    <phoneticPr fontId="5" type="noConversion"/>
  </si>
  <si>
    <t>최병기</t>
    <phoneticPr fontId="5" type="noConversion"/>
  </si>
  <si>
    <t>무한</t>
    <phoneticPr fontId="5" type="noConversion"/>
  </si>
  <si>
    <t>경기대</t>
  </si>
  <si>
    <t>B-004</t>
  </si>
  <si>
    <t>엑세스2010</t>
    <phoneticPr fontId="5" type="noConversion"/>
  </si>
  <si>
    <t>도충선</t>
    <phoneticPr fontId="5" type="noConversion"/>
  </si>
  <si>
    <t>무한</t>
    <phoneticPr fontId="5" type="noConversion"/>
  </si>
  <si>
    <t>강상철</t>
  </si>
  <si>
    <t>인천대</t>
  </si>
  <si>
    <t>C-001</t>
    <phoneticPr fontId="5" type="noConversion"/>
  </si>
  <si>
    <t>파워포인트2010</t>
    <phoneticPr fontId="5" type="noConversion"/>
  </si>
  <si>
    <t>김재근</t>
    <phoneticPr fontId="5" type="noConversion"/>
  </si>
  <si>
    <t>선문대</t>
  </si>
  <si>
    <t>A-007</t>
  </si>
  <si>
    <t>전산회계</t>
    <phoneticPr fontId="5" type="noConversion"/>
  </si>
  <si>
    <t>이선희</t>
    <phoneticPr fontId="5" type="noConversion"/>
  </si>
  <si>
    <t>정민수</t>
  </si>
  <si>
    <t>호서대</t>
  </si>
  <si>
    <t>C-007</t>
  </si>
  <si>
    <t>전산세무</t>
    <phoneticPr fontId="5" type="noConversion"/>
  </si>
  <si>
    <t>강민성</t>
    <phoneticPr fontId="5" type="noConversion"/>
  </si>
  <si>
    <t>강릉대</t>
  </si>
  <si>
    <t>B-002</t>
    <phoneticPr fontId="5" type="noConversion"/>
  </si>
  <si>
    <t>초보자를위한C</t>
    <phoneticPr fontId="5" type="noConversion"/>
  </si>
  <si>
    <t>유재석</t>
    <phoneticPr fontId="5" type="noConversion"/>
  </si>
  <si>
    <t>제주대</t>
  </si>
  <si>
    <t>C-003</t>
  </si>
  <si>
    <t>프리젠테이션</t>
    <phoneticPr fontId="5" type="noConversion"/>
  </si>
  <si>
    <t>정준하</t>
    <phoneticPr fontId="5" type="noConversion"/>
  </si>
  <si>
    <t>호원대</t>
  </si>
  <si>
    <t>C-008</t>
  </si>
  <si>
    <t>사무자동화</t>
    <phoneticPr fontId="5" type="noConversion"/>
  </si>
  <si>
    <t>박명수</t>
    <phoneticPr fontId="5" type="noConversion"/>
  </si>
  <si>
    <t>대전대</t>
  </si>
  <si>
    <t>B-011</t>
  </si>
  <si>
    <t>전산회게실무</t>
    <phoneticPr fontId="5" type="noConversion"/>
  </si>
  <si>
    <t>하동훈</t>
    <phoneticPr fontId="5" type="noConversion"/>
  </si>
  <si>
    <t>영진대</t>
    <phoneticPr fontId="5" type="noConversion"/>
  </si>
  <si>
    <t>A-010</t>
  </si>
  <si>
    <t>지도기법</t>
    <phoneticPr fontId="5" type="noConversion"/>
  </si>
  <si>
    <t>정형돈</t>
    <phoneticPr fontId="5" type="noConversion"/>
  </si>
  <si>
    <t>제일</t>
    <phoneticPr fontId="5" type="noConversion"/>
  </si>
  <si>
    <t>강원대</t>
  </si>
  <si>
    <t>B-003</t>
  </si>
  <si>
    <t>액세스2010</t>
    <phoneticPr fontId="5" type="noConversion"/>
  </si>
  <si>
    <t>노홍철</t>
    <phoneticPr fontId="5" type="noConversion"/>
  </si>
  <si>
    <t>한양대</t>
    <phoneticPr fontId="5" type="noConversion"/>
  </si>
  <si>
    <t>C-006</t>
  </si>
  <si>
    <t>Visual c</t>
    <phoneticPr fontId="5" type="noConversion"/>
  </si>
  <si>
    <t>박윤정</t>
    <phoneticPr fontId="5" type="noConversion"/>
  </si>
  <si>
    <t>평택대</t>
  </si>
  <si>
    <t>C-004</t>
  </si>
  <si>
    <t>ASP</t>
    <phoneticPr fontId="5" type="noConversion"/>
  </si>
  <si>
    <t>문택영</t>
    <phoneticPr fontId="5" type="noConversion"/>
  </si>
  <si>
    <t>서강대</t>
  </si>
  <si>
    <t>A-005</t>
  </si>
  <si>
    <t>HTML</t>
    <phoneticPr fontId="5" type="noConversion"/>
  </si>
  <si>
    <t>황신호</t>
    <phoneticPr fontId="5" type="noConversion"/>
  </si>
  <si>
    <t>연세대</t>
  </si>
  <si>
    <t>A-009</t>
  </si>
  <si>
    <t>디지털논리회로</t>
    <phoneticPr fontId="5" type="noConversion"/>
  </si>
  <si>
    <t>한윤석</t>
    <phoneticPr fontId="5" type="noConversion"/>
  </si>
  <si>
    <t>[표1]</t>
    <phoneticPr fontId="5" type="noConversion"/>
  </si>
  <si>
    <t>담당자</t>
    <phoneticPr fontId="5" type="noConversion"/>
  </si>
  <si>
    <t>도서코드</t>
    <phoneticPr fontId="5" type="noConversion"/>
  </si>
  <si>
    <t>도서명</t>
    <phoneticPr fontId="5" type="noConversion"/>
  </si>
  <si>
    <t>주문처</t>
    <phoneticPr fontId="5" type="noConversion"/>
  </si>
  <si>
    <t>주문일자</t>
    <phoneticPr fontId="5" type="noConversion"/>
  </si>
  <si>
    <t>주문수량</t>
    <phoneticPr fontId="5" type="noConversion"/>
  </si>
  <si>
    <t>판매단가</t>
    <phoneticPr fontId="5" type="noConversion"/>
  </si>
  <si>
    <t>총금액</t>
    <phoneticPr fontId="5" type="noConversion"/>
  </si>
  <si>
    <t>할인액</t>
    <phoneticPr fontId="5" type="noConversion"/>
  </si>
  <si>
    <t>A2</t>
    <phoneticPr fontId="5" type="noConversion"/>
  </si>
  <si>
    <t>B4</t>
  </si>
  <si>
    <t>D3</t>
  </si>
  <si>
    <t>D4</t>
  </si>
  <si>
    <t>부산대</t>
    <phoneticPr fontId="5" type="noConversion"/>
  </si>
  <si>
    <t>A5</t>
  </si>
  <si>
    <t>C4</t>
  </si>
  <si>
    <t>C2</t>
  </si>
  <si>
    <t>B3</t>
  </si>
  <si>
    <t>C5</t>
  </si>
  <si>
    <t>영진대</t>
    <phoneticPr fontId="5" type="noConversion"/>
  </si>
  <si>
    <t>B5</t>
  </si>
  <si>
    <t>D5</t>
  </si>
  <si>
    <t>B1</t>
  </si>
  <si>
    <t>D2</t>
  </si>
  <si>
    <t>A3</t>
  </si>
  <si>
    <t>A4</t>
  </si>
  <si>
    <t>D1</t>
  </si>
  <si>
    <t>한양대</t>
    <phoneticPr fontId="5" type="noConversion"/>
  </si>
  <si>
    <t>[표2]</t>
    <phoneticPr fontId="5" type="noConversion"/>
  </si>
  <si>
    <t>[표3]</t>
    <phoneticPr fontId="5" type="noConversion"/>
  </si>
  <si>
    <t>[표4]</t>
    <phoneticPr fontId="5" type="noConversion"/>
  </si>
  <si>
    <t>김상두</t>
    <phoneticPr fontId="5" type="noConversion"/>
  </si>
  <si>
    <t>주문수량이 가장 많은 주문처</t>
    <phoneticPr fontId="5" type="noConversion"/>
  </si>
  <si>
    <t>주문일자(월)</t>
    <phoneticPr fontId="5" type="noConversion"/>
  </si>
  <si>
    <t>[표5]</t>
    <phoneticPr fontId="5" type="noConversion"/>
  </si>
  <si>
    <t>A</t>
    <phoneticPr fontId="5" type="noConversion"/>
  </si>
  <si>
    <t>타이포그래피</t>
    <phoneticPr fontId="5" type="noConversion"/>
  </si>
  <si>
    <t>HTML</t>
    <phoneticPr fontId="5" type="noConversion"/>
  </si>
  <si>
    <t>디지털논리</t>
    <phoneticPr fontId="5" type="noConversion"/>
  </si>
  <si>
    <t>액세스2010</t>
  </si>
  <si>
    <t>멀티미디어</t>
    <phoneticPr fontId="5" type="noConversion"/>
  </si>
  <si>
    <t>B</t>
    <phoneticPr fontId="5" type="noConversion"/>
  </si>
  <si>
    <t>일러스트cs</t>
    <phoneticPr fontId="5" type="noConversion"/>
  </si>
  <si>
    <t>지도기법</t>
    <phoneticPr fontId="5" type="noConversion"/>
  </si>
  <si>
    <t>엑세스2010</t>
  </si>
  <si>
    <t>C</t>
    <phoneticPr fontId="5" type="noConversion"/>
  </si>
  <si>
    <t>전산개론</t>
    <phoneticPr fontId="5" type="noConversion"/>
  </si>
  <si>
    <t>전산회계</t>
    <phoneticPr fontId="5" type="noConversion"/>
  </si>
  <si>
    <t>웹솔루션</t>
    <phoneticPr fontId="5" type="noConversion"/>
  </si>
  <si>
    <t>드림위버</t>
    <phoneticPr fontId="5" type="noConversion"/>
  </si>
  <si>
    <t>플래쉬</t>
    <phoneticPr fontId="5" type="noConversion"/>
  </si>
  <si>
    <t>D</t>
    <phoneticPr fontId="5" type="noConversion"/>
  </si>
  <si>
    <t>비주얼베이직</t>
    <phoneticPr fontId="5" type="noConversion"/>
  </si>
  <si>
    <t>포토샵</t>
    <phoneticPr fontId="5" type="noConversion"/>
  </si>
  <si>
    <t>초보자C</t>
    <phoneticPr fontId="5" type="noConversion"/>
  </si>
  <si>
    <t>엑셀2010</t>
  </si>
  <si>
    <t>쇼핑몰</t>
    <phoneticPr fontId="5" type="noConversion"/>
  </si>
  <si>
    <t>무한</t>
  </si>
  <si>
    <t>T&amp;T</t>
  </si>
  <si>
    <t>영진</t>
  </si>
  <si>
    <t>용천</t>
  </si>
  <si>
    <t>제일</t>
  </si>
  <si>
    <t>교재 주문 현황</t>
    <phoneticPr fontId="5" type="noConversion"/>
  </si>
  <si>
    <t>접수번호</t>
    <phoneticPr fontId="5" type="noConversion"/>
  </si>
  <si>
    <t>주문처</t>
    <phoneticPr fontId="5" type="noConversion"/>
  </si>
  <si>
    <t>주문수량</t>
    <phoneticPr fontId="5" type="noConversion"/>
  </si>
  <si>
    <t>주문총액</t>
    <phoneticPr fontId="5" type="noConversion"/>
  </si>
  <si>
    <t>도서코드</t>
    <phoneticPr fontId="5" type="noConversion"/>
  </si>
  <si>
    <t>저자</t>
    <phoneticPr fontId="5" type="noConversion"/>
  </si>
  <si>
    <t>체육</t>
    <phoneticPr fontId="5" type="noConversion"/>
  </si>
  <si>
    <t>C-001</t>
    <phoneticPr fontId="5" type="noConversion"/>
  </si>
  <si>
    <t>김재근</t>
    <phoneticPr fontId="5" type="noConversion"/>
  </si>
  <si>
    <t>강민성</t>
    <phoneticPr fontId="5" type="noConversion"/>
  </si>
  <si>
    <t>정준하</t>
    <phoneticPr fontId="5" type="noConversion"/>
  </si>
  <si>
    <t>박명수</t>
    <phoneticPr fontId="5" type="noConversion"/>
  </si>
  <si>
    <t>도서구입</t>
    <phoneticPr fontId="5" type="noConversion"/>
  </si>
  <si>
    <t>[표1]</t>
    <phoneticPr fontId="5" type="noConversion"/>
  </si>
  <si>
    <t>주문처</t>
    <phoneticPr fontId="5" type="noConversion"/>
  </si>
  <si>
    <t>도서명</t>
    <phoneticPr fontId="5" type="noConversion"/>
  </si>
  <si>
    <t>금액</t>
    <phoneticPr fontId="5" type="noConversion"/>
  </si>
  <si>
    <t>용도</t>
    <phoneticPr fontId="5" type="noConversion"/>
  </si>
  <si>
    <t>분류</t>
    <phoneticPr fontId="5" type="noConversion"/>
  </si>
  <si>
    <t>전공</t>
    <phoneticPr fontId="5" type="noConversion"/>
  </si>
  <si>
    <t>교양</t>
    <phoneticPr fontId="5" type="noConversion"/>
  </si>
  <si>
    <t>필수</t>
    <phoneticPr fontId="5" type="noConversion"/>
  </si>
  <si>
    <t>취미</t>
    <phoneticPr fontId="5" type="noConversion"/>
  </si>
  <si>
    <t>총합계</t>
  </si>
  <si>
    <t>(모두)</t>
  </si>
  <si>
    <t>합계 : 주문수량</t>
  </si>
  <si>
    <t>합계 : 판매단가</t>
  </si>
  <si>
    <t>합계 : 총금액</t>
  </si>
  <si>
    <t>학년</t>
    <phoneticPr fontId="1" type="noConversion"/>
  </si>
  <si>
    <t>이름</t>
    <phoneticPr fontId="1" type="noConversion"/>
  </si>
  <si>
    <t>나이</t>
    <phoneticPr fontId="1" type="noConversion"/>
  </si>
  <si>
    <t>성별</t>
    <phoneticPr fontId="1" type="noConversion"/>
  </si>
  <si>
    <t>2학년1반</t>
  </si>
  <si>
    <t>남</t>
  </si>
  <si>
    <t>3학년2반</t>
  </si>
  <si>
    <t>2학년2반</t>
  </si>
  <si>
    <t>여</t>
  </si>
  <si>
    <t>3학년3반</t>
  </si>
  <si>
    <t>1학년1반</t>
  </si>
  <si>
    <t>3학년5반</t>
  </si>
  <si>
    <t>2학년4반</t>
  </si>
  <si>
    <t>3학년9반</t>
  </si>
  <si>
    <t>2학년3반</t>
  </si>
  <si>
    <t>2학년5반</t>
  </si>
  <si>
    <t>3학년6반</t>
  </si>
  <si>
    <t>2학년6반</t>
  </si>
  <si>
    <t>동이</t>
  </si>
  <si>
    <t>호동</t>
  </si>
  <si>
    <t>은지</t>
  </si>
  <si>
    <t>나영</t>
  </si>
  <si>
    <t>주은</t>
  </si>
  <si>
    <t>주혁</t>
  </si>
  <si>
    <t>진의</t>
  </si>
  <si>
    <t>준호</t>
  </si>
  <si>
    <t>백산</t>
  </si>
  <si>
    <t>슬기</t>
  </si>
  <si>
    <t>시연</t>
  </si>
  <si>
    <t>유성</t>
  </si>
  <si>
    <t>희선</t>
  </si>
  <si>
    <t>지훈</t>
  </si>
  <si>
    <t>진영</t>
  </si>
  <si>
    <t>지성</t>
  </si>
  <si>
    <t>조건</t>
    <phoneticPr fontId="1" type="noConversion"/>
  </si>
  <si>
    <t>이름</t>
    <phoneticPr fontId="1" type="noConversion"/>
  </si>
  <si>
    <t>동호수</t>
    <phoneticPr fontId="1" type="noConversion"/>
  </si>
  <si>
    <t>사용량</t>
    <phoneticPr fontId="1" type="noConversion"/>
  </si>
  <si>
    <t>사용료</t>
    <phoneticPr fontId="1" type="noConversion"/>
  </si>
  <si>
    <t>도시가스 요금</t>
    <phoneticPr fontId="1" type="noConversion"/>
  </si>
  <si>
    <t>사용중지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</si>
</sst>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-* #,##0_-;\-* #,##0_-;_-* &quot;-&quot;_-;_-@_-"/>
    <numFmt numFmtId="176" formatCode="#&quot;년도&quot;"/>
    <numFmt numFmtId="177" formatCode="#,##0_ "/>
    <numFmt numFmtId="178" formatCode="[&gt;=100]&quot;※&quot;\ 0&quot;㎥&quot;;[&gt;0]0&quot;㎥&quot;;;&quot;■&quot;"/>
    <numFmt numFmtId="179" formatCode="* ##&quot;동 &quot;###&quot;호&quot;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20"/>
      <color indexed="9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0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3" fillId="0" borderId="0"/>
  </cellStyleXfs>
  <cellXfs count="43">
    <xf numFmtId="0" fontId="0" fillId="0" borderId="0" xfId="0">
      <alignment vertical="center"/>
    </xf>
    <xf numFmtId="0" fontId="4" fillId="0" borderId="1" xfId="2" applyNumberFormat="1" applyFont="1" applyFill="1" applyBorder="1" applyAlignment="1">
      <alignment horizontal="center" vertical="center" wrapText="1"/>
    </xf>
    <xf numFmtId="14" fontId="4" fillId="0" borderId="1" xfId="2" applyNumberFormat="1" applyFont="1" applyFill="1" applyBorder="1" applyAlignment="1">
      <alignment horizontal="center" vertical="center" wrapText="1"/>
    </xf>
    <xf numFmtId="0" fontId="4" fillId="0" borderId="1" xfId="2" applyFont="1" applyFill="1" applyBorder="1" applyAlignment="1">
      <alignment horizontal="center" vertical="center" wrapText="1"/>
    </xf>
    <xf numFmtId="41" fontId="6" fillId="0" borderId="1" xfId="1" applyFont="1" applyBorder="1" applyAlignment="1">
      <alignment horizontal="center" vertical="center"/>
    </xf>
    <xf numFmtId="41" fontId="4" fillId="0" borderId="1" xfId="1" applyFont="1" applyFill="1" applyBorder="1" applyAlignment="1">
      <alignment horizontal="center" vertical="center" wrapText="1"/>
    </xf>
    <xf numFmtId="176" fontId="4" fillId="0" borderId="1" xfId="2" applyNumberFormat="1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4" fillId="2" borderId="1" xfId="2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6" fillId="0" borderId="1" xfId="0" applyFont="1" applyFill="1" applyBorder="1" applyAlignment="1">
      <alignment horizontal="center" vertical="center"/>
    </xf>
    <xf numFmtId="0" fontId="4" fillId="0" borderId="1" xfId="2" applyFont="1" applyFill="1" applyBorder="1" applyAlignment="1">
      <alignment vertical="center" wrapText="1"/>
    </xf>
    <xf numFmtId="14" fontId="4" fillId="0" borderId="1" xfId="2" applyNumberFormat="1" applyFont="1" applyFill="1" applyBorder="1" applyAlignment="1">
      <alignment horizontal="right" vertical="center" wrapText="1"/>
    </xf>
    <xf numFmtId="41" fontId="4" fillId="0" borderId="1" xfId="1" applyFont="1" applyFill="1" applyBorder="1" applyAlignment="1">
      <alignment horizontal="right" vertical="center" wrapText="1"/>
    </xf>
    <xf numFmtId="41" fontId="6" fillId="0" borderId="1" xfId="1" applyFont="1" applyBorder="1" applyAlignment="1">
      <alignment vertical="center"/>
    </xf>
    <xf numFmtId="0" fontId="4" fillId="0" borderId="2" xfId="2" applyFont="1" applyFill="1" applyBorder="1" applyAlignment="1">
      <alignment vertical="center" wrapText="1"/>
    </xf>
    <xf numFmtId="14" fontId="4" fillId="0" borderId="2" xfId="2" applyNumberFormat="1" applyFont="1" applyFill="1" applyBorder="1" applyAlignment="1">
      <alignment horizontal="right" vertical="center" wrapText="1"/>
    </xf>
    <xf numFmtId="0" fontId="4" fillId="0" borderId="2" xfId="2" applyNumberFormat="1" applyFont="1" applyFill="1" applyBorder="1" applyAlignment="1">
      <alignment horizontal="right" vertical="center" wrapText="1"/>
    </xf>
    <xf numFmtId="0" fontId="6" fillId="0" borderId="0" xfId="0" applyFont="1" applyFill="1" applyBorder="1" applyAlignment="1">
      <alignment horizontal="center" vertical="center"/>
    </xf>
    <xf numFmtId="0" fontId="4" fillId="0" borderId="3" xfId="2" applyFont="1" applyFill="1" applyBorder="1" applyAlignment="1">
      <alignment vertical="center" wrapText="1"/>
    </xf>
    <xf numFmtId="14" fontId="4" fillId="0" borderId="3" xfId="2" applyNumberFormat="1" applyFont="1" applyFill="1" applyBorder="1" applyAlignment="1">
      <alignment horizontal="right" vertical="center" wrapText="1"/>
    </xf>
    <xf numFmtId="0" fontId="4" fillId="0" borderId="4" xfId="2" applyNumberFormat="1" applyFont="1" applyFill="1" applyBorder="1" applyAlignment="1">
      <alignment horizontal="right" vertical="center" wrapText="1"/>
    </xf>
    <xf numFmtId="0" fontId="6" fillId="0" borderId="1" xfId="1" applyNumberFormat="1" applyFont="1" applyBorder="1" applyAlignment="1">
      <alignment horizontal="center" vertical="center"/>
    </xf>
    <xf numFmtId="0" fontId="6" fillId="0" borderId="1" xfId="0" applyFont="1" applyBorder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1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0" fillId="0" borderId="0" xfId="0" pivotButton="1">
      <alignment vertical="center"/>
    </xf>
    <xf numFmtId="177" fontId="0" fillId="0" borderId="0" xfId="0" applyNumberFormat="1">
      <alignment vertical="center"/>
    </xf>
    <xf numFmtId="0" fontId="6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4" borderId="0" xfId="0" applyFont="1" applyFill="1" applyAlignment="1">
      <alignment horizontal="center" vertical="center"/>
    </xf>
  </cellXfs>
  <cellStyles count="3">
    <cellStyle name="쉼표 [0]" xfId="1" builtinId="6"/>
    <cellStyle name="표준" xfId="0" builtinId="0"/>
    <cellStyle name="표준_Sheet1" xfId="2"/>
  </cellStyles>
  <dxfs count="1"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굴림체" panose="020B0609000101010101" pitchFamily="49" charset="-127"/>
                <a:ea typeface="굴림체" panose="020B0609000101010101" pitchFamily="49" charset="-127"/>
                <a:cs typeface="+mn-cs"/>
              </a:defRPr>
            </a:pPr>
            <a:r>
              <a:rPr lang="ko-KR" altLang="en-US" sz="1200" b="1" u="sng">
                <a:latin typeface="굴림체" panose="020B0609000101010101" pitchFamily="49" charset="-127"/>
                <a:ea typeface="굴림체" panose="020B0609000101010101" pitchFamily="49" charset="-127"/>
              </a:rPr>
              <a:t>교재 주문 현황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굴림체" panose="020B0609000101010101" pitchFamily="49" charset="-127"/>
              <a:ea typeface="굴림체" panose="020B0609000101010101" pitchFamily="49" charset="-127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9.2458994676138676E-2"/>
          <c:y val="0.51578823529411777"/>
          <c:w val="0.88230441226392442"/>
          <c:h val="0.41886299212598427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'기타작업-1'!$E$4</c:f>
              <c:strCache>
                <c:ptCount val="1"/>
                <c:pt idx="0">
                  <c:v>주문총액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56F-4557-A233-637045F14A30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56F-4557-A233-637045F14A30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56F-4557-A233-637045F14A30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56F-4557-A233-637045F14A30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56F-4557-A233-637045F14A30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56F-4557-A233-637045F14A3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'기타작업-1'!$C$5:$C$10</c:f>
              <c:strCache>
                <c:ptCount val="6"/>
                <c:pt idx="0">
                  <c:v>한경대</c:v>
                </c:pt>
                <c:pt idx="1">
                  <c:v>전주대</c:v>
                </c:pt>
                <c:pt idx="2">
                  <c:v>인천대</c:v>
                </c:pt>
                <c:pt idx="3">
                  <c:v>호서대</c:v>
                </c:pt>
                <c:pt idx="4">
                  <c:v>제주대</c:v>
                </c:pt>
                <c:pt idx="5">
                  <c:v>호원대</c:v>
                </c:pt>
              </c:strCache>
            </c:strRef>
          </c:cat>
          <c:val>
            <c:numRef>
              <c:f>'기타작업-1'!$E$5:$E$10</c:f>
              <c:numCache>
                <c:formatCode>_(* #,##0_);_(* \(#,##0\);_(* "-"_);_(@_)</c:formatCode>
                <c:ptCount val="6"/>
                <c:pt idx="0">
                  <c:v>26500</c:v>
                </c:pt>
                <c:pt idx="1">
                  <c:v>21500</c:v>
                </c:pt>
                <c:pt idx="2">
                  <c:v>24500</c:v>
                </c:pt>
                <c:pt idx="3">
                  <c:v>18500</c:v>
                </c:pt>
                <c:pt idx="4">
                  <c:v>19500</c:v>
                </c:pt>
                <c:pt idx="5">
                  <c:v>21500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A1-4564-A861-996848CA6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59599904"/>
        <c:axId val="2059599072"/>
      </c:barChart>
      <c:catAx>
        <c:axId val="205959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59599072"/>
        <c:crosses val="autoZero"/>
        <c:auto val="1"/>
        <c:lblAlgn val="ctr"/>
        <c:lblOffset val="100"/>
        <c:noMultiLvlLbl val="0"/>
      </c:catAx>
      <c:valAx>
        <c:axId val="2059599072"/>
        <c:scaling>
          <c:orientation val="minMax"/>
        </c:scaling>
        <c:delete val="0"/>
        <c:axPos val="l"/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5959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10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2254519921202917"/>
          <c:y val="0.15151515151515152"/>
          <c:w val="0.75490960157594167"/>
          <c:h val="0.69696969696969702"/>
        </c:manualLayout>
      </c:layout>
      <c:pie3DChart>
        <c:varyColors val="1"/>
        <c:ser>
          <c:idx val="0"/>
          <c:order val="0"/>
          <c:tx>
            <c:strRef>
              <c:f>'기타작업-1'!$D$4</c:f>
              <c:strCache>
                <c:ptCount val="1"/>
                <c:pt idx="0">
                  <c:v>주문수량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079-4F06-9939-25D15E45C4D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079-4F06-9939-25D15E45C4D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079-4F06-9939-25D15E45C4D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079-4F06-9939-25D15E45C4D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079-4F06-9939-25D15E45C4D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079-4F06-9939-25D15E45C4D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'기타작업-1'!$C$5:$C$10</c:f>
              <c:strCache>
                <c:ptCount val="6"/>
                <c:pt idx="0">
                  <c:v>한경대</c:v>
                </c:pt>
                <c:pt idx="1">
                  <c:v>전주대</c:v>
                </c:pt>
                <c:pt idx="2">
                  <c:v>인천대</c:v>
                </c:pt>
                <c:pt idx="3">
                  <c:v>호서대</c:v>
                </c:pt>
                <c:pt idx="4">
                  <c:v>제주대</c:v>
                </c:pt>
                <c:pt idx="5">
                  <c:v>호원대</c:v>
                </c:pt>
              </c:strCache>
            </c:strRef>
          </c:cat>
          <c:val>
            <c:numRef>
              <c:f>'기타작업-1'!$D$5:$D$10</c:f>
              <c:numCache>
                <c:formatCode>_(* #,##0_);_(* \(#,##0\);_(* "-"_);_(@_)</c:formatCode>
                <c:ptCount val="6"/>
                <c:pt idx="0">
                  <c:v>70</c:v>
                </c:pt>
                <c:pt idx="1">
                  <c:v>150</c:v>
                </c:pt>
                <c:pt idx="2">
                  <c:v>90</c:v>
                </c:pt>
                <c:pt idx="3">
                  <c:v>20</c:v>
                </c:pt>
                <c:pt idx="4">
                  <c:v>40</c:v>
                </c:pt>
                <c:pt idx="5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DB-457E-A052-A33F5369225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9</xdr:col>
      <xdr:colOff>0</xdr:colOff>
      <xdr:row>36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323850</xdr:colOff>
      <xdr:row>12</xdr:row>
      <xdr:rowOff>158750</xdr:rowOff>
    </xdr:from>
    <xdr:to>
      <xdr:col>8</xdr:col>
      <xdr:colOff>523874</xdr:colOff>
      <xdr:row>22</xdr:row>
      <xdr:rowOff>95250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222250</xdr:colOff>
      <xdr:row>23</xdr:row>
      <xdr:rowOff>19050</xdr:rowOff>
    </xdr:from>
    <xdr:to>
      <xdr:col>8</xdr:col>
      <xdr:colOff>463550</xdr:colOff>
      <xdr:row>25</xdr:row>
      <xdr:rowOff>0</xdr:rowOff>
    </xdr:to>
    <xdr:sp macro="" textlink="">
      <xdr:nvSpPr>
        <xdr:cNvPr id="4" name="TextBox 3"/>
        <xdr:cNvSpPr txBox="1"/>
      </xdr:nvSpPr>
      <xdr:spPr>
        <a:xfrm>
          <a:off x="4724400" y="4984750"/>
          <a:ext cx="1778000" cy="412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■ 주문처별 주문금액</a:t>
          </a:r>
          <a:endParaRPr lang="ko-KR" altLang="ko-KR">
            <a:effectLst/>
          </a:endParaRPr>
        </a:p>
        <a:p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2</xdr:row>
      <xdr:rowOff>0</xdr:rowOff>
    </xdr:to>
    <xdr:sp macro="[0]!주문일자" textlink="">
      <xdr:nvSpPr>
        <xdr:cNvPr id="2" name="직사각형 1"/>
        <xdr:cNvSpPr/>
      </xdr:nvSpPr>
      <xdr:spPr>
        <a:xfrm>
          <a:off x="5702300" y="0"/>
          <a:ext cx="1320800" cy="431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주문일자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2</xdr:row>
      <xdr:rowOff>0</xdr:rowOff>
    </xdr:to>
    <xdr:sp macro="[0]!도서명" textlink="">
      <xdr:nvSpPr>
        <xdr:cNvPr id="3" name="직사각형 2"/>
        <xdr:cNvSpPr/>
      </xdr:nvSpPr>
      <xdr:spPr>
        <a:xfrm>
          <a:off x="7023100" y="0"/>
          <a:ext cx="1320800" cy="431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도서명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동호수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사용량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0</xdr:row>
          <xdr:rowOff>203200</xdr:rowOff>
        </xdr:from>
        <xdr:to>
          <xdr:col>5</xdr:col>
          <xdr:colOff>806450</xdr:colOff>
          <xdr:row>1</xdr:row>
          <xdr:rowOff>177800</xdr:rowOff>
        </xdr:to>
        <xdr:sp macro="" textlink="">
          <xdr:nvSpPr>
            <xdr:cNvPr id="7169" name="실행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4035.768878240742" createdVersion="6" refreshedVersion="6" minRefreshableVersion="3" recordCount="31">
  <cacheSource type="external" connectionId="1"/>
  <cacheFields count="5">
    <cacheField name="담당자" numFmtId="0" sqlType="-9">
      <sharedItems count="8">
        <s v="정민수"/>
        <s v="강상철"/>
        <s v="김길창"/>
        <s v="김상두"/>
        <s v="강영훈"/>
        <s v="이원호"/>
        <s v="김원기"/>
        <s v="김일환"/>
      </sharedItems>
    </cacheField>
    <cacheField name="출판사" numFmtId="0" sqlType="-9">
      <sharedItems count="5">
        <s v="무한"/>
        <s v="T&amp;T"/>
        <s v="영진"/>
        <s v="용천"/>
        <s v="제일"/>
      </sharedItems>
    </cacheField>
    <cacheField name="주문수량" numFmtId="0" sqlType="8">
      <sharedItems containsSemiMixedTypes="0" containsString="0" containsNumber="1" containsInteger="1" minValue="10" maxValue="200" count="14">
        <n v="80"/>
        <n v="30"/>
        <n v="170"/>
        <n v="200"/>
        <n v="90"/>
        <n v="20"/>
        <n v="40"/>
        <n v="100"/>
        <n v="120"/>
        <n v="150"/>
        <n v="70"/>
        <n v="50"/>
        <n v="10"/>
        <n v="130"/>
      </sharedItems>
    </cacheField>
    <cacheField name="판매단가" numFmtId="0" sqlType="8">
      <sharedItems containsSemiMixedTypes="0" containsString="0" containsNumber="1" containsInteger="1" minValue="11500" maxValue="31500" count="14">
        <n v="20500"/>
        <n v="23500"/>
        <n v="11500"/>
        <n v="24500"/>
        <n v="18500"/>
        <n v="21500"/>
        <n v="13500"/>
        <n v="26500"/>
        <n v="29500"/>
        <n v="31500"/>
        <n v="30500"/>
        <n v="19500"/>
        <n v="16500"/>
        <n v="22500"/>
      </sharedItems>
    </cacheField>
    <cacheField name="총금액" numFmtId="0" formula="주문수량*판매단가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">
  <r>
    <x v="0"/>
    <x v="0"/>
    <x v="0"/>
    <x v="0"/>
  </r>
  <r>
    <x v="1"/>
    <x v="0"/>
    <x v="1"/>
    <x v="0"/>
  </r>
  <r>
    <x v="1"/>
    <x v="0"/>
    <x v="2"/>
    <x v="1"/>
  </r>
  <r>
    <x v="2"/>
    <x v="0"/>
    <x v="3"/>
    <x v="2"/>
  </r>
  <r>
    <x v="1"/>
    <x v="0"/>
    <x v="4"/>
    <x v="3"/>
  </r>
  <r>
    <x v="1"/>
    <x v="0"/>
    <x v="5"/>
    <x v="4"/>
  </r>
  <r>
    <x v="3"/>
    <x v="1"/>
    <x v="6"/>
    <x v="3"/>
  </r>
  <r>
    <x v="4"/>
    <x v="1"/>
    <x v="7"/>
    <x v="0"/>
  </r>
  <r>
    <x v="2"/>
    <x v="1"/>
    <x v="8"/>
    <x v="5"/>
  </r>
  <r>
    <x v="5"/>
    <x v="1"/>
    <x v="7"/>
    <x v="6"/>
  </r>
  <r>
    <x v="6"/>
    <x v="1"/>
    <x v="8"/>
    <x v="1"/>
  </r>
  <r>
    <x v="4"/>
    <x v="1"/>
    <x v="8"/>
    <x v="4"/>
  </r>
  <r>
    <x v="6"/>
    <x v="1"/>
    <x v="9"/>
    <x v="5"/>
  </r>
  <r>
    <x v="5"/>
    <x v="1"/>
    <x v="10"/>
    <x v="7"/>
  </r>
  <r>
    <x v="3"/>
    <x v="2"/>
    <x v="4"/>
    <x v="8"/>
  </r>
  <r>
    <x v="6"/>
    <x v="2"/>
    <x v="8"/>
    <x v="9"/>
  </r>
  <r>
    <x v="0"/>
    <x v="2"/>
    <x v="1"/>
    <x v="10"/>
  </r>
  <r>
    <x v="0"/>
    <x v="2"/>
    <x v="11"/>
    <x v="9"/>
  </r>
  <r>
    <x v="7"/>
    <x v="2"/>
    <x v="5"/>
    <x v="7"/>
  </r>
  <r>
    <x v="6"/>
    <x v="2"/>
    <x v="7"/>
    <x v="9"/>
  </r>
  <r>
    <x v="6"/>
    <x v="2"/>
    <x v="5"/>
    <x v="0"/>
  </r>
  <r>
    <x v="3"/>
    <x v="2"/>
    <x v="11"/>
    <x v="6"/>
  </r>
  <r>
    <x v="4"/>
    <x v="2"/>
    <x v="4"/>
    <x v="5"/>
  </r>
  <r>
    <x v="2"/>
    <x v="3"/>
    <x v="11"/>
    <x v="11"/>
  </r>
  <r>
    <x v="4"/>
    <x v="3"/>
    <x v="12"/>
    <x v="12"/>
  </r>
  <r>
    <x v="3"/>
    <x v="3"/>
    <x v="13"/>
    <x v="13"/>
  </r>
  <r>
    <x v="3"/>
    <x v="4"/>
    <x v="5"/>
    <x v="13"/>
  </r>
  <r>
    <x v="3"/>
    <x v="4"/>
    <x v="1"/>
    <x v="12"/>
  </r>
  <r>
    <x v="0"/>
    <x v="4"/>
    <x v="6"/>
    <x v="12"/>
  </r>
  <r>
    <x v="2"/>
    <x v="4"/>
    <x v="6"/>
    <x v="11"/>
  </r>
  <r>
    <x v="0"/>
    <x v="4"/>
    <x v="0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multipleFieldFilters="0" fieldListSortAscending="1">
  <location ref="B3:E9" firstHeaderRow="0" firstDataRow="1" firstDataCol="1" rowPageCount="1" colPageCount="1"/>
  <pivotFields count="5">
    <pivotField axis="axisPage" compact="0" outline="0" showAll="0">
      <items count="9">
        <item x="1"/>
        <item x="4"/>
        <item x="2"/>
        <item x="3"/>
        <item x="6"/>
        <item x="7"/>
        <item x="5"/>
        <item x="0"/>
        <item t="default"/>
      </items>
    </pivotField>
    <pivotField axis="axisRow" compact="0" outline="0" showAll="0">
      <items count="6">
        <item x="1"/>
        <item x="0"/>
        <item x="2"/>
        <item x="3"/>
        <item x="4"/>
        <item t="default"/>
      </items>
    </pivotField>
    <pivotField dataField="1" compact="0" outline="0" showAll="0"/>
    <pivotField dataField="1" compact="0" outline="0" showAll="0"/>
    <pivotField dataField="1" compact="0" outline="0" dragToRow="0" dragToCol="0" dragToPage="0" showAll="0" defaultSubtota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-1"/>
  </pageFields>
  <dataFields count="3">
    <dataField name="합계 : 주문수량" fld="2" baseField="1" baseItem="0" numFmtId="177"/>
    <dataField name="합계 : 판매단가" fld="3" baseField="1" baseItem="0" numFmtId="177"/>
    <dataField name="합계 : 총금액" fld="4" baseField="1" baseItem="0" numFmtId="177"/>
  </dataFields>
  <pivotTableStyleInfo name="PivotStyleLight2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K52"/>
  <sheetViews>
    <sheetView tabSelected="1" workbookViewId="0"/>
  </sheetViews>
  <sheetFormatPr defaultRowHeight="17"/>
  <cols>
    <col min="2" max="2" width="11.75" customWidth="1"/>
    <col min="7" max="7" width="20.4140625" customWidth="1"/>
  </cols>
  <sheetData>
    <row r="2" spans="1:11">
      <c r="A2" s="8" t="s">
        <v>0</v>
      </c>
      <c r="B2" s="8" t="s">
        <v>1</v>
      </c>
      <c r="C2" s="8" t="s">
        <v>2</v>
      </c>
      <c r="D2" s="8" t="s">
        <v>3</v>
      </c>
      <c r="E2" s="8" t="s">
        <v>4</v>
      </c>
      <c r="F2" s="8" t="s">
        <v>5</v>
      </c>
      <c r="G2" s="8" t="s">
        <v>6</v>
      </c>
      <c r="H2" s="8" t="s">
        <v>7</v>
      </c>
      <c r="I2" s="8" t="s">
        <v>8</v>
      </c>
      <c r="J2" s="8" t="s">
        <v>9</v>
      </c>
      <c r="K2" s="8" t="s">
        <v>10</v>
      </c>
    </row>
    <row r="3" spans="1:11">
      <c r="A3" s="1">
        <v>1</v>
      </c>
      <c r="B3" s="2">
        <v>44783</v>
      </c>
      <c r="C3" s="3" t="s">
        <v>11</v>
      </c>
      <c r="D3" s="4">
        <v>13500</v>
      </c>
      <c r="E3" s="5">
        <v>100</v>
      </c>
      <c r="F3" s="4" t="s">
        <v>12</v>
      </c>
      <c r="G3" s="3" t="s">
        <v>13</v>
      </c>
      <c r="H3" s="6">
        <v>2007</v>
      </c>
      <c r="I3" s="3" t="s">
        <v>14</v>
      </c>
      <c r="J3" s="3" t="s">
        <v>15</v>
      </c>
      <c r="K3" s="3" t="s">
        <v>16</v>
      </c>
    </row>
    <row r="4" spans="1:11">
      <c r="A4" s="1">
        <v>2</v>
      </c>
      <c r="B4" s="2">
        <v>44805</v>
      </c>
      <c r="C4" s="3" t="s">
        <v>17</v>
      </c>
      <c r="D4" s="4">
        <v>26500</v>
      </c>
      <c r="E4" s="5">
        <v>70</v>
      </c>
      <c r="F4" s="4" t="s">
        <v>18</v>
      </c>
      <c r="G4" s="3" t="s">
        <v>19</v>
      </c>
      <c r="H4" s="6">
        <v>2008</v>
      </c>
      <c r="I4" s="3" t="s">
        <v>20</v>
      </c>
      <c r="J4" s="7" t="s">
        <v>21</v>
      </c>
      <c r="K4" s="3" t="s">
        <v>16</v>
      </c>
    </row>
    <row r="5" spans="1:11">
      <c r="A5" s="1">
        <v>3</v>
      </c>
      <c r="B5" s="2">
        <v>44795</v>
      </c>
      <c r="C5" s="3" t="s">
        <v>22</v>
      </c>
      <c r="D5" s="4">
        <v>21500</v>
      </c>
      <c r="E5" s="5">
        <v>120</v>
      </c>
      <c r="F5" s="4" t="s">
        <v>23</v>
      </c>
      <c r="G5" s="3" t="s">
        <v>24</v>
      </c>
      <c r="H5" s="6">
        <v>2015</v>
      </c>
      <c r="I5" s="3" t="s">
        <v>25</v>
      </c>
      <c r="J5" s="3" t="s">
        <v>15</v>
      </c>
      <c r="K5" s="3" t="s">
        <v>26</v>
      </c>
    </row>
    <row r="6" spans="1:11">
      <c r="A6" s="1">
        <v>4</v>
      </c>
      <c r="B6" s="2">
        <v>44847</v>
      </c>
      <c r="C6" s="3" t="s">
        <v>27</v>
      </c>
      <c r="D6" s="4">
        <v>21500</v>
      </c>
      <c r="E6" s="5">
        <v>150</v>
      </c>
      <c r="F6" s="4" t="s">
        <v>28</v>
      </c>
      <c r="G6" s="3" t="s">
        <v>29</v>
      </c>
      <c r="H6" s="6">
        <v>2008</v>
      </c>
      <c r="I6" s="3" t="s">
        <v>30</v>
      </c>
      <c r="J6" s="7" t="s">
        <v>31</v>
      </c>
      <c r="K6" s="3" t="s">
        <v>32</v>
      </c>
    </row>
    <row r="7" spans="1:11">
      <c r="A7" s="1">
        <v>5</v>
      </c>
      <c r="B7" s="2">
        <v>44783</v>
      </c>
      <c r="C7" s="3" t="s">
        <v>33</v>
      </c>
      <c r="D7" s="4">
        <v>23500</v>
      </c>
      <c r="E7" s="5">
        <v>120</v>
      </c>
      <c r="F7" s="4" t="s">
        <v>34</v>
      </c>
      <c r="G7" s="3" t="s">
        <v>35</v>
      </c>
      <c r="H7" s="6">
        <v>2007</v>
      </c>
      <c r="I7" s="3" t="s">
        <v>36</v>
      </c>
      <c r="J7" s="3" t="s">
        <v>15</v>
      </c>
      <c r="K7" s="3" t="s">
        <v>32</v>
      </c>
    </row>
    <row r="8" spans="1:11">
      <c r="A8" s="1">
        <v>6</v>
      </c>
      <c r="B8" s="2">
        <v>44853</v>
      </c>
      <c r="C8" s="3" t="s">
        <v>37</v>
      </c>
      <c r="D8" s="4">
        <v>24500</v>
      </c>
      <c r="E8" s="5">
        <v>40</v>
      </c>
      <c r="F8" s="5" t="s">
        <v>38</v>
      </c>
      <c r="G8" s="3" t="s">
        <v>39</v>
      </c>
      <c r="H8" s="6">
        <v>2006</v>
      </c>
      <c r="I8" s="3" t="s">
        <v>40</v>
      </c>
      <c r="J8" s="3" t="s">
        <v>15</v>
      </c>
      <c r="K8" s="3" t="s">
        <v>41</v>
      </c>
    </row>
    <row r="9" spans="1:11">
      <c r="A9" s="1">
        <v>7</v>
      </c>
      <c r="B9" s="2">
        <v>44793</v>
      </c>
      <c r="C9" s="3" t="s">
        <v>42</v>
      </c>
      <c r="D9" s="4">
        <v>20500</v>
      </c>
      <c r="E9" s="5">
        <v>100</v>
      </c>
      <c r="F9" s="5" t="s">
        <v>43</v>
      </c>
      <c r="G9" s="3" t="s">
        <v>44</v>
      </c>
      <c r="H9" s="6">
        <v>2006</v>
      </c>
      <c r="I9" s="3" t="s">
        <v>45</v>
      </c>
      <c r="J9" s="3" t="s">
        <v>15</v>
      </c>
      <c r="K9" s="3" t="s">
        <v>46</v>
      </c>
    </row>
    <row r="10" spans="1:11">
      <c r="A10" s="1">
        <v>8</v>
      </c>
      <c r="B10" s="2">
        <v>44815</v>
      </c>
      <c r="C10" s="3" t="s">
        <v>47</v>
      </c>
      <c r="D10" s="4">
        <v>18500</v>
      </c>
      <c r="E10" s="5">
        <v>120</v>
      </c>
      <c r="F10" s="4" t="s">
        <v>48</v>
      </c>
      <c r="G10" s="3" t="s">
        <v>49</v>
      </c>
      <c r="H10" s="6">
        <v>2007</v>
      </c>
      <c r="I10" s="3" t="s">
        <v>50</v>
      </c>
      <c r="J10" s="3" t="s">
        <v>51</v>
      </c>
      <c r="K10" s="3" t="s">
        <v>46</v>
      </c>
    </row>
    <row r="11" spans="1:11">
      <c r="A11" s="1">
        <v>9</v>
      </c>
      <c r="B11" s="2">
        <v>44794</v>
      </c>
      <c r="C11" s="3" t="s">
        <v>52</v>
      </c>
      <c r="D11" s="4">
        <v>20500</v>
      </c>
      <c r="E11" s="5">
        <v>20</v>
      </c>
      <c r="F11" s="5" t="s">
        <v>53</v>
      </c>
      <c r="G11" s="3" t="s">
        <v>54</v>
      </c>
      <c r="H11" s="6">
        <v>2006</v>
      </c>
      <c r="I11" s="3" t="s">
        <v>55</v>
      </c>
      <c r="J11" s="7" t="s">
        <v>21</v>
      </c>
      <c r="K11" s="3" t="s">
        <v>32</v>
      </c>
    </row>
    <row r="12" spans="1:11">
      <c r="A12" s="1">
        <v>10</v>
      </c>
      <c r="B12" s="2">
        <v>44848</v>
      </c>
      <c r="C12" s="3" t="s">
        <v>56</v>
      </c>
      <c r="D12" s="4">
        <v>19500</v>
      </c>
      <c r="E12" s="5">
        <v>50</v>
      </c>
      <c r="F12" s="4" t="s">
        <v>57</v>
      </c>
      <c r="G12" s="3" t="s">
        <v>58</v>
      </c>
      <c r="H12" s="6">
        <v>2007</v>
      </c>
      <c r="I12" s="3" t="s">
        <v>59</v>
      </c>
      <c r="J12" s="3" t="s">
        <v>60</v>
      </c>
      <c r="K12" s="3" t="s">
        <v>26</v>
      </c>
    </row>
    <row r="13" spans="1:11">
      <c r="A13" s="1">
        <v>11</v>
      </c>
      <c r="B13" s="2">
        <v>44849</v>
      </c>
      <c r="C13" s="3" t="s">
        <v>61</v>
      </c>
      <c r="D13" s="4">
        <v>21500</v>
      </c>
      <c r="E13" s="5">
        <v>90</v>
      </c>
      <c r="F13" s="5" t="s">
        <v>62</v>
      </c>
      <c r="G13" s="3" t="s">
        <v>63</v>
      </c>
      <c r="H13" s="6">
        <v>2006</v>
      </c>
      <c r="I13" s="3" t="s">
        <v>64</v>
      </c>
      <c r="J13" s="7" t="s">
        <v>21</v>
      </c>
      <c r="K13" s="3" t="s">
        <v>46</v>
      </c>
    </row>
    <row r="14" spans="1:11">
      <c r="A14" s="1">
        <v>12</v>
      </c>
      <c r="B14" s="2">
        <v>44812</v>
      </c>
      <c r="C14" s="3" t="s">
        <v>65</v>
      </c>
      <c r="D14" s="4">
        <v>16500</v>
      </c>
      <c r="E14" s="5">
        <v>10</v>
      </c>
      <c r="F14" s="4" t="s">
        <v>66</v>
      </c>
      <c r="G14" s="3" t="s">
        <v>67</v>
      </c>
      <c r="H14" s="6">
        <v>2007</v>
      </c>
      <c r="I14" s="3" t="s">
        <v>68</v>
      </c>
      <c r="J14" s="3" t="s">
        <v>69</v>
      </c>
      <c r="K14" s="3" t="s">
        <v>46</v>
      </c>
    </row>
    <row r="15" spans="1:11">
      <c r="A15" s="1">
        <v>13</v>
      </c>
      <c r="B15" s="2">
        <v>44813</v>
      </c>
      <c r="C15" s="3" t="s">
        <v>70</v>
      </c>
      <c r="D15" s="4">
        <v>22500</v>
      </c>
      <c r="E15" s="5">
        <v>130</v>
      </c>
      <c r="F15" s="4" t="s">
        <v>71</v>
      </c>
      <c r="G15" s="3" t="s">
        <v>72</v>
      </c>
      <c r="H15" s="6">
        <v>2007</v>
      </c>
      <c r="I15" s="3" t="s">
        <v>73</v>
      </c>
      <c r="J15" s="3" t="s">
        <v>60</v>
      </c>
      <c r="K15" s="3" t="s">
        <v>41</v>
      </c>
    </row>
    <row r="16" spans="1:11">
      <c r="A16" s="1">
        <v>14</v>
      </c>
      <c r="B16" s="2">
        <v>44783</v>
      </c>
      <c r="C16" s="3" t="s">
        <v>74</v>
      </c>
      <c r="D16" s="4">
        <v>13500</v>
      </c>
      <c r="E16" s="5">
        <v>50</v>
      </c>
      <c r="F16" s="5" t="s">
        <v>75</v>
      </c>
      <c r="G16" s="3" t="s">
        <v>76</v>
      </c>
      <c r="H16" s="6">
        <v>2006</v>
      </c>
      <c r="I16" s="3" t="s">
        <v>77</v>
      </c>
      <c r="J16" s="7" t="s">
        <v>31</v>
      </c>
      <c r="K16" s="3" t="s">
        <v>41</v>
      </c>
    </row>
    <row r="17" spans="1:11">
      <c r="A17" s="1">
        <v>15</v>
      </c>
      <c r="B17" s="2">
        <v>44781</v>
      </c>
      <c r="C17" s="3" t="s">
        <v>78</v>
      </c>
      <c r="D17" s="4">
        <v>26500</v>
      </c>
      <c r="E17" s="5">
        <v>20</v>
      </c>
      <c r="F17" s="5" t="s">
        <v>79</v>
      </c>
      <c r="G17" s="3" t="s">
        <v>80</v>
      </c>
      <c r="H17" s="6">
        <v>2006</v>
      </c>
      <c r="I17" s="3" t="s">
        <v>81</v>
      </c>
      <c r="J17" s="7" t="s">
        <v>21</v>
      </c>
      <c r="K17" s="3" t="s">
        <v>82</v>
      </c>
    </row>
    <row r="18" spans="1:11">
      <c r="A18" s="1">
        <v>16</v>
      </c>
      <c r="B18" s="2">
        <v>44795</v>
      </c>
      <c r="C18" s="3" t="s">
        <v>83</v>
      </c>
      <c r="D18" s="4">
        <v>31500</v>
      </c>
      <c r="E18" s="5">
        <v>100</v>
      </c>
      <c r="F18" s="5" t="s">
        <v>84</v>
      </c>
      <c r="G18" s="3" t="s">
        <v>85</v>
      </c>
      <c r="H18" s="6">
        <v>2006</v>
      </c>
      <c r="I18" s="3" t="s">
        <v>86</v>
      </c>
      <c r="J18" s="7" t="s">
        <v>21</v>
      </c>
      <c r="K18" s="3" t="s">
        <v>32</v>
      </c>
    </row>
    <row r="19" spans="1:11">
      <c r="A19" s="1">
        <v>17</v>
      </c>
      <c r="B19" s="2">
        <v>44847</v>
      </c>
      <c r="C19" s="3" t="s">
        <v>87</v>
      </c>
      <c r="D19" s="4">
        <v>11500</v>
      </c>
      <c r="E19" s="5">
        <v>200</v>
      </c>
      <c r="F19" s="4" t="s">
        <v>88</v>
      </c>
      <c r="G19" s="3" t="s">
        <v>89</v>
      </c>
      <c r="H19" s="6">
        <v>2007</v>
      </c>
      <c r="I19" s="3" t="s">
        <v>90</v>
      </c>
      <c r="J19" s="7" t="s">
        <v>91</v>
      </c>
      <c r="K19" s="3" t="s">
        <v>26</v>
      </c>
    </row>
    <row r="20" spans="1:11">
      <c r="A20" s="1">
        <v>18</v>
      </c>
      <c r="B20" s="2">
        <v>44783</v>
      </c>
      <c r="C20" s="3" t="s">
        <v>92</v>
      </c>
      <c r="D20" s="4">
        <v>23500</v>
      </c>
      <c r="E20" s="5">
        <v>170</v>
      </c>
      <c r="F20" s="4" t="s">
        <v>93</v>
      </c>
      <c r="G20" s="3" t="s">
        <v>94</v>
      </c>
      <c r="H20" s="6">
        <v>2015</v>
      </c>
      <c r="I20" s="3" t="s">
        <v>95</v>
      </c>
      <c r="J20" s="7" t="s">
        <v>96</v>
      </c>
      <c r="K20" s="3" t="s">
        <v>97</v>
      </c>
    </row>
    <row r="21" spans="1:11">
      <c r="A21" s="1">
        <v>19</v>
      </c>
      <c r="B21" s="2">
        <v>44793</v>
      </c>
      <c r="C21" s="3" t="s">
        <v>98</v>
      </c>
      <c r="D21" s="4">
        <v>24500</v>
      </c>
      <c r="E21" s="5">
        <v>90</v>
      </c>
      <c r="F21" s="4" t="s">
        <v>99</v>
      </c>
      <c r="G21" s="3" t="s">
        <v>100</v>
      </c>
      <c r="H21" s="6">
        <v>2015</v>
      </c>
      <c r="I21" s="3" t="s">
        <v>101</v>
      </c>
      <c r="J21" s="7" t="s">
        <v>31</v>
      </c>
      <c r="K21" s="3" t="s">
        <v>97</v>
      </c>
    </row>
    <row r="22" spans="1:11">
      <c r="A22" s="1">
        <v>20</v>
      </c>
      <c r="B22" s="2">
        <v>44815</v>
      </c>
      <c r="C22" s="3" t="s">
        <v>102</v>
      </c>
      <c r="D22" s="4">
        <v>20500</v>
      </c>
      <c r="E22" s="5">
        <v>80</v>
      </c>
      <c r="F22" s="5" t="s">
        <v>103</v>
      </c>
      <c r="G22" s="3" t="s">
        <v>104</v>
      </c>
      <c r="H22" s="6">
        <v>2006</v>
      </c>
      <c r="I22" s="3" t="s">
        <v>105</v>
      </c>
      <c r="J22" s="7" t="s">
        <v>96</v>
      </c>
      <c r="K22" s="3" t="s">
        <v>106</v>
      </c>
    </row>
    <row r="23" spans="1:11">
      <c r="A23" s="1">
        <v>21</v>
      </c>
      <c r="B23" s="2">
        <v>44853</v>
      </c>
      <c r="C23" s="3" t="s">
        <v>107</v>
      </c>
      <c r="D23" s="4">
        <v>18500</v>
      </c>
      <c r="E23" s="5">
        <v>20</v>
      </c>
      <c r="F23" s="4" t="s">
        <v>108</v>
      </c>
      <c r="G23" s="3" t="s">
        <v>109</v>
      </c>
      <c r="H23" s="6">
        <v>2008</v>
      </c>
      <c r="I23" s="3" t="s">
        <v>110</v>
      </c>
      <c r="J23" s="7" t="s">
        <v>31</v>
      </c>
      <c r="K23" s="3" t="s">
        <v>97</v>
      </c>
    </row>
    <row r="24" spans="1:11">
      <c r="A24" s="1">
        <v>22</v>
      </c>
      <c r="B24" s="2">
        <v>44785</v>
      </c>
      <c r="C24" s="3" t="s">
        <v>111</v>
      </c>
      <c r="D24" s="4">
        <v>20500</v>
      </c>
      <c r="E24" s="5">
        <v>30</v>
      </c>
      <c r="F24" s="4" t="s">
        <v>112</v>
      </c>
      <c r="G24" s="3" t="s">
        <v>113</v>
      </c>
      <c r="H24" s="6">
        <v>2007</v>
      </c>
      <c r="I24" s="3" t="s">
        <v>114</v>
      </c>
      <c r="J24" s="7" t="s">
        <v>21</v>
      </c>
      <c r="K24" s="3" t="s">
        <v>97</v>
      </c>
    </row>
    <row r="25" spans="1:11">
      <c r="A25" s="1">
        <v>23</v>
      </c>
      <c r="B25" s="2">
        <v>44848</v>
      </c>
      <c r="C25" s="3" t="s">
        <v>115</v>
      </c>
      <c r="D25" s="4">
        <v>19500</v>
      </c>
      <c r="E25" s="5">
        <v>40</v>
      </c>
      <c r="F25" s="4" t="s">
        <v>116</v>
      </c>
      <c r="G25" s="3" t="s">
        <v>117</v>
      </c>
      <c r="H25" s="6">
        <v>2008</v>
      </c>
      <c r="I25" s="3" t="s">
        <v>118</v>
      </c>
      <c r="J25" s="7" t="s">
        <v>21</v>
      </c>
      <c r="K25" s="3" t="s">
        <v>26</v>
      </c>
    </row>
    <row r="26" spans="1:11">
      <c r="A26" s="1">
        <v>24</v>
      </c>
      <c r="B26" s="2">
        <v>44849</v>
      </c>
      <c r="C26" s="3" t="s">
        <v>119</v>
      </c>
      <c r="D26" s="4">
        <v>21500</v>
      </c>
      <c r="E26" s="5">
        <v>80</v>
      </c>
      <c r="F26" s="4" t="s">
        <v>120</v>
      </c>
      <c r="G26" s="3" t="s">
        <v>121</v>
      </c>
      <c r="H26" s="6">
        <v>2008</v>
      </c>
      <c r="I26" s="3" t="s">
        <v>122</v>
      </c>
      <c r="J26" s="7" t="s">
        <v>21</v>
      </c>
      <c r="K26" s="3" t="s">
        <v>106</v>
      </c>
    </row>
    <row r="27" spans="1:11">
      <c r="A27" s="1">
        <v>25</v>
      </c>
      <c r="B27" s="2">
        <v>44812</v>
      </c>
      <c r="C27" s="3" t="s">
        <v>123</v>
      </c>
      <c r="D27" s="4">
        <v>16500</v>
      </c>
      <c r="E27" s="5">
        <v>40</v>
      </c>
      <c r="F27" s="4" t="s">
        <v>124</v>
      </c>
      <c r="G27" s="3" t="s">
        <v>125</v>
      </c>
      <c r="H27" s="6">
        <v>2007</v>
      </c>
      <c r="I27" s="3" t="s">
        <v>126</v>
      </c>
      <c r="J27" s="7" t="s">
        <v>21</v>
      </c>
      <c r="K27" s="3" t="s">
        <v>106</v>
      </c>
    </row>
    <row r="28" spans="1:11">
      <c r="A28" s="1">
        <v>26</v>
      </c>
      <c r="B28" s="2">
        <v>44781</v>
      </c>
      <c r="C28" s="3" t="s">
        <v>127</v>
      </c>
      <c r="D28" s="4">
        <v>22500</v>
      </c>
      <c r="E28" s="5">
        <v>20</v>
      </c>
      <c r="F28" s="5" t="s">
        <v>128</v>
      </c>
      <c r="G28" s="3" t="s">
        <v>129</v>
      </c>
      <c r="H28" s="6">
        <v>2006</v>
      </c>
      <c r="I28" s="3" t="s">
        <v>130</v>
      </c>
      <c r="J28" s="7" t="s">
        <v>131</v>
      </c>
      <c r="K28" s="3" t="s">
        <v>41</v>
      </c>
    </row>
    <row r="29" spans="1:11">
      <c r="A29" s="1">
        <v>27</v>
      </c>
      <c r="B29" s="2">
        <v>44785</v>
      </c>
      <c r="C29" s="3" t="s">
        <v>132</v>
      </c>
      <c r="D29" s="4">
        <v>16500</v>
      </c>
      <c r="E29" s="5">
        <v>30</v>
      </c>
      <c r="F29" s="4" t="s">
        <v>133</v>
      </c>
      <c r="G29" s="3" t="s">
        <v>134</v>
      </c>
      <c r="H29" s="6">
        <v>2015</v>
      </c>
      <c r="I29" s="3" t="s">
        <v>135</v>
      </c>
      <c r="J29" s="7" t="s">
        <v>21</v>
      </c>
      <c r="K29" s="3" t="s">
        <v>41</v>
      </c>
    </row>
    <row r="30" spans="1:11">
      <c r="A30" s="1">
        <v>28</v>
      </c>
      <c r="B30" s="2">
        <v>44848</v>
      </c>
      <c r="C30" s="3" t="s">
        <v>136</v>
      </c>
      <c r="D30" s="4">
        <v>31500</v>
      </c>
      <c r="E30" s="5">
        <v>50</v>
      </c>
      <c r="F30" s="4" t="s">
        <v>137</v>
      </c>
      <c r="G30" s="3" t="s">
        <v>138</v>
      </c>
      <c r="H30" s="6">
        <v>2008</v>
      </c>
      <c r="I30" s="3" t="s">
        <v>139</v>
      </c>
      <c r="J30" s="7" t="s">
        <v>21</v>
      </c>
      <c r="K30" s="3" t="s">
        <v>106</v>
      </c>
    </row>
    <row r="31" spans="1:11">
      <c r="A31" s="1">
        <v>29</v>
      </c>
      <c r="B31" s="2">
        <v>44849</v>
      </c>
      <c r="C31" s="3" t="s">
        <v>140</v>
      </c>
      <c r="D31" s="4">
        <v>30500</v>
      </c>
      <c r="E31" s="5">
        <v>30</v>
      </c>
      <c r="F31" s="4" t="s">
        <v>141</v>
      </c>
      <c r="G31" s="3" t="s">
        <v>142</v>
      </c>
      <c r="H31" s="6">
        <v>2008</v>
      </c>
      <c r="I31" s="3" t="s">
        <v>143</v>
      </c>
      <c r="J31" s="7" t="s">
        <v>21</v>
      </c>
      <c r="K31" s="3" t="s">
        <v>106</v>
      </c>
    </row>
    <row r="32" spans="1:11">
      <c r="A32" s="1">
        <v>30</v>
      </c>
      <c r="B32" s="2">
        <v>44781</v>
      </c>
      <c r="C32" s="3" t="s">
        <v>144</v>
      </c>
      <c r="D32" s="4">
        <v>29500</v>
      </c>
      <c r="E32" s="5">
        <v>90</v>
      </c>
      <c r="F32" s="5" t="s">
        <v>145</v>
      </c>
      <c r="G32" s="3" t="s">
        <v>146</v>
      </c>
      <c r="H32" s="6">
        <v>2006</v>
      </c>
      <c r="I32" s="3" t="s">
        <v>147</v>
      </c>
      <c r="J32" s="7" t="s">
        <v>31</v>
      </c>
      <c r="K32" s="3" t="s">
        <v>41</v>
      </c>
    </row>
    <row r="33" spans="1:11">
      <c r="A33" s="1">
        <v>31</v>
      </c>
      <c r="B33" s="2">
        <v>44783</v>
      </c>
      <c r="C33" s="3" t="s">
        <v>148</v>
      </c>
      <c r="D33" s="4">
        <v>31500</v>
      </c>
      <c r="E33" s="5">
        <v>120</v>
      </c>
      <c r="F33" s="5" t="s">
        <v>149</v>
      </c>
      <c r="G33" s="3" t="s">
        <v>150</v>
      </c>
      <c r="H33" s="6">
        <v>2006</v>
      </c>
      <c r="I33" s="3" t="s">
        <v>151</v>
      </c>
      <c r="J33" s="7" t="s">
        <v>21</v>
      </c>
      <c r="K33" s="3" t="s">
        <v>32</v>
      </c>
    </row>
    <row r="35" spans="1:11">
      <c r="A35" t="s">
        <v>278</v>
      </c>
    </row>
    <row r="36" spans="1:11">
      <c r="A36" t="b">
        <f>OR(H3=2009,AND(J3="영진",E3&gt;=30,E3&lt;=100))</f>
        <v>0</v>
      </c>
    </row>
    <row r="39" spans="1:11">
      <c r="A39" s="8" t="s">
        <v>0</v>
      </c>
      <c r="B39" s="8" t="s">
        <v>2</v>
      </c>
      <c r="C39" s="8" t="s">
        <v>4</v>
      </c>
      <c r="D39" s="8" t="s">
        <v>3</v>
      </c>
      <c r="E39" s="8" t="s">
        <v>5</v>
      </c>
      <c r="F39" s="8" t="s">
        <v>8</v>
      </c>
    </row>
    <row r="40" spans="1:11">
      <c r="A40" s="1">
        <v>2</v>
      </c>
      <c r="B40" s="3" t="s">
        <v>17</v>
      </c>
      <c r="C40" s="5">
        <v>70</v>
      </c>
      <c r="D40" s="4">
        <v>26500</v>
      </c>
      <c r="E40" s="4" t="s">
        <v>18</v>
      </c>
      <c r="F40" s="3" t="s">
        <v>20</v>
      </c>
    </row>
    <row r="41" spans="1:11">
      <c r="A41" s="1">
        <v>11</v>
      </c>
      <c r="B41" s="3" t="s">
        <v>61</v>
      </c>
      <c r="C41" s="5">
        <v>90</v>
      </c>
      <c r="D41" s="4">
        <v>21500</v>
      </c>
      <c r="E41" s="5" t="s">
        <v>62</v>
      </c>
      <c r="F41" s="3" t="s">
        <v>64</v>
      </c>
    </row>
    <row r="42" spans="1:11">
      <c r="A42" s="1">
        <v>14</v>
      </c>
      <c r="B42" s="3" t="s">
        <v>74</v>
      </c>
      <c r="C42" s="5">
        <v>50</v>
      </c>
      <c r="D42" s="4">
        <v>13500</v>
      </c>
      <c r="E42" s="5" t="s">
        <v>75</v>
      </c>
      <c r="F42" s="3" t="s">
        <v>77</v>
      </c>
    </row>
    <row r="43" spans="1:11">
      <c r="A43" s="1">
        <v>16</v>
      </c>
      <c r="B43" s="3" t="s">
        <v>83</v>
      </c>
      <c r="C43" s="5">
        <v>100</v>
      </c>
      <c r="D43" s="4">
        <v>31500</v>
      </c>
      <c r="E43" s="5" t="s">
        <v>84</v>
      </c>
      <c r="F43" s="3" t="s">
        <v>86</v>
      </c>
    </row>
    <row r="44" spans="1:11">
      <c r="A44" s="1">
        <v>19</v>
      </c>
      <c r="B44" s="3" t="s">
        <v>98</v>
      </c>
      <c r="C44" s="5">
        <v>90</v>
      </c>
      <c r="D44" s="4">
        <v>24500</v>
      </c>
      <c r="E44" s="4" t="s">
        <v>99</v>
      </c>
      <c r="F44" s="3" t="s">
        <v>101</v>
      </c>
    </row>
    <row r="45" spans="1:11">
      <c r="A45" s="1">
        <v>22</v>
      </c>
      <c r="B45" s="3" t="s">
        <v>111</v>
      </c>
      <c r="C45" s="5">
        <v>30</v>
      </c>
      <c r="D45" s="4">
        <v>20500</v>
      </c>
      <c r="E45" s="4" t="s">
        <v>112</v>
      </c>
      <c r="F45" s="3" t="s">
        <v>114</v>
      </c>
    </row>
    <row r="46" spans="1:11">
      <c r="A46" s="1">
        <v>23</v>
      </c>
      <c r="B46" s="3" t="s">
        <v>115</v>
      </c>
      <c r="C46" s="5">
        <v>40</v>
      </c>
      <c r="D46" s="4">
        <v>19500</v>
      </c>
      <c r="E46" s="4" t="s">
        <v>116</v>
      </c>
      <c r="F46" s="3" t="s">
        <v>118</v>
      </c>
    </row>
    <row r="47" spans="1:11">
      <c r="A47" s="1">
        <v>24</v>
      </c>
      <c r="B47" s="3" t="s">
        <v>119</v>
      </c>
      <c r="C47" s="5">
        <v>80</v>
      </c>
      <c r="D47" s="4">
        <v>21500</v>
      </c>
      <c r="E47" s="4" t="s">
        <v>120</v>
      </c>
      <c r="F47" s="3" t="s">
        <v>122</v>
      </c>
    </row>
    <row r="48" spans="1:11">
      <c r="A48" s="1">
        <v>25</v>
      </c>
      <c r="B48" s="3" t="s">
        <v>123</v>
      </c>
      <c r="C48" s="5">
        <v>40</v>
      </c>
      <c r="D48" s="4">
        <v>16500</v>
      </c>
      <c r="E48" s="4" t="s">
        <v>124</v>
      </c>
      <c r="F48" s="3" t="s">
        <v>126</v>
      </c>
    </row>
    <row r="49" spans="1:6">
      <c r="A49" s="1">
        <v>27</v>
      </c>
      <c r="B49" s="3" t="s">
        <v>132</v>
      </c>
      <c r="C49" s="5">
        <v>30</v>
      </c>
      <c r="D49" s="4">
        <v>16500</v>
      </c>
      <c r="E49" s="4" t="s">
        <v>133</v>
      </c>
      <c r="F49" s="3" t="s">
        <v>135</v>
      </c>
    </row>
    <row r="50" spans="1:6">
      <c r="A50" s="1">
        <v>28</v>
      </c>
      <c r="B50" s="3" t="s">
        <v>136</v>
      </c>
      <c r="C50" s="5">
        <v>50</v>
      </c>
      <c r="D50" s="4">
        <v>31500</v>
      </c>
      <c r="E50" s="4" t="s">
        <v>137</v>
      </c>
      <c r="F50" s="3" t="s">
        <v>139</v>
      </c>
    </row>
    <row r="51" spans="1:6">
      <c r="A51" s="1">
        <v>29</v>
      </c>
      <c r="B51" s="3" t="s">
        <v>140</v>
      </c>
      <c r="C51" s="5">
        <v>30</v>
      </c>
      <c r="D51" s="4">
        <v>30500</v>
      </c>
      <c r="E51" s="4" t="s">
        <v>141</v>
      </c>
      <c r="F51" s="3" t="s">
        <v>143</v>
      </c>
    </row>
    <row r="52" spans="1:6">
      <c r="A52" s="1">
        <v>30</v>
      </c>
      <c r="B52" s="3" t="s">
        <v>144</v>
      </c>
      <c r="C52" s="5">
        <v>90</v>
      </c>
      <c r="D52" s="4">
        <v>29500</v>
      </c>
      <c r="E52" s="5" t="s">
        <v>145</v>
      </c>
      <c r="F52" s="3" t="s">
        <v>147</v>
      </c>
    </row>
  </sheetData>
  <phoneticPr fontId="1" type="noConversion"/>
  <conditionalFormatting sqref="A3:K33">
    <cfRule type="expression" dxfId="0" priority="1">
      <formula>MOD(ROW(),2)=1</formula>
    </cfRule>
  </conditionalFormatting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K33"/>
  <sheetViews>
    <sheetView workbookViewId="0"/>
  </sheetViews>
  <sheetFormatPr defaultRowHeight="17"/>
  <cols>
    <col min="2" max="2" width="11.75" customWidth="1"/>
    <col min="7" max="7" width="20.4140625" customWidth="1"/>
  </cols>
  <sheetData>
    <row r="2" spans="1:11">
      <c r="A2" s="8" t="s">
        <v>0</v>
      </c>
      <c r="B2" s="8" t="s">
        <v>1</v>
      </c>
      <c r="C2" s="8" t="s">
        <v>2</v>
      </c>
      <c r="D2" s="8" t="s">
        <v>3</v>
      </c>
      <c r="E2" s="8" t="s">
        <v>4</v>
      </c>
      <c r="F2" s="8" t="s">
        <v>5</v>
      </c>
      <c r="G2" s="8" t="s">
        <v>6</v>
      </c>
      <c r="H2" s="8" t="s">
        <v>7</v>
      </c>
      <c r="I2" s="8" t="s">
        <v>8</v>
      </c>
      <c r="J2" s="8" t="s">
        <v>9</v>
      </c>
      <c r="K2" s="8" t="s">
        <v>10</v>
      </c>
    </row>
    <row r="3" spans="1:11">
      <c r="A3" s="1">
        <v>1</v>
      </c>
      <c r="B3" s="2">
        <v>44783</v>
      </c>
      <c r="C3" s="3" t="s">
        <v>11</v>
      </c>
      <c r="D3" s="4">
        <v>13500</v>
      </c>
      <c r="E3" s="5">
        <v>100</v>
      </c>
      <c r="F3" s="4" t="s">
        <v>12</v>
      </c>
      <c r="G3" s="3" t="s">
        <v>13</v>
      </c>
      <c r="H3" s="6">
        <v>2007</v>
      </c>
      <c r="I3" s="3" t="s">
        <v>14</v>
      </c>
      <c r="J3" s="3" t="s">
        <v>15</v>
      </c>
      <c r="K3" s="3" t="s">
        <v>16</v>
      </c>
    </row>
    <row r="4" spans="1:11">
      <c r="A4" s="1">
        <v>2</v>
      </c>
      <c r="B4" s="2">
        <v>44805</v>
      </c>
      <c r="C4" s="3" t="s">
        <v>17</v>
      </c>
      <c r="D4" s="4">
        <v>26500</v>
      </c>
      <c r="E4" s="5">
        <v>70</v>
      </c>
      <c r="F4" s="4" t="s">
        <v>18</v>
      </c>
      <c r="G4" s="3" t="s">
        <v>19</v>
      </c>
      <c r="H4" s="6">
        <v>2008</v>
      </c>
      <c r="I4" s="3" t="s">
        <v>20</v>
      </c>
      <c r="J4" s="33" t="s">
        <v>21</v>
      </c>
      <c r="K4" s="3" t="s">
        <v>16</v>
      </c>
    </row>
    <row r="5" spans="1:11">
      <c r="A5" s="1">
        <v>3</v>
      </c>
      <c r="B5" s="2">
        <v>44795</v>
      </c>
      <c r="C5" s="3" t="s">
        <v>22</v>
      </c>
      <c r="D5" s="4">
        <v>21500</v>
      </c>
      <c r="E5" s="5">
        <v>120</v>
      </c>
      <c r="F5" s="4" t="s">
        <v>23</v>
      </c>
      <c r="G5" s="3" t="s">
        <v>24</v>
      </c>
      <c r="H5" s="6">
        <v>2015</v>
      </c>
      <c r="I5" s="3" t="s">
        <v>25</v>
      </c>
      <c r="J5" s="3" t="s">
        <v>15</v>
      </c>
      <c r="K5" s="3" t="s">
        <v>26</v>
      </c>
    </row>
    <row r="6" spans="1:11">
      <c r="A6" s="1">
        <v>4</v>
      </c>
      <c r="B6" s="2">
        <v>44847</v>
      </c>
      <c r="C6" s="3" t="s">
        <v>27</v>
      </c>
      <c r="D6" s="4">
        <v>21500</v>
      </c>
      <c r="E6" s="5">
        <v>150</v>
      </c>
      <c r="F6" s="4" t="s">
        <v>28</v>
      </c>
      <c r="G6" s="3" t="s">
        <v>29</v>
      </c>
      <c r="H6" s="6">
        <v>2008</v>
      </c>
      <c r="I6" s="3" t="s">
        <v>30</v>
      </c>
      <c r="J6" s="33" t="s">
        <v>21</v>
      </c>
      <c r="K6" s="3" t="s">
        <v>32</v>
      </c>
    </row>
    <row r="7" spans="1:11">
      <c r="A7" s="1">
        <v>5</v>
      </c>
      <c r="B7" s="2">
        <v>44783</v>
      </c>
      <c r="C7" s="3" t="s">
        <v>33</v>
      </c>
      <c r="D7" s="4">
        <v>23500</v>
      </c>
      <c r="E7" s="5">
        <v>120</v>
      </c>
      <c r="F7" s="4" t="s">
        <v>34</v>
      </c>
      <c r="G7" s="3" t="s">
        <v>35</v>
      </c>
      <c r="H7" s="6">
        <v>2007</v>
      </c>
      <c r="I7" s="3" t="s">
        <v>36</v>
      </c>
      <c r="J7" s="3" t="s">
        <v>15</v>
      </c>
      <c r="K7" s="3" t="s">
        <v>32</v>
      </c>
    </row>
    <row r="8" spans="1:11">
      <c r="A8" s="1">
        <v>6</v>
      </c>
      <c r="B8" s="2">
        <v>44853</v>
      </c>
      <c r="C8" s="3" t="s">
        <v>37</v>
      </c>
      <c r="D8" s="4">
        <v>24500</v>
      </c>
      <c r="E8" s="5">
        <v>40</v>
      </c>
      <c r="F8" s="5" t="s">
        <v>38</v>
      </c>
      <c r="G8" s="3" t="s">
        <v>39</v>
      </c>
      <c r="H8" s="6">
        <v>2006</v>
      </c>
      <c r="I8" s="3" t="s">
        <v>40</v>
      </c>
      <c r="J8" s="3" t="s">
        <v>15</v>
      </c>
      <c r="K8" s="3" t="s">
        <v>41</v>
      </c>
    </row>
    <row r="9" spans="1:11">
      <c r="A9" s="1">
        <v>7</v>
      </c>
      <c r="B9" s="2">
        <v>44793</v>
      </c>
      <c r="C9" s="3" t="s">
        <v>42</v>
      </c>
      <c r="D9" s="4">
        <v>20500</v>
      </c>
      <c r="E9" s="5">
        <v>100</v>
      </c>
      <c r="F9" s="5" t="s">
        <v>43</v>
      </c>
      <c r="G9" s="3" t="s">
        <v>44</v>
      </c>
      <c r="H9" s="6">
        <v>2006</v>
      </c>
      <c r="I9" s="3" t="s">
        <v>45</v>
      </c>
      <c r="J9" s="3" t="s">
        <v>15</v>
      </c>
      <c r="K9" s="3" t="s">
        <v>46</v>
      </c>
    </row>
    <row r="10" spans="1:11">
      <c r="A10" s="1">
        <v>8</v>
      </c>
      <c r="B10" s="2">
        <v>44815</v>
      </c>
      <c r="C10" s="3" t="s">
        <v>47</v>
      </c>
      <c r="D10" s="4">
        <v>18500</v>
      </c>
      <c r="E10" s="5">
        <v>120</v>
      </c>
      <c r="F10" s="4" t="s">
        <v>48</v>
      </c>
      <c r="G10" s="3" t="s">
        <v>49</v>
      </c>
      <c r="H10" s="6">
        <v>2007</v>
      </c>
      <c r="I10" s="3" t="s">
        <v>50</v>
      </c>
      <c r="J10" s="3" t="s">
        <v>15</v>
      </c>
      <c r="K10" s="3" t="s">
        <v>46</v>
      </c>
    </row>
    <row r="11" spans="1:11">
      <c r="A11" s="1">
        <v>9</v>
      </c>
      <c r="B11" s="2">
        <v>44794</v>
      </c>
      <c r="C11" s="3" t="s">
        <v>52</v>
      </c>
      <c r="D11" s="4">
        <v>20500</v>
      </c>
      <c r="E11" s="5">
        <v>20</v>
      </c>
      <c r="F11" s="5" t="s">
        <v>53</v>
      </c>
      <c r="G11" s="3" t="s">
        <v>54</v>
      </c>
      <c r="H11" s="6">
        <v>2006</v>
      </c>
      <c r="I11" s="3" t="s">
        <v>55</v>
      </c>
      <c r="J11" s="33" t="s">
        <v>21</v>
      </c>
      <c r="K11" s="3" t="s">
        <v>32</v>
      </c>
    </row>
    <row r="12" spans="1:11">
      <c r="A12" s="1">
        <v>10</v>
      </c>
      <c r="B12" s="2">
        <v>44848</v>
      </c>
      <c r="C12" s="3" t="s">
        <v>56</v>
      </c>
      <c r="D12" s="4">
        <v>19500</v>
      </c>
      <c r="E12" s="5">
        <v>50</v>
      </c>
      <c r="F12" s="4" t="s">
        <v>57</v>
      </c>
      <c r="G12" s="3" t="s">
        <v>58</v>
      </c>
      <c r="H12" s="6">
        <v>2007</v>
      </c>
      <c r="I12" s="3" t="s">
        <v>59</v>
      </c>
      <c r="J12" s="3" t="s">
        <v>60</v>
      </c>
      <c r="K12" s="3" t="s">
        <v>26</v>
      </c>
    </row>
    <row r="13" spans="1:11">
      <c r="A13" s="1">
        <v>11</v>
      </c>
      <c r="B13" s="2">
        <v>44849</v>
      </c>
      <c r="C13" s="3" t="s">
        <v>61</v>
      </c>
      <c r="D13" s="4">
        <v>21500</v>
      </c>
      <c r="E13" s="5">
        <v>90</v>
      </c>
      <c r="F13" s="5" t="s">
        <v>62</v>
      </c>
      <c r="G13" s="3" t="s">
        <v>63</v>
      </c>
      <c r="H13" s="6">
        <v>2006</v>
      </c>
      <c r="I13" s="3" t="s">
        <v>64</v>
      </c>
      <c r="J13" s="33" t="s">
        <v>21</v>
      </c>
      <c r="K13" s="3" t="s">
        <v>46</v>
      </c>
    </row>
    <row r="14" spans="1:11">
      <c r="A14" s="1">
        <v>12</v>
      </c>
      <c r="B14" s="2">
        <v>44812</v>
      </c>
      <c r="C14" s="3" t="s">
        <v>65</v>
      </c>
      <c r="D14" s="4">
        <v>16500</v>
      </c>
      <c r="E14" s="5">
        <v>10</v>
      </c>
      <c r="F14" s="4" t="s">
        <v>66</v>
      </c>
      <c r="G14" s="3" t="s">
        <v>67</v>
      </c>
      <c r="H14" s="6">
        <v>2007</v>
      </c>
      <c r="I14" s="3" t="s">
        <v>68</v>
      </c>
      <c r="J14" s="3" t="s">
        <v>60</v>
      </c>
      <c r="K14" s="3" t="s">
        <v>46</v>
      </c>
    </row>
    <row r="15" spans="1:11">
      <c r="A15" s="1">
        <v>13</v>
      </c>
      <c r="B15" s="2">
        <v>44813</v>
      </c>
      <c r="C15" s="3" t="s">
        <v>70</v>
      </c>
      <c r="D15" s="4">
        <v>22500</v>
      </c>
      <c r="E15" s="5">
        <v>130</v>
      </c>
      <c r="F15" s="4" t="s">
        <v>71</v>
      </c>
      <c r="G15" s="3" t="s">
        <v>72</v>
      </c>
      <c r="H15" s="6">
        <v>2007</v>
      </c>
      <c r="I15" s="3" t="s">
        <v>73</v>
      </c>
      <c r="J15" s="3" t="s">
        <v>60</v>
      </c>
      <c r="K15" s="3" t="s">
        <v>41</v>
      </c>
    </row>
    <row r="16" spans="1:11">
      <c r="A16" s="1">
        <v>14</v>
      </c>
      <c r="B16" s="2">
        <v>44783</v>
      </c>
      <c r="C16" s="3" t="s">
        <v>74</v>
      </c>
      <c r="D16" s="4">
        <v>13500</v>
      </c>
      <c r="E16" s="5">
        <v>50</v>
      </c>
      <c r="F16" s="5" t="s">
        <v>75</v>
      </c>
      <c r="G16" s="3" t="s">
        <v>76</v>
      </c>
      <c r="H16" s="6">
        <v>2006</v>
      </c>
      <c r="I16" s="3" t="s">
        <v>77</v>
      </c>
      <c r="J16" s="33" t="s">
        <v>21</v>
      </c>
      <c r="K16" s="3" t="s">
        <v>41</v>
      </c>
    </row>
    <row r="17" spans="1:11">
      <c r="A17" s="1">
        <v>15</v>
      </c>
      <c r="B17" s="2">
        <v>44781</v>
      </c>
      <c r="C17" s="3" t="s">
        <v>78</v>
      </c>
      <c r="D17" s="4">
        <v>26500</v>
      </c>
      <c r="E17" s="5">
        <v>20</v>
      </c>
      <c r="F17" s="5" t="s">
        <v>79</v>
      </c>
      <c r="G17" s="3" t="s">
        <v>80</v>
      </c>
      <c r="H17" s="6">
        <v>2006</v>
      </c>
      <c r="I17" s="3" t="s">
        <v>81</v>
      </c>
      <c r="J17" s="33" t="s">
        <v>21</v>
      </c>
      <c r="K17" s="3" t="s">
        <v>82</v>
      </c>
    </row>
    <row r="18" spans="1:11">
      <c r="A18" s="1">
        <v>16</v>
      </c>
      <c r="B18" s="2">
        <v>44795</v>
      </c>
      <c r="C18" s="3" t="s">
        <v>83</v>
      </c>
      <c r="D18" s="4">
        <v>31500</v>
      </c>
      <c r="E18" s="5">
        <v>100</v>
      </c>
      <c r="F18" s="5" t="s">
        <v>84</v>
      </c>
      <c r="G18" s="3" t="s">
        <v>85</v>
      </c>
      <c r="H18" s="6">
        <v>2006</v>
      </c>
      <c r="I18" s="3" t="s">
        <v>86</v>
      </c>
      <c r="J18" s="33" t="s">
        <v>21</v>
      </c>
      <c r="K18" s="3" t="s">
        <v>32</v>
      </c>
    </row>
    <row r="19" spans="1:11">
      <c r="A19" s="1">
        <v>17</v>
      </c>
      <c r="B19" s="2">
        <v>44847</v>
      </c>
      <c r="C19" s="3" t="s">
        <v>87</v>
      </c>
      <c r="D19" s="4">
        <v>11500</v>
      </c>
      <c r="E19" s="5">
        <v>200</v>
      </c>
      <c r="F19" s="4" t="s">
        <v>88</v>
      </c>
      <c r="G19" s="3" t="s">
        <v>89</v>
      </c>
      <c r="H19" s="6">
        <v>2007</v>
      </c>
      <c r="I19" s="3" t="s">
        <v>90</v>
      </c>
      <c r="J19" s="33" t="s">
        <v>91</v>
      </c>
      <c r="K19" s="3" t="s">
        <v>26</v>
      </c>
    </row>
    <row r="20" spans="1:11">
      <c r="A20" s="1">
        <v>18</v>
      </c>
      <c r="B20" s="2">
        <v>44783</v>
      </c>
      <c r="C20" s="3" t="s">
        <v>92</v>
      </c>
      <c r="D20" s="4">
        <v>23500</v>
      </c>
      <c r="E20" s="5">
        <v>170</v>
      </c>
      <c r="F20" s="4" t="s">
        <v>93</v>
      </c>
      <c r="G20" s="3" t="s">
        <v>94</v>
      </c>
      <c r="H20" s="6">
        <v>2015</v>
      </c>
      <c r="I20" s="3" t="s">
        <v>95</v>
      </c>
      <c r="J20" s="33" t="s">
        <v>91</v>
      </c>
      <c r="K20" s="3" t="s">
        <v>97</v>
      </c>
    </row>
    <row r="21" spans="1:11">
      <c r="A21" s="1">
        <v>19</v>
      </c>
      <c r="B21" s="2">
        <v>44793</v>
      </c>
      <c r="C21" s="3" t="s">
        <v>98</v>
      </c>
      <c r="D21" s="4">
        <v>24500</v>
      </c>
      <c r="E21" s="5">
        <v>90</v>
      </c>
      <c r="F21" s="4" t="s">
        <v>99</v>
      </c>
      <c r="G21" s="3" t="s">
        <v>100</v>
      </c>
      <c r="H21" s="6">
        <v>2015</v>
      </c>
      <c r="I21" s="3" t="s">
        <v>101</v>
      </c>
      <c r="J21" s="33" t="s">
        <v>21</v>
      </c>
      <c r="K21" s="3" t="s">
        <v>97</v>
      </c>
    </row>
    <row r="22" spans="1:11">
      <c r="A22" s="1">
        <v>20</v>
      </c>
      <c r="B22" s="2">
        <v>44815</v>
      </c>
      <c r="C22" s="3" t="s">
        <v>102</v>
      </c>
      <c r="D22" s="4">
        <v>20500</v>
      </c>
      <c r="E22" s="5">
        <v>80</v>
      </c>
      <c r="F22" s="5" t="s">
        <v>103</v>
      </c>
      <c r="G22" s="3" t="s">
        <v>104</v>
      </c>
      <c r="H22" s="6">
        <v>2006</v>
      </c>
      <c r="I22" s="3" t="s">
        <v>105</v>
      </c>
      <c r="J22" s="33" t="s">
        <v>91</v>
      </c>
      <c r="K22" s="3" t="s">
        <v>106</v>
      </c>
    </row>
    <row r="23" spans="1:11">
      <c r="A23" s="1">
        <v>21</v>
      </c>
      <c r="B23" s="2">
        <v>44853</v>
      </c>
      <c r="C23" s="3" t="s">
        <v>107</v>
      </c>
      <c r="D23" s="4">
        <v>18500</v>
      </c>
      <c r="E23" s="5">
        <v>20</v>
      </c>
      <c r="F23" s="4" t="s">
        <v>108</v>
      </c>
      <c r="G23" s="3" t="s">
        <v>109</v>
      </c>
      <c r="H23" s="6">
        <v>2008</v>
      </c>
      <c r="I23" s="3" t="s">
        <v>110</v>
      </c>
      <c r="J23" s="33" t="s">
        <v>21</v>
      </c>
      <c r="K23" s="3" t="s">
        <v>97</v>
      </c>
    </row>
    <row r="24" spans="1:11">
      <c r="A24" s="1">
        <v>22</v>
      </c>
      <c r="B24" s="2">
        <v>44785</v>
      </c>
      <c r="C24" s="3" t="s">
        <v>111</v>
      </c>
      <c r="D24" s="4">
        <v>20500</v>
      </c>
      <c r="E24" s="5">
        <v>30</v>
      </c>
      <c r="F24" s="4" t="s">
        <v>112</v>
      </c>
      <c r="G24" s="3" t="s">
        <v>113</v>
      </c>
      <c r="H24" s="6">
        <v>2007</v>
      </c>
      <c r="I24" s="3" t="s">
        <v>114</v>
      </c>
      <c r="J24" s="33" t="s">
        <v>21</v>
      </c>
      <c r="K24" s="3" t="s">
        <v>97</v>
      </c>
    </row>
    <row r="25" spans="1:11">
      <c r="A25" s="1">
        <v>23</v>
      </c>
      <c r="B25" s="2">
        <v>44848</v>
      </c>
      <c r="C25" s="3" t="s">
        <v>115</v>
      </c>
      <c r="D25" s="4">
        <v>19500</v>
      </c>
      <c r="E25" s="5">
        <v>40</v>
      </c>
      <c r="F25" s="4" t="s">
        <v>116</v>
      </c>
      <c r="G25" s="3" t="s">
        <v>117</v>
      </c>
      <c r="H25" s="6">
        <v>2008</v>
      </c>
      <c r="I25" s="3" t="s">
        <v>118</v>
      </c>
      <c r="J25" s="33" t="s">
        <v>21</v>
      </c>
      <c r="K25" s="3" t="s">
        <v>26</v>
      </c>
    </row>
    <row r="26" spans="1:11">
      <c r="A26" s="1">
        <v>24</v>
      </c>
      <c r="B26" s="2">
        <v>44849</v>
      </c>
      <c r="C26" s="3" t="s">
        <v>119</v>
      </c>
      <c r="D26" s="4">
        <v>21500</v>
      </c>
      <c r="E26" s="5">
        <v>80</v>
      </c>
      <c r="F26" s="4" t="s">
        <v>120</v>
      </c>
      <c r="G26" s="3" t="s">
        <v>121</v>
      </c>
      <c r="H26" s="6">
        <v>2008</v>
      </c>
      <c r="I26" s="3" t="s">
        <v>122</v>
      </c>
      <c r="J26" s="33" t="s">
        <v>21</v>
      </c>
      <c r="K26" s="3" t="s">
        <v>106</v>
      </c>
    </row>
    <row r="27" spans="1:11">
      <c r="A27" s="1">
        <v>25</v>
      </c>
      <c r="B27" s="2">
        <v>44812</v>
      </c>
      <c r="C27" s="3" t="s">
        <v>123</v>
      </c>
      <c r="D27" s="4">
        <v>16500</v>
      </c>
      <c r="E27" s="5">
        <v>40</v>
      </c>
      <c r="F27" s="4" t="s">
        <v>124</v>
      </c>
      <c r="G27" s="3" t="s">
        <v>125</v>
      </c>
      <c r="H27" s="6">
        <v>2007</v>
      </c>
      <c r="I27" s="3" t="s">
        <v>126</v>
      </c>
      <c r="J27" s="33" t="s">
        <v>21</v>
      </c>
      <c r="K27" s="3" t="s">
        <v>106</v>
      </c>
    </row>
    <row r="28" spans="1:11">
      <c r="A28" s="1">
        <v>26</v>
      </c>
      <c r="B28" s="2">
        <v>44781</v>
      </c>
      <c r="C28" s="3" t="s">
        <v>127</v>
      </c>
      <c r="D28" s="4">
        <v>22500</v>
      </c>
      <c r="E28" s="5">
        <v>20</v>
      </c>
      <c r="F28" s="5" t="s">
        <v>128</v>
      </c>
      <c r="G28" s="3" t="s">
        <v>129</v>
      </c>
      <c r="H28" s="6">
        <v>2006</v>
      </c>
      <c r="I28" s="3" t="s">
        <v>130</v>
      </c>
      <c r="J28" s="33" t="s">
        <v>131</v>
      </c>
      <c r="K28" s="3" t="s">
        <v>41</v>
      </c>
    </row>
    <row r="29" spans="1:11">
      <c r="A29" s="1">
        <v>27</v>
      </c>
      <c r="B29" s="2">
        <v>44785</v>
      </c>
      <c r="C29" s="3" t="s">
        <v>132</v>
      </c>
      <c r="D29" s="4">
        <v>16500</v>
      </c>
      <c r="E29" s="5">
        <v>30</v>
      </c>
      <c r="F29" s="4" t="s">
        <v>133</v>
      </c>
      <c r="G29" s="3" t="s">
        <v>134</v>
      </c>
      <c r="H29" s="6">
        <v>2015</v>
      </c>
      <c r="I29" s="3" t="s">
        <v>135</v>
      </c>
      <c r="J29" s="33" t="s">
        <v>21</v>
      </c>
      <c r="K29" s="3" t="s">
        <v>41</v>
      </c>
    </row>
    <row r="30" spans="1:11">
      <c r="A30" s="1">
        <v>28</v>
      </c>
      <c r="B30" s="2">
        <v>44848</v>
      </c>
      <c r="C30" s="3" t="s">
        <v>136</v>
      </c>
      <c r="D30" s="4">
        <v>31500</v>
      </c>
      <c r="E30" s="5">
        <v>50</v>
      </c>
      <c r="F30" s="4" t="s">
        <v>137</v>
      </c>
      <c r="G30" s="3" t="s">
        <v>138</v>
      </c>
      <c r="H30" s="6">
        <v>2008</v>
      </c>
      <c r="I30" s="3" t="s">
        <v>139</v>
      </c>
      <c r="J30" s="33" t="s">
        <v>21</v>
      </c>
      <c r="K30" s="3" t="s">
        <v>106</v>
      </c>
    </row>
    <row r="31" spans="1:11">
      <c r="A31" s="1">
        <v>29</v>
      </c>
      <c r="B31" s="2">
        <v>44849</v>
      </c>
      <c r="C31" s="3" t="s">
        <v>140</v>
      </c>
      <c r="D31" s="4">
        <v>30500</v>
      </c>
      <c r="E31" s="5">
        <v>30</v>
      </c>
      <c r="F31" s="4" t="s">
        <v>141</v>
      </c>
      <c r="G31" s="3" t="s">
        <v>142</v>
      </c>
      <c r="H31" s="6">
        <v>2008</v>
      </c>
      <c r="I31" s="3" t="s">
        <v>143</v>
      </c>
      <c r="J31" s="33" t="s">
        <v>21</v>
      </c>
      <c r="K31" s="3" t="s">
        <v>106</v>
      </c>
    </row>
    <row r="32" spans="1:11">
      <c r="A32" s="1">
        <v>30</v>
      </c>
      <c r="B32" s="2">
        <v>44781</v>
      </c>
      <c r="C32" s="3" t="s">
        <v>144</v>
      </c>
      <c r="D32" s="4">
        <v>29500</v>
      </c>
      <c r="E32" s="5">
        <v>90</v>
      </c>
      <c r="F32" s="5" t="s">
        <v>145</v>
      </c>
      <c r="G32" s="3" t="s">
        <v>146</v>
      </c>
      <c r="H32" s="6">
        <v>2006</v>
      </c>
      <c r="I32" s="3" t="s">
        <v>147</v>
      </c>
      <c r="J32" s="33" t="s">
        <v>21</v>
      </c>
      <c r="K32" s="3" t="s">
        <v>41</v>
      </c>
    </row>
    <row r="33" spans="1:11">
      <c r="A33" s="1">
        <v>31</v>
      </c>
      <c r="B33" s="2">
        <v>44783</v>
      </c>
      <c r="C33" s="3" t="s">
        <v>148</v>
      </c>
      <c r="D33" s="4">
        <v>31500</v>
      </c>
      <c r="E33" s="5">
        <v>120</v>
      </c>
      <c r="F33" s="5" t="s">
        <v>149</v>
      </c>
      <c r="G33" s="3" t="s">
        <v>150</v>
      </c>
      <c r="H33" s="6">
        <v>2006</v>
      </c>
      <c r="I33" s="3" t="s">
        <v>151</v>
      </c>
      <c r="J33" s="33" t="s">
        <v>21</v>
      </c>
      <c r="K33" s="3" t="s">
        <v>32</v>
      </c>
    </row>
  </sheetData>
  <phoneticPr fontId="1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&amp;C&amp;P/&amp;N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42"/>
  <sheetViews>
    <sheetView workbookViewId="0"/>
  </sheetViews>
  <sheetFormatPr defaultRowHeight="17"/>
  <cols>
    <col min="2" max="2" width="13.1640625" customWidth="1"/>
    <col min="3" max="3" width="12.33203125" bestFit="1" customWidth="1"/>
    <col min="4" max="4" width="11.83203125" customWidth="1"/>
    <col min="5" max="5" width="12.25" customWidth="1"/>
    <col min="6" max="6" width="12.33203125" customWidth="1"/>
    <col min="8" max="8" width="11.9140625" customWidth="1"/>
    <col min="9" max="9" width="10.58203125" bestFit="1" customWidth="1"/>
  </cols>
  <sheetData>
    <row r="1" spans="1:9">
      <c r="A1" s="9" t="s">
        <v>152</v>
      </c>
      <c r="B1" s="10"/>
      <c r="C1" s="10"/>
      <c r="D1" s="10"/>
      <c r="E1" s="10"/>
      <c r="F1" s="10"/>
      <c r="G1" s="10"/>
      <c r="H1" s="10"/>
      <c r="I1" s="10"/>
    </row>
    <row r="2" spans="1:9">
      <c r="A2" s="7" t="s">
        <v>153</v>
      </c>
      <c r="B2" s="7" t="s">
        <v>154</v>
      </c>
      <c r="C2" s="25" t="s">
        <v>155</v>
      </c>
      <c r="D2" s="7" t="s">
        <v>156</v>
      </c>
      <c r="E2" s="7" t="s">
        <v>157</v>
      </c>
      <c r="F2" s="7" t="s">
        <v>158</v>
      </c>
      <c r="G2" s="7" t="s">
        <v>159</v>
      </c>
      <c r="H2" s="11" t="s">
        <v>160</v>
      </c>
      <c r="I2" s="25" t="s">
        <v>161</v>
      </c>
    </row>
    <row r="3" spans="1:9">
      <c r="A3" s="3" t="s">
        <v>46</v>
      </c>
      <c r="B3" s="7" t="s">
        <v>162</v>
      </c>
      <c r="C3" s="7" t="str">
        <f>INDEX($B$38:$F$41,MATCH(LEFT(B3,1),$A$38:$A$41,0),RIGHT(B3,1))</f>
        <v>HTML</v>
      </c>
      <c r="D3" s="12" t="s">
        <v>37</v>
      </c>
      <c r="E3" s="13">
        <v>44853</v>
      </c>
      <c r="F3" s="14">
        <v>40</v>
      </c>
      <c r="G3" s="15">
        <v>24500</v>
      </c>
      <c r="H3" s="15">
        <f t="shared" ref="H3:H31" si="0">F3*G3</f>
        <v>980000</v>
      </c>
      <c r="I3" s="15">
        <f>f할인액(B3,H3)</f>
        <v>196000</v>
      </c>
    </row>
    <row r="4" spans="1:9">
      <c r="A4" s="3" t="s">
        <v>32</v>
      </c>
      <c r="B4" s="7" t="s">
        <v>163</v>
      </c>
      <c r="C4" s="30" t="str">
        <f t="shared" ref="C4:C31" si="1">INDEX($B$38:$F$41,MATCH(LEFT(B4,1),$A$38:$A$41,0),RIGHT(B4,1))</f>
        <v>엑세스2010</v>
      </c>
      <c r="D4" s="12" t="s">
        <v>78</v>
      </c>
      <c r="E4" s="13">
        <v>44781</v>
      </c>
      <c r="F4" s="14">
        <v>20</v>
      </c>
      <c r="G4" s="15">
        <v>16500</v>
      </c>
      <c r="H4" s="15">
        <f t="shared" si="0"/>
        <v>330000</v>
      </c>
      <c r="I4" s="15">
        <f t="shared" ref="I4:I31" si="2">f할인액(B4,H4)</f>
        <v>66000</v>
      </c>
    </row>
    <row r="5" spans="1:9">
      <c r="A5" s="3" t="s">
        <v>41</v>
      </c>
      <c r="B5" s="7" t="s">
        <v>164</v>
      </c>
      <c r="C5" s="30" t="str">
        <f t="shared" si="1"/>
        <v>초보자C</v>
      </c>
      <c r="D5" s="12" t="s">
        <v>42</v>
      </c>
      <c r="E5" s="13">
        <v>44793</v>
      </c>
      <c r="F5" s="14">
        <v>100</v>
      </c>
      <c r="G5" s="15">
        <v>20500</v>
      </c>
      <c r="H5" s="15">
        <f t="shared" si="0"/>
        <v>2050000</v>
      </c>
      <c r="I5" s="15">
        <f t="shared" si="2"/>
        <v>615000</v>
      </c>
    </row>
    <row r="6" spans="1:9">
      <c r="A6" s="3" t="s">
        <v>32</v>
      </c>
      <c r="B6" s="7" t="s">
        <v>165</v>
      </c>
      <c r="C6" s="30" t="str">
        <f t="shared" si="1"/>
        <v>엑셀2010</v>
      </c>
      <c r="D6" s="12" t="s">
        <v>166</v>
      </c>
      <c r="E6" s="13">
        <v>44795</v>
      </c>
      <c r="F6" s="14">
        <v>100</v>
      </c>
      <c r="G6" s="15">
        <v>21500</v>
      </c>
      <c r="H6" s="15">
        <f t="shared" si="0"/>
        <v>2150000</v>
      </c>
      <c r="I6" s="15">
        <f t="shared" si="2"/>
        <v>645000</v>
      </c>
    </row>
    <row r="7" spans="1:9">
      <c r="A7" s="3" t="s">
        <v>106</v>
      </c>
      <c r="B7" s="7" t="s">
        <v>167</v>
      </c>
      <c r="C7" s="30" t="str">
        <f t="shared" si="1"/>
        <v>멀티미디어</v>
      </c>
      <c r="D7" s="12" t="s">
        <v>144</v>
      </c>
      <c r="E7" s="13">
        <v>44781</v>
      </c>
      <c r="F7" s="14">
        <v>90</v>
      </c>
      <c r="G7" s="15">
        <v>19500</v>
      </c>
      <c r="H7" s="15">
        <f t="shared" si="0"/>
        <v>1755000</v>
      </c>
      <c r="I7" s="15">
        <f t="shared" si="2"/>
        <v>351000</v>
      </c>
    </row>
    <row r="8" spans="1:9">
      <c r="A8" s="3" t="s">
        <v>41</v>
      </c>
      <c r="B8" s="7" t="s">
        <v>168</v>
      </c>
      <c r="C8" s="30" t="str">
        <f t="shared" si="1"/>
        <v>드림위버</v>
      </c>
      <c r="D8" s="12" t="s">
        <v>52</v>
      </c>
      <c r="E8" s="13">
        <v>44794</v>
      </c>
      <c r="F8" s="14">
        <v>20</v>
      </c>
      <c r="G8" s="15">
        <v>20500</v>
      </c>
      <c r="H8" s="15">
        <f t="shared" si="0"/>
        <v>410000</v>
      </c>
      <c r="I8" s="15">
        <f t="shared" si="2"/>
        <v>82000</v>
      </c>
    </row>
    <row r="9" spans="1:9">
      <c r="A9" s="3" t="s">
        <v>32</v>
      </c>
      <c r="B9" s="7" t="s">
        <v>167</v>
      </c>
      <c r="C9" s="30" t="str">
        <f t="shared" si="1"/>
        <v>멀티미디어</v>
      </c>
      <c r="D9" s="12" t="s">
        <v>102</v>
      </c>
      <c r="E9" s="13">
        <v>44815</v>
      </c>
      <c r="F9" s="14">
        <v>80</v>
      </c>
      <c r="G9" s="15">
        <v>20500</v>
      </c>
      <c r="H9" s="15">
        <f t="shared" si="0"/>
        <v>1640000</v>
      </c>
      <c r="I9" s="15">
        <f t="shared" si="2"/>
        <v>328000</v>
      </c>
    </row>
    <row r="10" spans="1:9">
      <c r="A10" s="3" t="s">
        <v>41</v>
      </c>
      <c r="B10" s="7" t="s">
        <v>169</v>
      </c>
      <c r="C10" s="30" t="str">
        <f t="shared" si="1"/>
        <v>전산회계</v>
      </c>
      <c r="D10" s="12" t="s">
        <v>74</v>
      </c>
      <c r="E10" s="13">
        <v>44783</v>
      </c>
      <c r="F10" s="14">
        <v>50</v>
      </c>
      <c r="G10" s="15">
        <v>13500</v>
      </c>
      <c r="H10" s="15">
        <f t="shared" si="0"/>
        <v>675000</v>
      </c>
      <c r="I10" s="15">
        <f t="shared" si="2"/>
        <v>135000</v>
      </c>
    </row>
    <row r="11" spans="1:9">
      <c r="A11" s="3" t="s">
        <v>46</v>
      </c>
      <c r="B11" s="7" t="s">
        <v>170</v>
      </c>
      <c r="C11" s="30" t="str">
        <f t="shared" si="1"/>
        <v>지도기법</v>
      </c>
      <c r="D11" s="12" t="s">
        <v>148</v>
      </c>
      <c r="E11" s="13">
        <v>44783</v>
      </c>
      <c r="F11" s="14">
        <v>120</v>
      </c>
      <c r="G11" s="15">
        <v>21500</v>
      </c>
      <c r="H11" s="15">
        <f t="shared" si="0"/>
        <v>2580000</v>
      </c>
      <c r="I11" s="15">
        <f t="shared" si="2"/>
        <v>516000</v>
      </c>
    </row>
    <row r="12" spans="1:9">
      <c r="A12" s="3" t="s">
        <v>97</v>
      </c>
      <c r="B12" s="7" t="s">
        <v>171</v>
      </c>
      <c r="C12" s="30" t="str">
        <f t="shared" si="1"/>
        <v>플래쉬</v>
      </c>
      <c r="D12" s="12" t="s">
        <v>172</v>
      </c>
      <c r="E12" s="13">
        <v>44781</v>
      </c>
      <c r="F12" s="14">
        <v>20</v>
      </c>
      <c r="G12" s="15">
        <v>22500</v>
      </c>
      <c r="H12" s="15">
        <f t="shared" si="0"/>
        <v>450000</v>
      </c>
      <c r="I12" s="15">
        <f t="shared" si="2"/>
        <v>90000</v>
      </c>
    </row>
    <row r="13" spans="1:9">
      <c r="A13" s="3" t="s">
        <v>41</v>
      </c>
      <c r="B13" s="7" t="s">
        <v>168</v>
      </c>
      <c r="C13" s="30" t="str">
        <f t="shared" si="1"/>
        <v>드림위버</v>
      </c>
      <c r="D13" s="12" t="s">
        <v>61</v>
      </c>
      <c r="E13" s="13">
        <v>44849</v>
      </c>
      <c r="F13" s="14">
        <v>90</v>
      </c>
      <c r="G13" s="15">
        <v>21500</v>
      </c>
      <c r="H13" s="15">
        <f t="shared" si="0"/>
        <v>1935000</v>
      </c>
      <c r="I13" s="15">
        <f t="shared" si="2"/>
        <v>387000</v>
      </c>
    </row>
    <row r="14" spans="1:9">
      <c r="A14" s="3" t="s">
        <v>97</v>
      </c>
      <c r="B14" s="7" t="s">
        <v>173</v>
      </c>
      <c r="C14" s="30" t="str">
        <f t="shared" si="1"/>
        <v>마케팅</v>
      </c>
      <c r="D14" s="12" t="s">
        <v>111</v>
      </c>
      <c r="E14" s="13">
        <v>44785</v>
      </c>
      <c r="F14" s="14">
        <v>30</v>
      </c>
      <c r="G14" s="15">
        <v>20500</v>
      </c>
      <c r="H14" s="15">
        <f t="shared" si="0"/>
        <v>615000</v>
      </c>
      <c r="I14" s="15">
        <f t="shared" si="2"/>
        <v>123000</v>
      </c>
    </row>
    <row r="15" spans="1:9">
      <c r="A15" s="3" t="s">
        <v>26</v>
      </c>
      <c r="B15" s="7" t="s">
        <v>173</v>
      </c>
      <c r="C15" s="30" t="str">
        <f t="shared" si="1"/>
        <v>마케팅</v>
      </c>
      <c r="D15" s="12" t="s">
        <v>132</v>
      </c>
      <c r="E15" s="13">
        <v>44785</v>
      </c>
      <c r="F15" s="14">
        <v>30</v>
      </c>
      <c r="G15" s="15">
        <v>16500</v>
      </c>
      <c r="H15" s="15">
        <f t="shared" si="0"/>
        <v>495000</v>
      </c>
      <c r="I15" s="15">
        <f t="shared" si="2"/>
        <v>99000</v>
      </c>
    </row>
    <row r="16" spans="1:9">
      <c r="A16" s="3" t="s">
        <v>26</v>
      </c>
      <c r="B16" s="7" t="s">
        <v>174</v>
      </c>
      <c r="C16" s="30" t="str">
        <f t="shared" si="1"/>
        <v>쇼핑몰</v>
      </c>
      <c r="D16" s="12" t="s">
        <v>92</v>
      </c>
      <c r="E16" s="13">
        <v>44783</v>
      </c>
      <c r="F16" s="14">
        <v>170</v>
      </c>
      <c r="G16" s="15">
        <v>23500</v>
      </c>
      <c r="H16" s="15">
        <f t="shared" si="0"/>
        <v>3995000</v>
      </c>
      <c r="I16" s="15">
        <f t="shared" si="2"/>
        <v>1198500</v>
      </c>
    </row>
    <row r="17" spans="1:9">
      <c r="A17" s="3" t="s">
        <v>16</v>
      </c>
      <c r="B17" s="7" t="s">
        <v>175</v>
      </c>
      <c r="C17" s="30" t="str">
        <f t="shared" si="1"/>
        <v>일러스트cs</v>
      </c>
      <c r="D17" s="12" t="s">
        <v>56</v>
      </c>
      <c r="E17" s="13">
        <v>44848</v>
      </c>
      <c r="F17" s="14">
        <v>50</v>
      </c>
      <c r="G17" s="15">
        <v>19500</v>
      </c>
      <c r="H17" s="15">
        <f t="shared" si="0"/>
        <v>975000</v>
      </c>
      <c r="I17" s="15">
        <f t="shared" si="2"/>
        <v>195000</v>
      </c>
    </row>
    <row r="18" spans="1:9">
      <c r="A18" s="3" t="s">
        <v>46</v>
      </c>
      <c r="B18" s="7" t="s">
        <v>176</v>
      </c>
      <c r="C18" s="30" t="str">
        <f t="shared" si="1"/>
        <v>포토샵</v>
      </c>
      <c r="D18" s="12" t="s">
        <v>22</v>
      </c>
      <c r="E18" s="13">
        <v>44795</v>
      </c>
      <c r="F18" s="14">
        <v>120</v>
      </c>
      <c r="G18" s="15">
        <v>21500</v>
      </c>
      <c r="H18" s="15">
        <f t="shared" si="0"/>
        <v>2580000</v>
      </c>
      <c r="I18" s="15">
        <f t="shared" si="2"/>
        <v>774000</v>
      </c>
    </row>
    <row r="19" spans="1:9">
      <c r="A19" s="3" t="s">
        <v>32</v>
      </c>
      <c r="B19" s="7" t="s">
        <v>177</v>
      </c>
      <c r="C19" s="30" t="str">
        <f t="shared" si="1"/>
        <v>디지털논리</v>
      </c>
      <c r="D19" s="12" t="s">
        <v>11</v>
      </c>
      <c r="E19" s="13">
        <v>44783</v>
      </c>
      <c r="F19" s="14">
        <v>100</v>
      </c>
      <c r="G19" s="15">
        <v>13500</v>
      </c>
      <c r="H19" s="15">
        <f t="shared" si="0"/>
        <v>1350000</v>
      </c>
      <c r="I19" s="15">
        <f t="shared" si="2"/>
        <v>270000</v>
      </c>
    </row>
    <row r="20" spans="1:9">
      <c r="A20" s="3" t="s">
        <v>41</v>
      </c>
      <c r="B20" s="7" t="s">
        <v>178</v>
      </c>
      <c r="C20" s="30" t="str">
        <f t="shared" si="1"/>
        <v>액세스2010</v>
      </c>
      <c r="D20" s="12" t="s">
        <v>65</v>
      </c>
      <c r="E20" s="13">
        <v>44812</v>
      </c>
      <c r="F20" s="14">
        <v>10</v>
      </c>
      <c r="G20" s="15">
        <v>16500</v>
      </c>
      <c r="H20" s="15">
        <f t="shared" si="0"/>
        <v>165000</v>
      </c>
      <c r="I20" s="15">
        <f t="shared" si="2"/>
        <v>33000</v>
      </c>
    </row>
    <row r="21" spans="1:9">
      <c r="A21" s="3" t="s">
        <v>106</v>
      </c>
      <c r="B21" s="7" t="s">
        <v>167</v>
      </c>
      <c r="C21" s="30" t="str">
        <f t="shared" si="1"/>
        <v>멀티미디어</v>
      </c>
      <c r="D21" s="12" t="s">
        <v>33</v>
      </c>
      <c r="E21" s="13">
        <v>44783</v>
      </c>
      <c r="F21" s="14">
        <v>120</v>
      </c>
      <c r="G21" s="15">
        <v>23500</v>
      </c>
      <c r="H21" s="15">
        <f t="shared" si="0"/>
        <v>2820000</v>
      </c>
      <c r="I21" s="15">
        <f t="shared" si="2"/>
        <v>564000</v>
      </c>
    </row>
    <row r="22" spans="1:9">
      <c r="A22" s="3" t="s">
        <v>46</v>
      </c>
      <c r="B22" s="7" t="s">
        <v>168</v>
      </c>
      <c r="C22" s="30" t="str">
        <f t="shared" si="1"/>
        <v>드림위버</v>
      </c>
      <c r="D22" s="12" t="s">
        <v>70</v>
      </c>
      <c r="E22" s="13">
        <v>44813</v>
      </c>
      <c r="F22" s="14">
        <v>130</v>
      </c>
      <c r="G22" s="15">
        <v>22500</v>
      </c>
      <c r="H22" s="15">
        <f t="shared" si="0"/>
        <v>2925000</v>
      </c>
      <c r="I22" s="15">
        <f t="shared" si="2"/>
        <v>585000</v>
      </c>
    </row>
    <row r="23" spans="1:9">
      <c r="A23" s="3" t="s">
        <v>26</v>
      </c>
      <c r="B23" s="7" t="s">
        <v>167</v>
      </c>
      <c r="C23" s="30" t="str">
        <f t="shared" si="1"/>
        <v>멀티미디어</v>
      </c>
      <c r="D23" s="12" t="s">
        <v>123</v>
      </c>
      <c r="E23" s="13">
        <v>44812</v>
      </c>
      <c r="F23" s="14">
        <v>40</v>
      </c>
      <c r="G23" s="15">
        <v>16500</v>
      </c>
      <c r="H23" s="15">
        <f t="shared" si="0"/>
        <v>660000</v>
      </c>
      <c r="I23" s="15">
        <f t="shared" si="2"/>
        <v>132000</v>
      </c>
    </row>
    <row r="24" spans="1:9">
      <c r="A24" s="3" t="s">
        <v>97</v>
      </c>
      <c r="B24" s="7" t="s">
        <v>169</v>
      </c>
      <c r="C24" s="30" t="str">
        <f t="shared" si="1"/>
        <v>전산회계</v>
      </c>
      <c r="D24" s="12" t="s">
        <v>47</v>
      </c>
      <c r="E24" s="13">
        <v>44815</v>
      </c>
      <c r="F24" s="14">
        <v>120</v>
      </c>
      <c r="G24" s="15">
        <v>18500</v>
      </c>
      <c r="H24" s="15">
        <f t="shared" si="0"/>
        <v>2220000</v>
      </c>
      <c r="I24" s="15">
        <f t="shared" si="2"/>
        <v>444000</v>
      </c>
    </row>
    <row r="25" spans="1:9">
      <c r="A25" s="3" t="s">
        <v>32</v>
      </c>
      <c r="B25" s="7" t="s">
        <v>170</v>
      </c>
      <c r="C25" s="30" t="str">
        <f t="shared" si="1"/>
        <v>지도기법</v>
      </c>
      <c r="D25" s="12" t="s">
        <v>87</v>
      </c>
      <c r="E25" s="13">
        <v>44847</v>
      </c>
      <c r="F25" s="14">
        <v>200</v>
      </c>
      <c r="G25" s="15">
        <v>11500</v>
      </c>
      <c r="H25" s="15">
        <f t="shared" si="0"/>
        <v>2300000</v>
      </c>
      <c r="I25" s="15">
        <f t="shared" si="2"/>
        <v>460000</v>
      </c>
    </row>
    <row r="26" spans="1:9">
      <c r="A26" s="3" t="s">
        <v>26</v>
      </c>
      <c r="B26" s="7" t="s">
        <v>179</v>
      </c>
      <c r="C26" s="30" t="str">
        <f t="shared" si="1"/>
        <v>비주얼베이직</v>
      </c>
      <c r="D26" s="12" t="s">
        <v>98</v>
      </c>
      <c r="E26" s="13">
        <v>44793</v>
      </c>
      <c r="F26" s="14">
        <v>90</v>
      </c>
      <c r="G26" s="15">
        <v>24500</v>
      </c>
      <c r="H26" s="15">
        <f t="shared" si="0"/>
        <v>2205000</v>
      </c>
      <c r="I26" s="15">
        <f t="shared" si="2"/>
        <v>661500</v>
      </c>
    </row>
    <row r="27" spans="1:9">
      <c r="A27" s="3" t="s">
        <v>106</v>
      </c>
      <c r="B27" s="7" t="s">
        <v>169</v>
      </c>
      <c r="C27" s="30" t="str">
        <f t="shared" si="1"/>
        <v>전산회계</v>
      </c>
      <c r="D27" s="12" t="s">
        <v>27</v>
      </c>
      <c r="E27" s="13">
        <v>44847</v>
      </c>
      <c r="F27" s="14">
        <v>150</v>
      </c>
      <c r="G27" s="15">
        <v>11500</v>
      </c>
      <c r="H27" s="15">
        <f t="shared" si="0"/>
        <v>1725000</v>
      </c>
      <c r="I27" s="15">
        <f t="shared" si="2"/>
        <v>345000</v>
      </c>
    </row>
    <row r="28" spans="1:9">
      <c r="A28" s="3" t="s">
        <v>41</v>
      </c>
      <c r="B28" s="11" t="s">
        <v>168</v>
      </c>
      <c r="C28" s="30" t="str">
        <f t="shared" si="1"/>
        <v>드림위버</v>
      </c>
      <c r="D28" s="12" t="s">
        <v>115</v>
      </c>
      <c r="E28" s="13">
        <v>44848</v>
      </c>
      <c r="F28" s="14">
        <v>40</v>
      </c>
      <c r="G28" s="15">
        <v>19500</v>
      </c>
      <c r="H28" s="15">
        <f t="shared" si="0"/>
        <v>780000</v>
      </c>
      <c r="I28" s="15">
        <f t="shared" si="2"/>
        <v>156000</v>
      </c>
    </row>
    <row r="29" spans="1:9">
      <c r="A29" s="3" t="s">
        <v>82</v>
      </c>
      <c r="B29" s="11" t="s">
        <v>173</v>
      </c>
      <c r="C29" s="30" t="str">
        <f t="shared" si="1"/>
        <v>마케팅</v>
      </c>
      <c r="D29" s="12" t="s">
        <v>140</v>
      </c>
      <c r="E29" s="13">
        <v>44849</v>
      </c>
      <c r="F29" s="14">
        <v>30</v>
      </c>
      <c r="G29" s="15">
        <v>20500</v>
      </c>
      <c r="H29" s="15">
        <f t="shared" si="0"/>
        <v>615000</v>
      </c>
      <c r="I29" s="15">
        <f t="shared" si="2"/>
        <v>123000</v>
      </c>
    </row>
    <row r="30" spans="1:9">
      <c r="A30" s="3" t="s">
        <v>16</v>
      </c>
      <c r="B30" s="11" t="s">
        <v>171</v>
      </c>
      <c r="C30" s="30" t="str">
        <f t="shared" si="1"/>
        <v>플래쉬</v>
      </c>
      <c r="D30" s="12" t="s">
        <v>17</v>
      </c>
      <c r="E30" s="13">
        <v>44805</v>
      </c>
      <c r="F30" s="14">
        <v>70</v>
      </c>
      <c r="G30" s="15">
        <v>16500</v>
      </c>
      <c r="H30" s="15">
        <f t="shared" si="0"/>
        <v>1155000</v>
      </c>
      <c r="I30" s="15">
        <f t="shared" si="2"/>
        <v>231000</v>
      </c>
    </row>
    <row r="31" spans="1:9">
      <c r="A31" s="3" t="s">
        <v>106</v>
      </c>
      <c r="B31" s="7" t="s">
        <v>175</v>
      </c>
      <c r="C31" s="30" t="str">
        <f t="shared" si="1"/>
        <v>일러스트cs</v>
      </c>
      <c r="D31" s="12" t="s">
        <v>180</v>
      </c>
      <c r="E31" s="13">
        <v>44848</v>
      </c>
      <c r="F31" s="14">
        <v>50</v>
      </c>
      <c r="G31" s="15">
        <v>21500</v>
      </c>
      <c r="H31" s="15">
        <f t="shared" si="0"/>
        <v>1075000</v>
      </c>
      <c r="I31" s="15">
        <f t="shared" si="2"/>
        <v>215000</v>
      </c>
    </row>
    <row r="32" spans="1:9">
      <c r="A32" s="9"/>
      <c r="B32" s="10"/>
      <c r="C32" s="10"/>
      <c r="D32" s="16"/>
      <c r="E32" s="17"/>
      <c r="F32" s="18"/>
      <c r="G32" s="10"/>
      <c r="H32" s="10"/>
      <c r="I32" s="10"/>
    </row>
    <row r="33" spans="1:9">
      <c r="A33" s="19" t="s">
        <v>181</v>
      </c>
      <c r="B33" s="10"/>
      <c r="C33" s="10" t="s">
        <v>182</v>
      </c>
      <c r="D33" s="20"/>
      <c r="E33" s="21"/>
      <c r="F33" s="22"/>
      <c r="G33" s="10"/>
      <c r="H33" s="10" t="s">
        <v>183</v>
      </c>
      <c r="I33" s="10"/>
    </row>
    <row r="34" spans="1:9">
      <c r="A34" s="25" t="s">
        <v>184</v>
      </c>
      <c r="B34" s="10"/>
      <c r="C34" s="39" t="s">
        <v>185</v>
      </c>
      <c r="D34" s="39"/>
      <c r="E34" s="39"/>
      <c r="F34" s="10"/>
      <c r="G34" s="10"/>
      <c r="H34" s="11" t="s">
        <v>186</v>
      </c>
      <c r="I34" s="25" t="s">
        <v>160</v>
      </c>
    </row>
    <row r="35" spans="1:9">
      <c r="A35" s="23">
        <f t="array" ref="A35">SUM(($A$3:$A$31=$A$34)*($G$3:$G$31&lt;20000)*$H$3:$H$31)</f>
        <v>1620000</v>
      </c>
      <c r="B35" s="10"/>
      <c r="C35" s="40" t="str">
        <f>INDEX(D3:D31,MATCH(MAX(F3:F31),F3:F31,0))</f>
        <v>명지대</v>
      </c>
      <c r="D35" s="40"/>
      <c r="E35" s="40"/>
      <c r="F35" s="10"/>
      <c r="G35" s="10"/>
      <c r="H35" s="24">
        <v>8</v>
      </c>
      <c r="I35" s="24">
        <f t="array" ref="I35">SUM(IF(MONTH($E$3:$E$31)=$H35,$H$3:$H$31))</f>
        <v>24460000</v>
      </c>
    </row>
    <row r="36" spans="1:9">
      <c r="A36" s="9"/>
      <c r="B36" s="10"/>
      <c r="C36" s="10"/>
      <c r="D36" s="10"/>
      <c r="E36" s="10"/>
      <c r="F36" s="10"/>
      <c r="G36" s="10"/>
      <c r="H36" s="24">
        <v>9</v>
      </c>
      <c r="I36" s="24">
        <f t="array" ref="I36">SUM(IF(MONTH($E$3:$E$31)=$H36,$H$3:$H$31))</f>
        <v>8765000</v>
      </c>
    </row>
    <row r="37" spans="1:9">
      <c r="A37" s="9" t="s">
        <v>187</v>
      </c>
      <c r="B37" s="10"/>
      <c r="C37" s="10"/>
      <c r="D37" s="10"/>
      <c r="E37" s="10"/>
      <c r="F37" s="10"/>
      <c r="G37" s="10"/>
      <c r="H37" s="24">
        <v>10</v>
      </c>
      <c r="I37" s="24">
        <f t="array" ref="I37">SUM(IF(MONTH($E$3:$E$31)=$H37,$H$3:$H$31))</f>
        <v>10385000</v>
      </c>
    </row>
    <row r="38" spans="1:9">
      <c r="A38" s="7" t="s">
        <v>188</v>
      </c>
      <c r="B38" s="12" t="s">
        <v>189</v>
      </c>
      <c r="C38" s="12" t="s">
        <v>190</v>
      </c>
      <c r="D38" s="12" t="s">
        <v>191</v>
      </c>
      <c r="E38" s="12" t="s">
        <v>192</v>
      </c>
      <c r="F38" s="12" t="s">
        <v>193</v>
      </c>
      <c r="G38" s="10"/>
      <c r="H38" s="10"/>
      <c r="I38" s="10"/>
    </row>
    <row r="39" spans="1:9">
      <c r="A39" s="7" t="s">
        <v>194</v>
      </c>
      <c r="B39" s="12" t="s">
        <v>195</v>
      </c>
      <c r="C39" s="12" t="s">
        <v>54</v>
      </c>
      <c r="D39" s="12" t="s">
        <v>196</v>
      </c>
      <c r="E39" s="12" t="s">
        <v>197</v>
      </c>
      <c r="F39" s="12" t="s">
        <v>67</v>
      </c>
      <c r="G39" s="10"/>
      <c r="H39" s="10"/>
      <c r="I39" s="10"/>
    </row>
    <row r="40" spans="1:9">
      <c r="A40" s="7" t="s">
        <v>198</v>
      </c>
      <c r="B40" s="12" t="s">
        <v>199</v>
      </c>
      <c r="C40" s="12" t="s">
        <v>200</v>
      </c>
      <c r="D40" s="12" t="s">
        <v>201</v>
      </c>
      <c r="E40" s="12" t="s">
        <v>202</v>
      </c>
      <c r="F40" s="12" t="s">
        <v>203</v>
      </c>
      <c r="G40" s="10"/>
      <c r="H40" s="10"/>
      <c r="I40" s="10"/>
    </row>
    <row r="41" spans="1:9">
      <c r="A41" s="7" t="s">
        <v>204</v>
      </c>
      <c r="B41" s="12" t="s">
        <v>205</v>
      </c>
      <c r="C41" s="12" t="s">
        <v>206</v>
      </c>
      <c r="D41" s="12" t="s">
        <v>207</v>
      </c>
      <c r="E41" s="12" t="s">
        <v>208</v>
      </c>
      <c r="F41" s="24" t="s">
        <v>209</v>
      </c>
      <c r="G41" s="10"/>
      <c r="H41" s="10"/>
      <c r="I41" s="10"/>
    </row>
    <row r="42" spans="1:9">
      <c r="A42" s="9"/>
      <c r="B42" s="10"/>
      <c r="C42" s="10"/>
      <c r="D42" s="10"/>
      <c r="E42" s="10"/>
      <c r="F42" s="10"/>
      <c r="G42" s="10"/>
      <c r="H42" s="10"/>
      <c r="I42" s="10"/>
    </row>
  </sheetData>
  <mergeCells count="2">
    <mergeCell ref="C34:E34"/>
    <mergeCell ref="C35:E35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E9"/>
  <sheetViews>
    <sheetView workbookViewId="0"/>
  </sheetViews>
  <sheetFormatPr defaultRowHeight="17"/>
  <cols>
    <col min="2" max="2" width="8.9140625" customWidth="1"/>
    <col min="3" max="3" width="14.5" customWidth="1"/>
    <col min="4" max="4" width="14.5" bestFit="1" customWidth="1"/>
    <col min="5" max="5" width="14.6640625" bestFit="1" customWidth="1"/>
  </cols>
  <sheetData>
    <row r="1" spans="2:5">
      <c r="B1" s="31" t="s">
        <v>10</v>
      </c>
      <c r="C1" t="s">
        <v>240</v>
      </c>
    </row>
    <row r="3" spans="2:5">
      <c r="B3" s="31" t="s">
        <v>9</v>
      </c>
      <c r="C3" t="s">
        <v>241</v>
      </c>
      <c r="D3" t="s">
        <v>242</v>
      </c>
      <c r="E3" t="s">
        <v>243</v>
      </c>
    </row>
    <row r="4" spans="2:5">
      <c r="B4" t="s">
        <v>211</v>
      </c>
      <c r="C4" s="32">
        <v>820</v>
      </c>
      <c r="D4" s="32">
        <v>170000</v>
      </c>
      <c r="E4" s="32">
        <v>139400000</v>
      </c>
    </row>
    <row r="5" spans="2:5">
      <c r="B5" t="s">
        <v>210</v>
      </c>
      <c r="C5" s="32">
        <v>590</v>
      </c>
      <c r="D5" s="32">
        <v>119000</v>
      </c>
      <c r="E5" s="32">
        <v>70210000</v>
      </c>
    </row>
    <row r="6" spans="2:5">
      <c r="B6" t="s">
        <v>212</v>
      </c>
      <c r="C6" s="32">
        <v>570</v>
      </c>
      <c r="D6" s="32">
        <v>236500</v>
      </c>
      <c r="E6" s="32">
        <v>134805000</v>
      </c>
    </row>
    <row r="7" spans="2:5">
      <c r="B7" t="s">
        <v>213</v>
      </c>
      <c r="C7" s="32">
        <v>190</v>
      </c>
      <c r="D7" s="32">
        <v>58500</v>
      </c>
      <c r="E7" s="32">
        <v>11115000</v>
      </c>
    </row>
    <row r="8" spans="2:5">
      <c r="B8" t="s">
        <v>214</v>
      </c>
      <c r="C8" s="32">
        <v>210</v>
      </c>
      <c r="D8" s="32">
        <v>96500</v>
      </c>
      <c r="E8" s="32">
        <v>20265000</v>
      </c>
    </row>
    <row r="9" spans="2:5">
      <c r="B9" t="s">
        <v>239</v>
      </c>
      <c r="C9" s="32">
        <v>2380</v>
      </c>
      <c r="D9" s="32">
        <v>680500</v>
      </c>
      <c r="E9" s="32">
        <v>1619590000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filterMode="1"/>
  <dimension ref="B1:E18"/>
  <sheetViews>
    <sheetView workbookViewId="0"/>
  </sheetViews>
  <sheetFormatPr defaultRowHeight="17"/>
  <cols>
    <col min="1" max="1" width="2.58203125" customWidth="1"/>
    <col min="2" max="5" width="12.58203125" customWidth="1"/>
  </cols>
  <sheetData>
    <row r="1" spans="2:5">
      <c r="B1" s="34"/>
      <c r="C1" s="34"/>
      <c r="D1" s="34"/>
      <c r="E1" s="34"/>
    </row>
    <row r="2" spans="2:5">
      <c r="B2" s="35" t="s">
        <v>244</v>
      </c>
      <c r="C2" s="35" t="s">
        <v>245</v>
      </c>
      <c r="D2" s="35" t="s">
        <v>246</v>
      </c>
      <c r="E2" s="35" t="s">
        <v>247</v>
      </c>
    </row>
    <row r="3" spans="2:5" hidden="1">
      <c r="B3" s="35" t="s">
        <v>248</v>
      </c>
      <c r="C3" s="35" t="s">
        <v>262</v>
      </c>
      <c r="D3" s="35">
        <v>15</v>
      </c>
      <c r="E3" s="35" t="s">
        <v>249</v>
      </c>
    </row>
    <row r="4" spans="2:5">
      <c r="B4" s="35" t="s">
        <v>250</v>
      </c>
      <c r="C4" s="35" t="s">
        <v>263</v>
      </c>
      <c r="D4" s="35">
        <v>16</v>
      </c>
      <c r="E4" s="35" t="s">
        <v>249</v>
      </c>
    </row>
    <row r="5" spans="2:5" hidden="1">
      <c r="B5" s="35" t="s">
        <v>251</v>
      </c>
      <c r="C5" s="35" t="s">
        <v>264</v>
      </c>
      <c r="D5" s="35">
        <v>15</v>
      </c>
      <c r="E5" s="35" t="s">
        <v>252</v>
      </c>
    </row>
    <row r="6" spans="2:5">
      <c r="B6" s="35" t="s">
        <v>253</v>
      </c>
      <c r="C6" s="35" t="s">
        <v>265</v>
      </c>
      <c r="D6" s="35">
        <v>16</v>
      </c>
      <c r="E6" s="35" t="s">
        <v>252</v>
      </c>
    </row>
    <row r="7" spans="2:5" hidden="1">
      <c r="B7" s="35" t="s">
        <v>254</v>
      </c>
      <c r="C7" s="35" t="s">
        <v>266</v>
      </c>
      <c r="D7" s="35">
        <v>14</v>
      </c>
      <c r="E7" s="35" t="s">
        <v>252</v>
      </c>
    </row>
    <row r="8" spans="2:5" hidden="1">
      <c r="B8" s="35" t="s">
        <v>251</v>
      </c>
      <c r="C8" s="35" t="s">
        <v>267</v>
      </c>
      <c r="D8" s="35">
        <v>15</v>
      </c>
      <c r="E8" s="35" t="s">
        <v>249</v>
      </c>
    </row>
    <row r="9" spans="2:5">
      <c r="B9" s="35" t="s">
        <v>255</v>
      </c>
      <c r="C9" s="35" t="s">
        <v>268</v>
      </c>
      <c r="D9" s="35">
        <v>16</v>
      </c>
      <c r="E9" s="35" t="s">
        <v>252</v>
      </c>
    </row>
    <row r="10" spans="2:5" hidden="1">
      <c r="B10" s="35" t="s">
        <v>256</v>
      </c>
      <c r="C10" s="35" t="s">
        <v>269</v>
      </c>
      <c r="D10" s="35">
        <v>15</v>
      </c>
      <c r="E10" s="35" t="s">
        <v>249</v>
      </c>
    </row>
    <row r="11" spans="2:5">
      <c r="B11" s="35" t="s">
        <v>257</v>
      </c>
      <c r="C11" s="35" t="s">
        <v>270</v>
      </c>
      <c r="D11" s="35">
        <v>16</v>
      </c>
      <c r="E11" s="35" t="s">
        <v>249</v>
      </c>
    </row>
    <row r="12" spans="2:5" hidden="1">
      <c r="B12" s="35" t="s">
        <v>258</v>
      </c>
      <c r="C12" s="35" t="s">
        <v>271</v>
      </c>
      <c r="D12" s="35">
        <v>15</v>
      </c>
      <c r="E12" s="35" t="s">
        <v>252</v>
      </c>
    </row>
    <row r="13" spans="2:5" hidden="1">
      <c r="B13" s="35" t="s">
        <v>259</v>
      </c>
      <c r="C13" s="35" t="s">
        <v>272</v>
      </c>
      <c r="D13" s="35">
        <v>15</v>
      </c>
      <c r="E13" s="35" t="s">
        <v>252</v>
      </c>
    </row>
    <row r="14" spans="2:5" hidden="1">
      <c r="B14" s="35" t="s">
        <v>251</v>
      </c>
      <c r="C14" s="35" t="s">
        <v>273</v>
      </c>
      <c r="D14" s="35">
        <v>15</v>
      </c>
      <c r="E14" s="35" t="s">
        <v>249</v>
      </c>
    </row>
    <row r="15" spans="2:5">
      <c r="B15" s="35" t="s">
        <v>260</v>
      </c>
      <c r="C15" s="35" t="s">
        <v>274</v>
      </c>
      <c r="D15" s="35">
        <v>16</v>
      </c>
      <c r="E15" s="35" t="s">
        <v>252</v>
      </c>
    </row>
    <row r="16" spans="2:5" hidden="1">
      <c r="B16" s="35" t="s">
        <v>261</v>
      </c>
      <c r="C16" s="35" t="s">
        <v>275</v>
      </c>
      <c r="D16" s="35">
        <v>15</v>
      </c>
      <c r="E16" s="35" t="s">
        <v>249</v>
      </c>
    </row>
    <row r="17" spans="2:5" hidden="1">
      <c r="B17" s="35" t="s">
        <v>256</v>
      </c>
      <c r="C17" s="35" t="s">
        <v>276</v>
      </c>
      <c r="D17" s="35">
        <v>15</v>
      </c>
      <c r="E17" s="35" t="s">
        <v>249</v>
      </c>
    </row>
    <row r="18" spans="2:5">
      <c r="B18" s="35" t="s">
        <v>258</v>
      </c>
      <c r="C18" s="35" t="s">
        <v>277</v>
      </c>
      <c r="D18" s="35">
        <v>16</v>
      </c>
      <c r="E18" s="35" t="s">
        <v>249</v>
      </c>
    </row>
  </sheetData>
  <autoFilter ref="B2:E18">
    <filterColumn colId="2">
      <filters>
        <filter val="16"/>
      </filters>
    </filterColumn>
  </autoFilter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0"/>
  <sheetViews>
    <sheetView workbookViewId="0"/>
  </sheetViews>
  <sheetFormatPr defaultRowHeight="17"/>
  <cols>
    <col min="2" max="8" width="10.08203125" customWidth="1"/>
  </cols>
  <sheetData>
    <row r="1" spans="1:8">
      <c r="A1" s="26"/>
      <c r="B1" s="26"/>
      <c r="C1" s="26"/>
      <c r="D1" s="26"/>
      <c r="E1" s="26"/>
      <c r="F1" s="26"/>
      <c r="G1" s="26"/>
      <c r="H1" s="26"/>
    </row>
    <row r="2" spans="1:8">
      <c r="A2" s="26"/>
      <c r="B2" s="26"/>
      <c r="C2" s="41" t="s">
        <v>215</v>
      </c>
      <c r="D2" s="41"/>
      <c r="E2" s="41"/>
      <c r="F2" s="41"/>
      <c r="G2" s="41"/>
      <c r="H2" s="26"/>
    </row>
    <row r="3" spans="1:8">
      <c r="A3" s="26"/>
      <c r="B3" s="26"/>
      <c r="C3" s="26"/>
      <c r="D3" s="26"/>
      <c r="E3" s="26"/>
      <c r="F3" s="26"/>
      <c r="G3" s="26"/>
      <c r="H3" s="26"/>
    </row>
    <row r="4" spans="1:8">
      <c r="A4" s="26"/>
      <c r="B4" s="7" t="s">
        <v>216</v>
      </c>
      <c r="C4" s="7" t="s">
        <v>217</v>
      </c>
      <c r="D4" s="7" t="s">
        <v>218</v>
      </c>
      <c r="E4" s="7" t="s">
        <v>219</v>
      </c>
      <c r="F4" s="7" t="s">
        <v>220</v>
      </c>
      <c r="G4" s="7" t="s">
        <v>221</v>
      </c>
      <c r="H4" s="27" t="s">
        <v>222</v>
      </c>
    </row>
    <row r="5" spans="1:8">
      <c r="A5" s="26"/>
      <c r="B5" s="1">
        <v>2</v>
      </c>
      <c r="C5" s="3" t="s">
        <v>17</v>
      </c>
      <c r="D5" s="5">
        <v>70</v>
      </c>
      <c r="E5" s="4">
        <v>26500</v>
      </c>
      <c r="F5" s="4" t="s">
        <v>18</v>
      </c>
      <c r="G5" s="3" t="s">
        <v>20</v>
      </c>
      <c r="H5" s="27">
        <v>25</v>
      </c>
    </row>
    <row r="6" spans="1:8">
      <c r="A6" s="26"/>
      <c r="B6" s="1">
        <v>4</v>
      </c>
      <c r="C6" s="3" t="s">
        <v>27</v>
      </c>
      <c r="D6" s="5">
        <v>150</v>
      </c>
      <c r="E6" s="4">
        <v>21500</v>
      </c>
      <c r="F6" s="4" t="s">
        <v>28</v>
      </c>
      <c r="G6" s="3" t="s">
        <v>30</v>
      </c>
      <c r="H6" s="27">
        <v>15</v>
      </c>
    </row>
    <row r="7" spans="1:8">
      <c r="A7" s="26"/>
      <c r="B7" s="1">
        <v>19</v>
      </c>
      <c r="C7" s="3" t="s">
        <v>98</v>
      </c>
      <c r="D7" s="5">
        <v>90</v>
      </c>
      <c r="E7" s="4">
        <v>24500</v>
      </c>
      <c r="F7" s="4" t="s">
        <v>223</v>
      </c>
      <c r="G7" s="3" t="s">
        <v>224</v>
      </c>
      <c r="H7" s="27">
        <v>25</v>
      </c>
    </row>
    <row r="8" spans="1:8">
      <c r="A8" s="26"/>
      <c r="B8" s="1">
        <v>21</v>
      </c>
      <c r="C8" s="3" t="s">
        <v>107</v>
      </c>
      <c r="D8" s="5">
        <v>20</v>
      </c>
      <c r="E8" s="4">
        <v>18500</v>
      </c>
      <c r="F8" s="4" t="s">
        <v>108</v>
      </c>
      <c r="G8" s="3" t="s">
        <v>225</v>
      </c>
      <c r="H8" s="27">
        <v>10</v>
      </c>
    </row>
    <row r="9" spans="1:8">
      <c r="A9" s="26"/>
      <c r="B9" s="1">
        <v>23</v>
      </c>
      <c r="C9" s="3" t="s">
        <v>115</v>
      </c>
      <c r="D9" s="5">
        <v>40</v>
      </c>
      <c r="E9" s="4">
        <v>19500</v>
      </c>
      <c r="F9" s="4" t="s">
        <v>116</v>
      </c>
      <c r="G9" s="3" t="s">
        <v>226</v>
      </c>
      <c r="H9" s="27">
        <v>5</v>
      </c>
    </row>
    <row r="10" spans="1:8">
      <c r="A10" s="26"/>
      <c r="B10" s="1">
        <v>24</v>
      </c>
      <c r="C10" s="3" t="s">
        <v>119</v>
      </c>
      <c r="D10" s="5">
        <v>80</v>
      </c>
      <c r="E10" s="4">
        <v>21500</v>
      </c>
      <c r="F10" s="4" t="s">
        <v>120</v>
      </c>
      <c r="G10" s="3" t="s">
        <v>227</v>
      </c>
      <c r="H10" s="27">
        <v>10</v>
      </c>
    </row>
  </sheetData>
  <mergeCells count="1">
    <mergeCell ref="C2:G2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D15"/>
  <sheetViews>
    <sheetView workbookViewId="0"/>
  </sheetViews>
  <sheetFormatPr defaultRowHeight="17"/>
  <cols>
    <col min="2" max="2" width="12.33203125" customWidth="1"/>
  </cols>
  <sheetData>
    <row r="1" spans="1:4">
      <c r="A1" t="s">
        <v>283</v>
      </c>
    </row>
    <row r="2" spans="1:4">
      <c r="A2" s="35" t="s">
        <v>279</v>
      </c>
      <c r="B2" s="35" t="s">
        <v>280</v>
      </c>
      <c r="C2" s="35" t="s">
        <v>281</v>
      </c>
      <c r="D2" s="35" t="s">
        <v>282</v>
      </c>
    </row>
    <row r="3" spans="1:4">
      <c r="A3" s="3" t="s">
        <v>14</v>
      </c>
      <c r="B3" s="38">
        <v>1101</v>
      </c>
      <c r="C3" s="37">
        <v>121</v>
      </c>
      <c r="D3" s="36">
        <v>97040</v>
      </c>
    </row>
    <row r="4" spans="1:4">
      <c r="A4" s="3" t="s">
        <v>20</v>
      </c>
      <c r="B4" s="38">
        <v>10503</v>
      </c>
      <c r="C4" s="37">
        <v>100</v>
      </c>
      <c r="D4" s="36">
        <v>80650</v>
      </c>
    </row>
    <row r="5" spans="1:4">
      <c r="A5" s="3" t="s">
        <v>25</v>
      </c>
      <c r="B5" s="38">
        <v>12604</v>
      </c>
      <c r="C5" s="37">
        <v>29</v>
      </c>
      <c r="D5" s="36">
        <v>24620</v>
      </c>
    </row>
    <row r="6" spans="1:4">
      <c r="A6" s="3" t="s">
        <v>30</v>
      </c>
      <c r="B6" s="38">
        <v>3705</v>
      </c>
      <c r="C6" s="37">
        <v>21</v>
      </c>
      <c r="D6" s="36">
        <v>17100</v>
      </c>
    </row>
    <row r="7" spans="1:4">
      <c r="A7" s="3" t="s">
        <v>36</v>
      </c>
      <c r="B7" s="38">
        <v>12803</v>
      </c>
      <c r="C7" s="37" t="s">
        <v>284</v>
      </c>
      <c r="D7" s="36">
        <v>0</v>
      </c>
    </row>
    <row r="8" spans="1:4">
      <c r="A8" s="3" t="s">
        <v>40</v>
      </c>
      <c r="B8" s="38">
        <v>4906</v>
      </c>
      <c r="C8" s="37">
        <v>40</v>
      </c>
      <c r="D8" s="36">
        <v>29190</v>
      </c>
    </row>
    <row r="9" spans="1:4">
      <c r="A9" s="3" t="s">
        <v>45</v>
      </c>
      <c r="B9" s="38">
        <v>5802</v>
      </c>
      <c r="C9" s="37">
        <v>17</v>
      </c>
      <c r="D9" s="36">
        <v>12540</v>
      </c>
    </row>
    <row r="10" spans="1:4">
      <c r="A10" s="3" t="s">
        <v>50</v>
      </c>
      <c r="B10" s="38">
        <v>16703</v>
      </c>
      <c r="C10" s="37">
        <v>32</v>
      </c>
      <c r="D10" s="36">
        <v>23380</v>
      </c>
    </row>
    <row r="11" spans="1:4">
      <c r="A11" s="3" t="s">
        <v>55</v>
      </c>
      <c r="B11" s="38">
        <v>13605</v>
      </c>
      <c r="C11" s="37">
        <v>104</v>
      </c>
      <c r="D11" s="36">
        <v>75020</v>
      </c>
    </row>
    <row r="12" spans="1:4">
      <c r="A12" s="3" t="s">
        <v>59</v>
      </c>
      <c r="B12" s="38">
        <v>14803</v>
      </c>
      <c r="C12" s="37">
        <v>218</v>
      </c>
      <c r="D12" s="36">
        <v>156830</v>
      </c>
    </row>
    <row r="13" spans="1:4">
      <c r="A13" s="3" t="s">
        <v>64</v>
      </c>
      <c r="B13" s="38">
        <v>7901</v>
      </c>
      <c r="C13" s="37">
        <v>242</v>
      </c>
      <c r="D13" s="36">
        <v>176260</v>
      </c>
    </row>
    <row r="14" spans="1:4">
      <c r="A14" s="3" t="s">
        <v>68</v>
      </c>
      <c r="B14" s="38">
        <v>6202</v>
      </c>
      <c r="C14" s="37">
        <v>188</v>
      </c>
      <c r="D14" s="36">
        <v>135580</v>
      </c>
    </row>
    <row r="15" spans="1:4">
      <c r="A15" s="3" t="s">
        <v>73</v>
      </c>
      <c r="B15" s="38">
        <v>11704</v>
      </c>
      <c r="C15" s="37">
        <v>119</v>
      </c>
      <c r="D15" s="36">
        <v>86280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동호수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사용량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6"/>
  <sheetViews>
    <sheetView workbookViewId="0">
      <selection sqref="A1:D1"/>
    </sheetView>
  </sheetViews>
  <sheetFormatPr defaultRowHeight="17"/>
  <cols>
    <col min="1" max="1" width="13.25" customWidth="1"/>
    <col min="2" max="2" width="16.58203125" customWidth="1"/>
    <col min="3" max="4" width="13.25" customWidth="1"/>
    <col min="6" max="6" width="14.58203125" customWidth="1"/>
  </cols>
  <sheetData>
    <row r="1" spans="1:7" ht="30">
      <c r="A1" s="42" t="s">
        <v>228</v>
      </c>
      <c r="B1" s="42"/>
      <c r="C1" s="42"/>
      <c r="D1" s="42"/>
    </row>
    <row r="2" spans="1:7">
      <c r="A2" s="26" t="s">
        <v>229</v>
      </c>
      <c r="B2" s="26"/>
      <c r="C2" s="26"/>
      <c r="D2" s="26"/>
      <c r="G2" s="26" t="s">
        <v>234</v>
      </c>
    </row>
    <row r="3" spans="1:7">
      <c r="A3" s="27" t="s">
        <v>230</v>
      </c>
      <c r="B3" s="27" t="s">
        <v>231</v>
      </c>
      <c r="C3" s="27" t="s">
        <v>232</v>
      </c>
      <c r="D3" s="27" t="s">
        <v>233</v>
      </c>
      <c r="G3" s="29" t="s">
        <v>235</v>
      </c>
    </row>
    <row r="4" spans="1:7">
      <c r="A4" s="28"/>
      <c r="B4" s="28"/>
      <c r="C4" s="28"/>
      <c r="D4" s="28"/>
      <c r="G4" s="28" t="s">
        <v>236</v>
      </c>
    </row>
    <row r="5" spans="1:7">
      <c r="A5" s="28"/>
      <c r="B5" s="28"/>
      <c r="C5" s="28"/>
      <c r="D5" s="28"/>
      <c r="G5" s="28" t="s">
        <v>237</v>
      </c>
    </row>
    <row r="6" spans="1:7">
      <c r="A6" s="28"/>
      <c r="B6" s="28"/>
      <c r="C6" s="28"/>
      <c r="D6" s="28"/>
      <c r="G6" s="28" t="s">
        <v>238</v>
      </c>
    </row>
    <row r="7" spans="1:7">
      <c r="A7" s="28"/>
      <c r="B7" s="28"/>
      <c r="C7" s="28"/>
      <c r="D7" s="28"/>
    </row>
    <row r="8" spans="1:7">
      <c r="A8" s="28"/>
      <c r="B8" s="28"/>
      <c r="C8" s="28"/>
      <c r="D8" s="28"/>
    </row>
    <row r="9" spans="1:7">
      <c r="A9" s="28"/>
      <c r="B9" s="28"/>
      <c r="C9" s="28"/>
      <c r="D9" s="28"/>
    </row>
    <row r="10" spans="1:7">
      <c r="A10" s="28"/>
      <c r="B10" s="28"/>
      <c r="C10" s="28"/>
      <c r="D10" s="28"/>
    </row>
    <row r="11" spans="1:7">
      <c r="A11" s="28"/>
      <c r="B11" s="28"/>
      <c r="C11" s="28"/>
      <c r="D11" s="28"/>
    </row>
    <row r="12" spans="1:7">
      <c r="A12" s="28"/>
      <c r="B12" s="28"/>
      <c r="C12" s="28"/>
      <c r="D12" s="28"/>
    </row>
    <row r="13" spans="1:7">
      <c r="A13" s="28"/>
      <c r="B13" s="28"/>
      <c r="C13" s="28"/>
      <c r="D13" s="28"/>
    </row>
    <row r="14" spans="1:7">
      <c r="A14" s="28"/>
      <c r="B14" s="28"/>
      <c r="C14" s="28"/>
      <c r="D14" s="28"/>
    </row>
    <row r="15" spans="1:7">
      <c r="A15" s="28"/>
      <c r="B15" s="28"/>
      <c r="C15" s="28"/>
      <c r="D15" s="28"/>
    </row>
    <row r="16" spans="1:7">
      <c r="A16" s="28"/>
      <c r="B16" s="28"/>
      <c r="C16" s="28"/>
      <c r="D16" s="28"/>
    </row>
  </sheetData>
  <mergeCells count="1">
    <mergeCell ref="A1:D1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실행">
          <controlPr defaultSize="0" autoLine="0" autoPict="0" r:id="rId4">
            <anchor moveWithCells="1">
              <from>
                <xdr:col>4</xdr:col>
                <xdr:colOff>304800</xdr:colOff>
                <xdr:row>0</xdr:row>
                <xdr:rowOff>203200</xdr:rowOff>
              </from>
              <to>
                <xdr:col>5</xdr:col>
                <xdr:colOff>806450</xdr:colOff>
                <xdr:row>1</xdr:row>
                <xdr:rowOff>177800</xdr:rowOff>
              </to>
            </anchor>
          </controlPr>
        </control>
      </mc:Choice>
      <mc:Fallback>
        <control shapeId="7169" r:id="rId3" name="실행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2022-04-30T01:28:25Z</cp:lastPrinted>
  <dcterms:created xsi:type="dcterms:W3CDTF">2020-04-07T06:00:22Z</dcterms:created>
  <dcterms:modified xsi:type="dcterms:W3CDTF">2022-04-30T01:37:33Z</dcterms:modified>
</cp:coreProperties>
</file>