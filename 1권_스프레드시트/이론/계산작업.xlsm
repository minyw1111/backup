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이론\"/>
    </mc:Choice>
  </mc:AlternateContent>
  <bookViews>
    <workbookView xWindow="0" yWindow="0" windowWidth="17450" windowHeight="14250" tabRatio="889"/>
  </bookViews>
  <sheets>
    <sheet name="계산" sheetId="14" r:id="rId1"/>
    <sheet name="계산(결과)" sheetId="1" r:id="rId2"/>
    <sheet name="데이터베이스" sheetId="15" r:id="rId3"/>
    <sheet name="데이터베이스(결과)" sheetId="2" r:id="rId4"/>
    <sheet name="수학삼각1" sheetId="16" r:id="rId5"/>
    <sheet name="수학삼각1(결과)" sheetId="3" r:id="rId6"/>
    <sheet name="수학삼각2" sheetId="17" r:id="rId7"/>
    <sheet name="수학삼각2(결과)" sheetId="4" r:id="rId8"/>
    <sheet name="통계1" sheetId="18" r:id="rId9"/>
    <sheet name="통계1(결과)" sheetId="5" r:id="rId10"/>
    <sheet name="통계2" sheetId="19" r:id="rId11"/>
    <sheet name="통계2(결과)" sheetId="6" r:id="rId12"/>
    <sheet name="찾기참조1" sheetId="20" r:id="rId13"/>
    <sheet name="찾기참조1(결과)" sheetId="7" r:id="rId14"/>
    <sheet name="찾기참조2" sheetId="8" r:id="rId15"/>
    <sheet name="찾기참조2(결과)" sheetId="21" r:id="rId16"/>
    <sheet name="찾기참조3" sheetId="32" r:id="rId17"/>
    <sheet name="찾기참조3(결과)" sheetId="33" r:id="rId18"/>
    <sheet name="날짜1" sheetId="9" r:id="rId19"/>
    <sheet name="날짜1(결과)" sheetId="22" r:id="rId20"/>
    <sheet name="날짜2" sheetId="23" r:id="rId21"/>
    <sheet name="날짜2(결과)" sheetId="10" r:id="rId22"/>
    <sheet name="날짜3" sheetId="34" r:id="rId23"/>
    <sheet name="날짜3(결과)" sheetId="35" r:id="rId24"/>
    <sheet name="텍스트1" sheetId="11" r:id="rId25"/>
    <sheet name="텍스트1(결과)" sheetId="24" r:id="rId26"/>
    <sheet name="텍스트2" sheetId="36" r:id="rId27"/>
    <sheet name="텍스트2(결과)" sheetId="37" r:id="rId28"/>
    <sheet name="텍스트3" sheetId="38" r:id="rId29"/>
    <sheet name="텍스트3(결과)" sheetId="39" r:id="rId30"/>
    <sheet name="논리1" sheetId="12" r:id="rId31"/>
    <sheet name="논리1(결과)" sheetId="25" r:id="rId32"/>
    <sheet name="논리2" sheetId="13" r:id="rId33"/>
    <sheet name="논리2(결과)" sheetId="27" r:id="rId34"/>
    <sheet name="논리3" sheetId="40" r:id="rId35"/>
    <sheet name="논리3(결과)" sheetId="41" r:id="rId36"/>
    <sheet name="재무1" sheetId="42" r:id="rId37"/>
    <sheet name="재무1(결과)" sheetId="43" r:id="rId38"/>
    <sheet name="재무2" sheetId="44" r:id="rId39"/>
    <sheet name="재무2(결과)" sheetId="45" r:id="rId40"/>
    <sheet name="재무3" sheetId="46" r:id="rId41"/>
    <sheet name="재무3(결과)" sheetId="47" r:id="rId42"/>
    <sheet name="정보1" sheetId="48" r:id="rId43"/>
    <sheet name="정보1(결과)" sheetId="49" r:id="rId44"/>
    <sheet name="정보2" sheetId="50" r:id="rId45"/>
    <sheet name="정보2(결과)" sheetId="51" r:id="rId46"/>
    <sheet name="배열수식" sheetId="52" r:id="rId47"/>
    <sheet name="배열수식(결과)" sheetId="53" r:id="rId48"/>
    <sheet name="배열1" sheetId="54" r:id="rId49"/>
    <sheet name="배열1(결과)" sheetId="55" r:id="rId50"/>
    <sheet name="배열2" sheetId="56" r:id="rId51"/>
    <sheet name="배열2(결과)" sheetId="57" r:id="rId52"/>
    <sheet name="배열3" sheetId="58" r:id="rId53"/>
    <sheet name="배열3(결과)" sheetId="59" r:id="rId54"/>
    <sheet name="사용자정의" sheetId="60" r:id="rId55"/>
    <sheet name="사용자정의(결과)" sheetId="61" r:id="rId56"/>
  </sheets>
  <functionGroups builtInGroupCount="18"/>
  <externalReferences>
    <externalReference r:id="rId57"/>
    <externalReference r:id="rId58"/>
  </externalReferences>
  <definedNames>
    <definedName name="_xlnm.Print_Area" localSheetId="38">재무2!$A$1:$K$32</definedName>
    <definedName name="삼학년">'[1]3학년입력'!$E$1:$E$65536</definedName>
    <definedName name="이학년">'[1]2학년입력'!$E$1:$E$65536</definedName>
    <definedName name="일학년">'[1]1학년입력'!$E$1:$E$65536</definedName>
    <definedName name="학생수">'[2]서식(결과)'!$G$5:$H$19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0" l="1"/>
  <c r="C15" i="10"/>
  <c r="C16" i="10"/>
  <c r="C17" i="10"/>
  <c r="C18" i="10"/>
  <c r="C19" i="10"/>
  <c r="C20" i="10"/>
  <c r="C13" i="10"/>
  <c r="I4" i="10"/>
  <c r="I5" i="10"/>
  <c r="I6" i="10"/>
  <c r="I7" i="10"/>
  <c r="I8" i="10"/>
  <c r="I9" i="10"/>
  <c r="I3" i="10"/>
  <c r="I4" i="1" l="1"/>
  <c r="I5" i="1"/>
  <c r="I6" i="1"/>
  <c r="I7" i="1"/>
  <c r="D4" i="1"/>
  <c r="D5" i="1"/>
  <c r="D6" i="1"/>
  <c r="D7" i="1"/>
  <c r="D8" i="1"/>
  <c r="E4" i="27" l="1"/>
  <c r="E5" i="27"/>
  <c r="E6" i="27"/>
  <c r="E7" i="27"/>
  <c r="E8" i="27"/>
  <c r="E9" i="27"/>
  <c r="E10" i="27"/>
  <c r="E11" i="27"/>
  <c r="E12" i="27"/>
  <c r="E3" i="27"/>
  <c r="F4" i="6" l="1"/>
  <c r="F5" i="6"/>
  <c r="F6" i="6"/>
  <c r="F7" i="6"/>
  <c r="F8" i="6"/>
  <c r="F9" i="6"/>
  <c r="F10" i="6"/>
  <c r="F11" i="6"/>
  <c r="F12" i="6"/>
  <c r="F3" i="6"/>
  <c r="D39" i="2" l="1"/>
  <c r="J3" i="61" l="1"/>
  <c r="J4" i="61"/>
  <c r="J5" i="61"/>
  <c r="J6" i="61"/>
  <c r="J7" i="61"/>
  <c r="J8" i="61"/>
  <c r="J9" i="61"/>
  <c r="J10" i="61"/>
  <c r="J11" i="61"/>
  <c r="J12" i="61"/>
  <c r="J13" i="61"/>
  <c r="J14" i="61"/>
  <c r="J15" i="61"/>
  <c r="J3" i="60"/>
  <c r="J4" i="60"/>
  <c r="J5" i="60"/>
  <c r="J6" i="60"/>
  <c r="J7" i="60"/>
  <c r="J8" i="60"/>
  <c r="J9" i="60"/>
  <c r="J10" i="60"/>
  <c r="J11" i="60"/>
  <c r="J12" i="60"/>
  <c r="J13" i="60"/>
  <c r="J14" i="60"/>
  <c r="J15" i="60"/>
  <c r="E3" i="59"/>
  <c r="E4" i="59"/>
  <c r="S4" i="59" a="1"/>
  <c r="S6" i="59" s="1"/>
  <c r="S4" i="59"/>
  <c r="E5" i="59"/>
  <c r="E6" i="59"/>
  <c r="E7" i="59"/>
  <c r="E8" i="59"/>
  <c r="S8" i="59"/>
  <c r="E9" i="59"/>
  <c r="E10" i="59"/>
  <c r="E11" i="59"/>
  <c r="E12" i="59"/>
  <c r="E13" i="59"/>
  <c r="E14" i="59"/>
  <c r="B29" i="59" s="1" a="1"/>
  <c r="B29" i="59" s="1"/>
  <c r="E15" i="59"/>
  <c r="R15" i="59" a="1"/>
  <c r="R15" i="59" s="1"/>
  <c r="S15" i="59" a="1"/>
  <c r="S15" i="59" s="1"/>
  <c r="T15" i="59" a="1"/>
  <c r="T15" i="59"/>
  <c r="U15" i="59" a="1"/>
  <c r="U15" i="59" s="1"/>
  <c r="V15" i="59" a="1"/>
  <c r="V15" i="59" s="1"/>
  <c r="E16" i="59"/>
  <c r="R16" i="59" a="1"/>
  <c r="R16" i="59"/>
  <c r="S16" i="59" a="1"/>
  <c r="S16" i="59"/>
  <c r="T16" i="59" a="1"/>
  <c r="T16" i="59"/>
  <c r="U16" i="59" a="1"/>
  <c r="U16" i="59"/>
  <c r="V16" i="59" a="1"/>
  <c r="V16" i="59" s="1"/>
  <c r="E17" i="59"/>
  <c r="R17" i="59" a="1"/>
  <c r="R17" i="59" s="1"/>
  <c r="S17" i="59" a="1"/>
  <c r="S17" i="59" s="1"/>
  <c r="T17" i="59" a="1"/>
  <c r="T17" i="59"/>
  <c r="U17" i="59" a="1"/>
  <c r="U17" i="59"/>
  <c r="V17" i="59" a="1"/>
  <c r="V17" i="59" s="1"/>
  <c r="E18" i="59"/>
  <c r="R18" i="59" a="1"/>
  <c r="R18" i="59"/>
  <c r="S18" i="59" a="1"/>
  <c r="S18" i="59" s="1"/>
  <c r="T18" i="59" a="1"/>
  <c r="T18" i="59"/>
  <c r="U18" i="59" a="1"/>
  <c r="U18" i="59"/>
  <c r="V18" i="59" a="1"/>
  <c r="V18" i="59" s="1"/>
  <c r="E19" i="59"/>
  <c r="E20" i="59"/>
  <c r="H23" i="59" a="1"/>
  <c r="H23" i="59"/>
  <c r="I23" i="59" a="1"/>
  <c r="I23" i="59"/>
  <c r="J23" i="59" a="1"/>
  <c r="J23" i="59" s="1"/>
  <c r="C24" i="59" a="1"/>
  <c r="C24" i="59" s="1"/>
  <c r="D24" i="59" a="1"/>
  <c r="D24" i="59"/>
  <c r="H24" i="59" a="1"/>
  <c r="H24" i="59"/>
  <c r="I24" i="59" a="1"/>
  <c r="I24" i="59" s="1"/>
  <c r="J24" i="59" a="1"/>
  <c r="J24" i="59" s="1"/>
  <c r="C25" i="59" a="1"/>
  <c r="C25" i="59"/>
  <c r="D25" i="59" a="1"/>
  <c r="D25" i="59"/>
  <c r="H25" i="59" a="1"/>
  <c r="H25" i="59" s="1"/>
  <c r="I25" i="59" a="1"/>
  <c r="I25" i="59" s="1"/>
  <c r="J25" i="59" a="1"/>
  <c r="J25" i="59"/>
  <c r="H29" i="59" a="1"/>
  <c r="H29" i="59" s="1"/>
  <c r="I29" i="59" a="1"/>
  <c r="I29" i="59" s="1"/>
  <c r="J29" i="59" a="1"/>
  <c r="J29" i="59"/>
  <c r="H30" i="59" a="1"/>
  <c r="H30" i="59" s="1"/>
  <c r="I30" i="59" a="1"/>
  <c r="I30" i="59" s="1"/>
  <c r="J30" i="59" a="1"/>
  <c r="J30" i="59"/>
  <c r="H31" i="59" a="1"/>
  <c r="H31" i="59" s="1"/>
  <c r="I31" i="59" a="1"/>
  <c r="I31" i="59" s="1"/>
  <c r="J31" i="59" a="1"/>
  <c r="J31" i="59"/>
  <c r="H32" i="59" a="1"/>
  <c r="H32" i="59" s="1"/>
  <c r="I32" i="59" a="1"/>
  <c r="I32" i="59" s="1"/>
  <c r="J32" i="59" a="1"/>
  <c r="J32" i="59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T4" i="57" a="1"/>
  <c r="T4" i="57" s="1"/>
  <c r="U4" i="57" a="1"/>
  <c r="U6" i="57" s="1"/>
  <c r="U4" i="57"/>
  <c r="T7" i="57"/>
  <c r="U8" i="57"/>
  <c r="S12" i="57" a="1"/>
  <c r="S12" i="57" s="1"/>
  <c r="S13" i="57" a="1"/>
  <c r="S13" i="57" s="1"/>
  <c r="S14" i="57" a="1"/>
  <c r="S14" i="57" s="1"/>
  <c r="S15" i="57" a="1"/>
  <c r="S15" i="57" s="1"/>
  <c r="S16" i="57" a="1"/>
  <c r="S16" i="57" s="1"/>
  <c r="S17" i="57" a="1"/>
  <c r="S17" i="57" s="1"/>
  <c r="G27" i="57" a="1"/>
  <c r="G27" i="57" s="1"/>
  <c r="K27" i="57" a="1"/>
  <c r="K31" i="57" s="1"/>
  <c r="K27" i="57"/>
  <c r="G28" i="57" a="1"/>
  <c r="G28" i="57" s="1"/>
  <c r="B29" i="57" a="1"/>
  <c r="B29" i="57"/>
  <c r="C29" i="57" a="1"/>
  <c r="C29" i="57"/>
  <c r="G29" i="57" a="1"/>
  <c r="G29" i="57" s="1"/>
  <c r="B30" i="57" a="1"/>
  <c r="B30" i="57" s="1"/>
  <c r="C30" i="57" a="1"/>
  <c r="C30" i="57" s="1"/>
  <c r="B31" i="57" a="1"/>
  <c r="B31" i="57" s="1"/>
  <c r="C31" i="57" a="1"/>
  <c r="C31" i="57"/>
  <c r="B4" i="55" a="1"/>
  <c r="B4" i="55" s="1"/>
  <c r="C4" i="55" a="1"/>
  <c r="C4" i="55"/>
  <c r="B5" i="55" a="1"/>
  <c r="B5" i="55" s="1"/>
  <c r="C5" i="55" a="1"/>
  <c r="C5" i="55" s="1"/>
  <c r="B6" i="55" a="1"/>
  <c r="B6" i="55" s="1"/>
  <c r="C6" i="55" a="1"/>
  <c r="C6" i="55"/>
  <c r="B7" i="55" a="1"/>
  <c r="B7" i="55" s="1"/>
  <c r="C7" i="55" a="1"/>
  <c r="C7" i="55" s="1"/>
  <c r="C8" i="53" a="1"/>
  <c r="C8" i="53" s="1"/>
  <c r="C10" i="53" a="1"/>
  <c r="C10" i="53"/>
  <c r="A4" i="51"/>
  <c r="D4" i="51"/>
  <c r="E4" i="51"/>
  <c r="G4" i="51"/>
  <c r="H4" i="51"/>
  <c r="A5" i="51"/>
  <c r="D5" i="51"/>
  <c r="E5" i="51"/>
  <c r="G5" i="51"/>
  <c r="H5" i="51" s="1"/>
  <c r="A6" i="51"/>
  <c r="D6" i="51"/>
  <c r="E6" i="51"/>
  <c r="G6" i="51"/>
  <c r="H6" i="51"/>
  <c r="A7" i="51"/>
  <c r="D7" i="51"/>
  <c r="E7" i="51"/>
  <c r="G7" i="51"/>
  <c r="H7" i="51" s="1"/>
  <c r="A8" i="51"/>
  <c r="D8" i="51"/>
  <c r="E8" i="51"/>
  <c r="G8" i="51"/>
  <c r="H8" i="51" s="1"/>
  <c r="A9" i="51"/>
  <c r="D9" i="51"/>
  <c r="E9" i="51"/>
  <c r="G9" i="51"/>
  <c r="H9" i="51" s="1"/>
  <c r="A10" i="51"/>
  <c r="D10" i="51"/>
  <c r="E10" i="51"/>
  <c r="G10" i="51"/>
  <c r="H10" i="51"/>
  <c r="A11" i="51"/>
  <c r="D11" i="51"/>
  <c r="E11" i="51"/>
  <c r="G11" i="51"/>
  <c r="H11" i="51"/>
  <c r="A12" i="51"/>
  <c r="D12" i="51"/>
  <c r="E12" i="51"/>
  <c r="G12" i="51"/>
  <c r="H12" i="51"/>
  <c r="H4" i="50"/>
  <c r="H5" i="50"/>
  <c r="H6" i="50"/>
  <c r="H7" i="50"/>
  <c r="H8" i="50"/>
  <c r="H9" i="50"/>
  <c r="H10" i="50"/>
  <c r="H11" i="50"/>
  <c r="H12" i="50"/>
  <c r="H13" i="50"/>
  <c r="D4" i="49"/>
  <c r="F4" i="49"/>
  <c r="G4" i="49"/>
  <c r="D5" i="49"/>
  <c r="F5" i="49"/>
  <c r="G5" i="49" s="1"/>
  <c r="D6" i="49"/>
  <c r="F6" i="49"/>
  <c r="G6" i="49" s="1"/>
  <c r="D7" i="49"/>
  <c r="F7" i="49"/>
  <c r="G7" i="49" s="1"/>
  <c r="D8" i="49"/>
  <c r="F8" i="49"/>
  <c r="G8" i="49"/>
  <c r="D9" i="49"/>
  <c r="F9" i="49"/>
  <c r="G9" i="49" s="1"/>
  <c r="D10" i="49"/>
  <c r="F10" i="49"/>
  <c r="G10" i="49"/>
  <c r="G11" i="48"/>
  <c r="E3" i="47"/>
  <c r="J3" i="47"/>
  <c r="L3" i="47" s="1"/>
  <c r="Q3" i="47"/>
  <c r="E4" i="47"/>
  <c r="J4" i="47"/>
  <c r="L4" i="47" s="1"/>
  <c r="Q4" i="47"/>
  <c r="E5" i="47"/>
  <c r="J5" i="47"/>
  <c r="L5" i="47" s="1"/>
  <c r="Q5" i="47"/>
  <c r="E6" i="47"/>
  <c r="J6" i="47"/>
  <c r="L6" i="47" s="1"/>
  <c r="Q6" i="47"/>
  <c r="E7" i="47"/>
  <c r="J7" i="47"/>
  <c r="L7" i="47" s="1"/>
  <c r="Q7" i="47"/>
  <c r="E8" i="47"/>
  <c r="J8" i="47"/>
  <c r="L8" i="47" s="1"/>
  <c r="Q8" i="47"/>
  <c r="E9" i="47"/>
  <c r="J9" i="47"/>
  <c r="L9" i="47" s="1"/>
  <c r="Q9" i="47"/>
  <c r="E10" i="47"/>
  <c r="J10" i="47"/>
  <c r="L10" i="47" s="1"/>
  <c r="Q10" i="47"/>
  <c r="E11" i="47"/>
  <c r="J11" i="47"/>
  <c r="L11" i="47" s="1"/>
  <c r="Q11" i="47"/>
  <c r="E12" i="47"/>
  <c r="J12" i="47"/>
  <c r="L12" i="47" s="1"/>
  <c r="Q12" i="47"/>
  <c r="E13" i="47"/>
  <c r="J13" i="47"/>
  <c r="L13" i="47" s="1"/>
  <c r="Q13" i="47"/>
  <c r="E14" i="47"/>
  <c r="J14" i="47"/>
  <c r="L14" i="47" s="1"/>
  <c r="Q14" i="47"/>
  <c r="E15" i="47"/>
  <c r="J15" i="47"/>
  <c r="L15" i="47" s="1"/>
  <c r="Q15" i="47"/>
  <c r="E16" i="47"/>
  <c r="J16" i="47"/>
  <c r="L16" i="47" s="1"/>
  <c r="Q16" i="47"/>
  <c r="E17" i="47"/>
  <c r="J17" i="47"/>
  <c r="L17" i="47" s="1"/>
  <c r="Q17" i="47"/>
  <c r="E18" i="47"/>
  <c r="J18" i="47"/>
  <c r="L18" i="47" s="1"/>
  <c r="Q18" i="47"/>
  <c r="E19" i="47"/>
  <c r="J19" i="47"/>
  <c r="L19" i="47" s="1"/>
  <c r="Q19" i="47"/>
  <c r="E20" i="47"/>
  <c r="J20" i="47"/>
  <c r="L20" i="47" s="1"/>
  <c r="Q20" i="47"/>
  <c r="E21" i="47"/>
  <c r="J21" i="47"/>
  <c r="L21" i="47" s="1"/>
  <c r="Q21" i="47"/>
  <c r="E22" i="47"/>
  <c r="J22" i="47"/>
  <c r="L22" i="47" s="1"/>
  <c r="E23" i="47"/>
  <c r="J23" i="47"/>
  <c r="L23" i="47" s="1"/>
  <c r="E24" i="47"/>
  <c r="J24" i="47"/>
  <c r="L24" i="47" s="1"/>
  <c r="E25" i="47"/>
  <c r="E26" i="47"/>
  <c r="O31" i="47"/>
  <c r="P31" i="47"/>
  <c r="Q31" i="47"/>
  <c r="R31" i="47"/>
  <c r="S31" i="47"/>
  <c r="T31" i="47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C10" i="45"/>
  <c r="F10" i="45"/>
  <c r="C19" i="45"/>
  <c r="F19" i="45"/>
  <c r="C26" i="45"/>
  <c r="F27" i="45"/>
  <c r="C7" i="43"/>
  <c r="F7" i="43"/>
  <c r="C15" i="43"/>
  <c r="F15" i="43"/>
  <c r="K30" i="41"/>
  <c r="K29" i="41"/>
  <c r="K28" i="41"/>
  <c r="K27" i="41"/>
  <c r="K26" i="41"/>
  <c r="K25" i="41"/>
  <c r="B25" i="41"/>
  <c r="K24" i="41"/>
  <c r="B24" i="41"/>
  <c r="K23" i="41"/>
  <c r="B23" i="41"/>
  <c r="K22" i="41"/>
  <c r="B22" i="41"/>
  <c r="K21" i="41"/>
  <c r="B21" i="41"/>
  <c r="K20" i="41"/>
  <c r="B20" i="41"/>
  <c r="K19" i="41"/>
  <c r="B19" i="41"/>
  <c r="K18" i="41"/>
  <c r="B18" i="41"/>
  <c r="K17" i="41"/>
  <c r="E17" i="41"/>
  <c r="B17" i="41"/>
  <c r="K16" i="41"/>
  <c r="E16" i="41"/>
  <c r="B16" i="41"/>
  <c r="K15" i="41"/>
  <c r="E15" i="41"/>
  <c r="B15" i="41"/>
  <c r="K14" i="41"/>
  <c r="E14" i="41"/>
  <c r="B14" i="41"/>
  <c r="K13" i="41"/>
  <c r="E13" i="41"/>
  <c r="B13" i="41"/>
  <c r="N12" i="41"/>
  <c r="K12" i="41"/>
  <c r="E12" i="41"/>
  <c r="B12" i="41"/>
  <c r="N11" i="41"/>
  <c r="K11" i="41"/>
  <c r="E11" i="41"/>
  <c r="B11" i="41"/>
  <c r="N10" i="41"/>
  <c r="K10" i="41"/>
  <c r="E10" i="41"/>
  <c r="B10" i="41"/>
  <c r="N9" i="41"/>
  <c r="K9" i="41"/>
  <c r="E9" i="41"/>
  <c r="B9" i="41"/>
  <c r="N8" i="41"/>
  <c r="K8" i="41"/>
  <c r="E8" i="41"/>
  <c r="B8" i="41"/>
  <c r="N7" i="41"/>
  <c r="K7" i="41"/>
  <c r="E7" i="41"/>
  <c r="B7" i="41"/>
  <c r="N6" i="41"/>
  <c r="K6" i="41"/>
  <c r="E6" i="41"/>
  <c r="B6" i="41"/>
  <c r="N5" i="41"/>
  <c r="K5" i="41"/>
  <c r="E5" i="41"/>
  <c r="B5" i="41"/>
  <c r="N4" i="41"/>
  <c r="K4" i="41"/>
  <c r="E4" i="41"/>
  <c r="B4" i="41"/>
  <c r="N3" i="41"/>
  <c r="K3" i="41"/>
  <c r="E3" i="41"/>
  <c r="B3" i="41"/>
  <c r="R30" i="39"/>
  <c r="R29" i="39"/>
  <c r="N29" i="39"/>
  <c r="R28" i="39"/>
  <c r="N28" i="39"/>
  <c r="R27" i="39"/>
  <c r="N27" i="39"/>
  <c r="R26" i="39"/>
  <c r="N26" i="39"/>
  <c r="K26" i="39"/>
  <c r="R25" i="39"/>
  <c r="N25" i="39"/>
  <c r="K25" i="39"/>
  <c r="R24" i="39"/>
  <c r="N24" i="39"/>
  <c r="K24" i="39"/>
  <c r="E24" i="39"/>
  <c r="G24" i="39" s="1"/>
  <c r="R23" i="39"/>
  <c r="N23" i="39"/>
  <c r="K23" i="39"/>
  <c r="G23" i="39"/>
  <c r="E23" i="39"/>
  <c r="R22" i="39"/>
  <c r="N22" i="39"/>
  <c r="K22" i="39"/>
  <c r="E22" i="39"/>
  <c r="G22" i="39" s="1"/>
  <c r="R21" i="39"/>
  <c r="N21" i="39"/>
  <c r="E21" i="39"/>
  <c r="G21" i="39" s="1"/>
  <c r="R20" i="39"/>
  <c r="N20" i="39"/>
  <c r="E20" i="39"/>
  <c r="G20" i="39" s="1"/>
  <c r="R19" i="39"/>
  <c r="N19" i="39"/>
  <c r="G19" i="39"/>
  <c r="E19" i="39"/>
  <c r="R18" i="39"/>
  <c r="N18" i="39"/>
  <c r="E18" i="39"/>
  <c r="G18" i="39" s="1"/>
  <c r="R17" i="39"/>
  <c r="N17" i="39"/>
  <c r="G17" i="39"/>
  <c r="E17" i="39"/>
  <c r="R16" i="39"/>
  <c r="N16" i="39"/>
  <c r="E16" i="39"/>
  <c r="G16" i="39" s="1"/>
  <c r="R15" i="39"/>
  <c r="N15" i="39"/>
  <c r="G15" i="39"/>
  <c r="E15" i="39"/>
  <c r="R14" i="39"/>
  <c r="N14" i="39"/>
  <c r="E14" i="39"/>
  <c r="G14" i="39" s="1"/>
  <c r="R13" i="39"/>
  <c r="N13" i="39"/>
  <c r="G13" i="39"/>
  <c r="E13" i="39"/>
  <c r="R12" i="39"/>
  <c r="N12" i="39"/>
  <c r="L12" i="39"/>
  <c r="E12" i="39"/>
  <c r="G12" i="39" s="1"/>
  <c r="R11" i="39"/>
  <c r="N11" i="39"/>
  <c r="L11" i="39"/>
  <c r="E11" i="39"/>
  <c r="G11" i="39" s="1"/>
  <c r="R10" i="39"/>
  <c r="N10" i="39"/>
  <c r="L10" i="39"/>
  <c r="E10" i="39"/>
  <c r="G10" i="39" s="1"/>
  <c r="R9" i="39"/>
  <c r="N9" i="39"/>
  <c r="L9" i="39"/>
  <c r="G9" i="39"/>
  <c r="E9" i="39"/>
  <c r="R8" i="39"/>
  <c r="N8" i="39"/>
  <c r="L8" i="39"/>
  <c r="E8" i="39"/>
  <c r="G8" i="39" s="1"/>
  <c r="R7" i="39"/>
  <c r="N7" i="39"/>
  <c r="L7" i="39"/>
  <c r="E7" i="39"/>
  <c r="G7" i="39" s="1"/>
  <c r="R6" i="39"/>
  <c r="N6" i="39"/>
  <c r="L6" i="39"/>
  <c r="E6" i="39"/>
  <c r="G6" i="39" s="1"/>
  <c r="R5" i="39"/>
  <c r="N5" i="39"/>
  <c r="L5" i="39"/>
  <c r="G5" i="39"/>
  <c r="E5" i="39"/>
  <c r="R4" i="39"/>
  <c r="N4" i="39"/>
  <c r="L4" i="39"/>
  <c r="E4" i="39"/>
  <c r="G4" i="39" s="1"/>
  <c r="R3" i="39"/>
  <c r="N3" i="39"/>
  <c r="L3" i="39"/>
  <c r="E3" i="39"/>
  <c r="G3" i="39" s="1"/>
  <c r="E24" i="38"/>
  <c r="E23" i="38"/>
  <c r="E22" i="38"/>
  <c r="E21" i="38"/>
  <c r="E20" i="38"/>
  <c r="E19" i="38"/>
  <c r="E18" i="38"/>
  <c r="E17" i="38"/>
  <c r="E16" i="38"/>
  <c r="E15" i="38"/>
  <c r="E14" i="38"/>
  <c r="E13" i="38"/>
  <c r="E12" i="38"/>
  <c r="E11" i="38"/>
  <c r="E10" i="38"/>
  <c r="E9" i="38"/>
  <c r="E8" i="38"/>
  <c r="E7" i="38"/>
  <c r="E6" i="38"/>
  <c r="E5" i="38"/>
  <c r="E4" i="38"/>
  <c r="E3" i="38"/>
  <c r="B30" i="37"/>
  <c r="B29" i="37"/>
  <c r="B28" i="37"/>
  <c r="G27" i="37"/>
  <c r="B27" i="37"/>
  <c r="G26" i="37"/>
  <c r="B26" i="37"/>
  <c r="G25" i="37"/>
  <c r="B25" i="37"/>
  <c r="G24" i="37"/>
  <c r="B24" i="37"/>
  <c r="G23" i="37"/>
  <c r="B23" i="37"/>
  <c r="G22" i="37"/>
  <c r="B22" i="37"/>
  <c r="J21" i="37"/>
  <c r="G21" i="37"/>
  <c r="B21" i="37"/>
  <c r="J20" i="37"/>
  <c r="G20" i="37"/>
  <c r="B20" i="37"/>
  <c r="J19" i="37"/>
  <c r="G19" i="37"/>
  <c r="B19" i="37"/>
  <c r="J18" i="37"/>
  <c r="G18" i="37"/>
  <c r="B18" i="37"/>
  <c r="J17" i="37"/>
  <c r="G17" i="37"/>
  <c r="B17" i="37"/>
  <c r="M16" i="37"/>
  <c r="J16" i="37"/>
  <c r="G16" i="37"/>
  <c r="B16" i="37"/>
  <c r="M15" i="37"/>
  <c r="J15" i="37"/>
  <c r="G15" i="37"/>
  <c r="B15" i="37"/>
  <c r="M14" i="37"/>
  <c r="J14" i="37"/>
  <c r="G14" i="37"/>
  <c r="B14" i="37"/>
  <c r="M13" i="37"/>
  <c r="J13" i="37"/>
  <c r="G13" i="37"/>
  <c r="B13" i="37"/>
  <c r="M12" i="37"/>
  <c r="J12" i="37"/>
  <c r="G12" i="37"/>
  <c r="B12" i="37"/>
  <c r="M11" i="37"/>
  <c r="J11" i="37"/>
  <c r="G11" i="37"/>
  <c r="B11" i="37"/>
  <c r="M10" i="37"/>
  <c r="J10" i="37"/>
  <c r="G10" i="37"/>
  <c r="B10" i="37"/>
  <c r="M9" i="37"/>
  <c r="J9" i="37"/>
  <c r="G9" i="37"/>
  <c r="B9" i="37"/>
  <c r="M8" i="37"/>
  <c r="J8" i="37"/>
  <c r="G8" i="37"/>
  <c r="B8" i="37"/>
  <c r="M7" i="37"/>
  <c r="J7" i="37"/>
  <c r="G7" i="37"/>
  <c r="B7" i="37"/>
  <c r="M6" i="37"/>
  <c r="J6" i="37"/>
  <c r="G6" i="37"/>
  <c r="B6" i="37"/>
  <c r="M5" i="37"/>
  <c r="J5" i="37"/>
  <c r="G5" i="37"/>
  <c r="B5" i="37"/>
  <c r="M4" i="37"/>
  <c r="J4" i="37"/>
  <c r="G4" i="37"/>
  <c r="B4" i="37"/>
  <c r="M3" i="37"/>
  <c r="J3" i="37"/>
  <c r="G3" i="37"/>
  <c r="B3" i="37"/>
  <c r="S24" i="35"/>
  <c r="S23" i="35"/>
  <c r="S22" i="35"/>
  <c r="S21" i="35"/>
  <c r="S20" i="35"/>
  <c r="S19" i="35"/>
  <c r="J19" i="35"/>
  <c r="S18" i="35"/>
  <c r="M18" i="35"/>
  <c r="J18" i="35"/>
  <c r="D18" i="35"/>
  <c r="S17" i="35"/>
  <c r="M17" i="35"/>
  <c r="J17" i="35"/>
  <c r="D17" i="35"/>
  <c r="S16" i="35"/>
  <c r="M16" i="35"/>
  <c r="J16" i="35"/>
  <c r="D16" i="35"/>
  <c r="S15" i="35"/>
  <c r="M15" i="35"/>
  <c r="J15" i="35"/>
  <c r="D15" i="35"/>
  <c r="S14" i="35"/>
  <c r="M14" i="35"/>
  <c r="J14" i="35"/>
  <c r="D14" i="35"/>
  <c r="S13" i="35"/>
  <c r="M13" i="35"/>
  <c r="J13" i="35"/>
  <c r="D13" i="35"/>
  <c r="S12" i="35"/>
  <c r="M12" i="35"/>
  <c r="J12" i="35"/>
  <c r="D12" i="35"/>
  <c r="S11" i="35"/>
  <c r="M11" i="35"/>
  <c r="J11" i="35"/>
  <c r="D11" i="35"/>
  <c r="S10" i="35"/>
  <c r="M10" i="35"/>
  <c r="J10" i="35"/>
  <c r="D10" i="35"/>
  <c r="S9" i="35"/>
  <c r="M9" i="35"/>
  <c r="J9" i="35"/>
  <c r="D9" i="35"/>
  <c r="S8" i="35"/>
  <c r="M8" i="35"/>
  <c r="J8" i="35"/>
  <c r="D8" i="35"/>
  <c r="S7" i="35"/>
  <c r="M7" i="35"/>
  <c r="J7" i="35"/>
  <c r="D7" i="35"/>
  <c r="S6" i="35"/>
  <c r="M6" i="35"/>
  <c r="J6" i="35"/>
  <c r="D6" i="35"/>
  <c r="S5" i="35"/>
  <c r="M5" i="35"/>
  <c r="J5" i="35"/>
  <c r="D5" i="35"/>
  <c r="S4" i="35"/>
  <c r="M4" i="35"/>
  <c r="J4" i="35"/>
  <c r="D4" i="35"/>
  <c r="S3" i="35"/>
  <c r="M3" i="35"/>
  <c r="J3" i="35"/>
  <c r="D3" i="35"/>
  <c r="I29" i="33"/>
  <c r="I28" i="33"/>
  <c r="I27" i="33"/>
  <c r="I26" i="33"/>
  <c r="Q25" i="33"/>
  <c r="I25" i="33"/>
  <c r="Q24" i="33"/>
  <c r="Q23" i="33"/>
  <c r="Q22" i="33"/>
  <c r="Q21" i="33"/>
  <c r="T20" i="33"/>
  <c r="Q20" i="33"/>
  <c r="J20" i="33"/>
  <c r="T19" i="33"/>
  <c r="Q19" i="33"/>
  <c r="J19" i="33"/>
  <c r="T18" i="33"/>
  <c r="Q18" i="33"/>
  <c r="J18" i="33"/>
  <c r="T17" i="33"/>
  <c r="Q17" i="33"/>
  <c r="J17" i="33"/>
  <c r="T16" i="33"/>
  <c r="Q16" i="33"/>
  <c r="J16" i="33"/>
  <c r="T15" i="33"/>
  <c r="Q15" i="33"/>
  <c r="J15" i="33"/>
  <c r="T14" i="33"/>
  <c r="Q14" i="33"/>
  <c r="J14" i="33"/>
  <c r="T13" i="33"/>
  <c r="Q13" i="33"/>
  <c r="J13" i="33"/>
  <c r="F13" i="33"/>
  <c r="T12" i="33"/>
  <c r="Q12" i="33"/>
  <c r="J12" i="33"/>
  <c r="F12" i="33"/>
  <c r="T11" i="33"/>
  <c r="Q11" i="33"/>
  <c r="J11" i="33"/>
  <c r="F11" i="33"/>
  <c r="T10" i="33"/>
  <c r="Q10" i="33"/>
  <c r="J10" i="33"/>
  <c r="F10" i="33"/>
  <c r="T9" i="33"/>
  <c r="Q9" i="33"/>
  <c r="J9" i="33"/>
  <c r="F9" i="33"/>
  <c r="T8" i="33"/>
  <c r="Q8" i="33"/>
  <c r="J8" i="33"/>
  <c r="F8" i="33"/>
  <c r="T7" i="33"/>
  <c r="Q7" i="33"/>
  <c r="J7" i="33"/>
  <c r="F7" i="33"/>
  <c r="T6" i="33"/>
  <c r="Q6" i="33"/>
  <c r="J6" i="33"/>
  <c r="F6" i="33"/>
  <c r="T5" i="33"/>
  <c r="Q5" i="33"/>
  <c r="J5" i="33"/>
  <c r="F5" i="33"/>
  <c r="T4" i="33"/>
  <c r="Q4" i="33"/>
  <c r="J4" i="33"/>
  <c r="F4" i="33"/>
  <c r="T3" i="33"/>
  <c r="Q3" i="33"/>
  <c r="J3" i="33"/>
  <c r="F3" i="33"/>
  <c r="O30" i="21"/>
  <c r="O29" i="21"/>
  <c r="O28" i="21"/>
  <c r="O27" i="21"/>
  <c r="O26" i="21"/>
  <c r="O25" i="21"/>
  <c r="O24" i="21"/>
  <c r="O23" i="21"/>
  <c r="O22" i="21"/>
  <c r="O21" i="21"/>
  <c r="O20" i="21"/>
  <c r="O19" i="21"/>
  <c r="O18" i="21"/>
  <c r="O17" i="21"/>
  <c r="O16" i="21"/>
  <c r="O15" i="21"/>
  <c r="O14" i="21"/>
  <c r="O13" i="21"/>
  <c r="O12" i="21"/>
  <c r="O11" i="21"/>
  <c r="O10" i="21"/>
  <c r="O9" i="21"/>
  <c r="O8" i="21"/>
  <c r="O7" i="21"/>
  <c r="O6" i="21"/>
  <c r="O5" i="21"/>
  <c r="O4" i="21"/>
  <c r="O3" i="21"/>
  <c r="L27" i="61"/>
  <c r="E10" i="61"/>
  <c r="E31" i="61"/>
  <c r="L22" i="61"/>
  <c r="L25" i="61"/>
  <c r="L3" i="61"/>
  <c r="L4" i="61"/>
  <c r="E5" i="61"/>
  <c r="L13" i="61"/>
  <c r="R30" i="61"/>
  <c r="R25" i="61"/>
  <c r="R24" i="61"/>
  <c r="L11" i="61"/>
  <c r="E14" i="61"/>
  <c r="E23" i="61"/>
  <c r="L9" i="61"/>
  <c r="L6" i="61"/>
  <c r="E22" i="61"/>
  <c r="R27" i="61"/>
  <c r="R5" i="61"/>
  <c r="L7" i="61"/>
  <c r="L28" i="61"/>
  <c r="E15" i="61"/>
  <c r="E3" i="61"/>
  <c r="R9" i="61"/>
  <c r="R3" i="61"/>
  <c r="L5" i="61"/>
  <c r="E13" i="61"/>
  <c r="R20" i="61"/>
  <c r="E9" i="61"/>
  <c r="L8" i="61"/>
  <c r="R26" i="61"/>
  <c r="E19" i="61"/>
  <c r="L21" i="61"/>
  <c r="E21" i="61"/>
  <c r="E25" i="61"/>
  <c r="R21" i="61"/>
  <c r="L12" i="61"/>
  <c r="E20" i="61"/>
  <c r="L14" i="61"/>
  <c r="E29" i="61"/>
  <c r="L30" i="61"/>
  <c r="E4" i="61"/>
  <c r="R19" i="61"/>
  <c r="R31" i="61"/>
  <c r="E12" i="61"/>
  <c r="E28" i="61"/>
  <c r="R23" i="61"/>
  <c r="R8" i="61"/>
  <c r="L26" i="61"/>
  <c r="E11" i="61"/>
  <c r="L10" i="61"/>
  <c r="E26" i="61"/>
  <c r="R7" i="61"/>
  <c r="R28" i="61"/>
  <c r="L23" i="61"/>
  <c r="R22" i="61"/>
  <c r="R4" i="61"/>
  <c r="R14" i="61"/>
  <c r="R15" i="61"/>
  <c r="E27" i="61"/>
  <c r="L19" i="61"/>
  <c r="L29" i="61"/>
  <c r="L20" i="61"/>
  <c r="E7" i="61"/>
  <c r="E6" i="61"/>
  <c r="R10" i="61"/>
  <c r="E24" i="61"/>
  <c r="R13" i="61"/>
  <c r="E8" i="61"/>
  <c r="R6" i="61"/>
  <c r="R29" i="61"/>
  <c r="L31" i="61"/>
  <c r="E30" i="61"/>
  <c r="L24" i="61"/>
  <c r="L15" i="61"/>
  <c r="R12" i="61"/>
  <c r="R11" i="61"/>
  <c r="G11" i="49" l="1"/>
  <c r="H13" i="51"/>
  <c r="K28" i="57"/>
  <c r="T6" i="57"/>
  <c r="K29" i="57"/>
  <c r="U5" i="57"/>
  <c r="S9" i="59"/>
  <c r="S5" i="59"/>
  <c r="T5" i="57"/>
  <c r="B33" i="59" a="1"/>
  <c r="B33" i="59" s="1"/>
  <c r="B32" i="59" a="1"/>
  <c r="B32" i="59" s="1"/>
  <c r="B31" i="59" a="1"/>
  <c r="B31" i="59" s="1"/>
  <c r="B30" i="59" a="1"/>
  <c r="B30" i="59" s="1"/>
  <c r="K30" i="57"/>
  <c r="T8" i="57"/>
  <c r="U7" i="57"/>
  <c r="S7" i="59"/>
  <c r="S10" i="59"/>
  <c r="K18" i="27" l="1"/>
  <c r="K19" i="27"/>
  <c r="K20" i="27"/>
  <c r="K21" i="27"/>
  <c r="K22" i="27"/>
  <c r="K23" i="27"/>
  <c r="K24" i="27"/>
  <c r="K17" i="27"/>
  <c r="D18" i="27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K16" i="25"/>
  <c r="K17" i="25"/>
  <c r="K18" i="25"/>
  <c r="K19" i="25"/>
  <c r="K20" i="25"/>
  <c r="K21" i="25"/>
  <c r="K22" i="25"/>
  <c r="K23" i="25"/>
  <c r="K15" i="25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H28" i="21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E30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E25" i="3"/>
  <c r="K12" i="3"/>
  <c r="E4" i="3"/>
  <c r="E5" i="3"/>
  <c r="E6" i="3"/>
  <c r="E7" i="3"/>
  <c r="E8" i="3"/>
  <c r="E9" i="3"/>
  <c r="E10" i="3"/>
  <c r="E11" i="3"/>
  <c r="E12" i="3"/>
  <c r="E3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I3" i="1"/>
  <c r="D3" i="1"/>
  <c r="J24" i="27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J24" i="13" l="1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E4" i="6"/>
  <c r="E3" i="6"/>
  <c r="K11" i="3"/>
  <c r="K10" i="3"/>
  <c r="K9" i="3"/>
  <c r="K8" i="3"/>
  <c r="K7" i="3"/>
  <c r="K6" i="3"/>
  <c r="K5" i="3"/>
  <c r="K4" i="3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C7" i="1"/>
  <c r="C6" i="1"/>
  <c r="C5" i="1"/>
  <c r="C4" i="1"/>
  <c r="C3" i="1"/>
</calcChain>
</file>

<file path=xl/sharedStrings.xml><?xml version="1.0" encoding="utf-8"?>
<sst xmlns="http://schemas.openxmlformats.org/spreadsheetml/2006/main" count="6202" uniqueCount="2522">
  <si>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</si>
  <si>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</si>
  <si>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</si>
  <si>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</si>
  <si>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</si>
  <si>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</si>
  <si>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</si>
  <si>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</si>
  <si>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</si>
  <si>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</si>
  <si>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</si>
  <si>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</si>
  <si>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</si>
  <si>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</si>
  <si>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</si>
  <si>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</si>
  <si>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</si>
  <si>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</si>
  <si>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</si>
  <si>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</si>
  <si>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</si>
  <si>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</si>
  <si>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</si>
  <si>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</si>
  <si>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</si>
  <si>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</si>
  <si>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</si>
  <si>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</si>
  <si>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</si>
  <si>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</si>
  <si>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</si>
  <si>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</si>
  <si>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</si>
  <si>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</si>
  <si>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</si>
  <si>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</si>
  <si>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</si>
  <si>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</si>
  <si>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</si>
  <si>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</si>
  <si>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</si>
  <si>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</si>
  <si>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</si>
  <si>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</si>
  <si>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</si>
  <si>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</si>
  <si>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</si>
  <si>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</si>
  <si>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</si>
  <si>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</si>
  <si>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</si>
  <si>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</si>
  <si>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</si>
  <si>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</si>
  <si>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</si>
  <si>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</si>
  <si>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</si>
  <si>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</si>
  <si>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</si>
  <si>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</si>
  <si>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</si>
  <si>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</si>
  <si>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</si>
  <si>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</si>
  <si>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</si>
  <si>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</si>
  <si>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</si>
  <si>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</si>
  <si>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</si>
  <si>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</si>
  <si>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</si>
  <si>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</si>
  <si>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</si>
  <si>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</si>
  <si>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</si>
  <si>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</si>
  <si>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</si>
  <si>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</si>
  <si>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</si>
  <si>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</si>
  <si>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</si>
  <si>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</si>
  <si>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</si>
  <si>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</si>
  <si>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</si>
  <si>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</si>
  <si>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</si>
  <si>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</si>
  <si>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</si>
  <si>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</si>
  <si>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</si>
  <si>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</si>
  <si>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</si>
  <si>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</si>
  <si>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</si>
  <si>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</si>
  <si>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</si>
  <si>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</si>
  <si>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</si>
  <si>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</si>
  <si>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</si>
  <si>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</si>
  <si>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</si>
  <si>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</si>
  <si>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</si>
  <si>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</si>
  <si>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</si>
  <si>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</si>
  <si>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</si>
  <si>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</si>
  <si>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</si>
  <si>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</si>
  <si>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</si>
  <si>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</si>
  <si>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</si>
  <si>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</si>
  <si>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</si>
  <si>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</si>
  <si>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</si>
  <si>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</si>
  <si>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</si>
  <si>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</si>
  <si>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</si>
  <si>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</si>
  <si>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</si>
  <si>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</si>
  <si>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</si>
  <si>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</si>
  <si>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</si>
  <si>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</si>
  <si>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</si>
  <si>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</si>
  <si>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</si>
  <si>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</si>
  <si>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</si>
  <si>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</si>
  <si>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</si>
  <si>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</si>
  <si>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</si>
  <si>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</si>
  <si>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</si>
  <si>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</si>
  <si>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</si>
  <si>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</si>
  <si>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</si>
  <si>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</si>
  <si>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</si>
  <si>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</si>
  <si>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</si>
  <si>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</si>
  <si>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</si>
  <si>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</si>
  <si>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</si>
  <si>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</si>
  <si>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</si>
  <si>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</si>
  <si>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</si>
  <si>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</si>
  <si>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</si>
  <si>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</si>
  <si>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</si>
  <si>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</si>
  <si>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</si>
  <si>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</si>
  <si>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</si>
  <si>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</si>
  <si>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</si>
  <si>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</si>
  <si>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</si>
  <si>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</si>
  <si>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</si>
  <si>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</si>
  <si>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</si>
  <si>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</si>
  <si>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</si>
  <si>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</si>
  <si>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</si>
  <si>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</si>
  <si>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</si>
  <si>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</si>
  <si>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</si>
  <si>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</si>
  <si>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</si>
  <si>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</si>
  <si>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</si>
  <si>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</si>
  <si>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</si>
  <si>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</si>
  <si>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</si>
  <si>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</si>
  <si>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</si>
  <si>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</si>
  <si>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</si>
  <si>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</si>
  <si>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</si>
  <si>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</si>
  <si>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</si>
  <si>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</si>
  <si>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</si>
  <si>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</si>
  <si>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</si>
  <si>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</si>
  <si>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</si>
  <si>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</si>
  <si>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</si>
  <si>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</si>
  <si>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</si>
  <si>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</si>
  <si>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</si>
  <si>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</si>
  <si>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</si>
  <si>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</si>
  <si>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</si>
  <si>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</si>
  <si>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</si>
  <si>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성과금 지급 현황</t>
    <phoneticPr fontId="2" type="noConversion"/>
  </si>
  <si>
    <t>[표2]</t>
    <phoneticPr fontId="2" type="noConversion"/>
  </si>
  <si>
    <t>제품 판매 현황</t>
    <phoneticPr fontId="2" type="noConversion"/>
  </si>
  <si>
    <t>사원명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</si>
  <si>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</si>
  <si>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</si>
  <si>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</si>
  <si>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성과금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</si>
  <si>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</si>
  <si>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</si>
  <si>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</si>
  <si>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</si>
  <si>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한국민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</si>
  <si>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</si>
  <si>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</si>
  <si>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</si>
  <si>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조윤아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</si>
  <si>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</si>
  <si>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</si>
  <si>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</si>
  <si>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이희선</t>
    <phoneticPr fontId="2" type="noConversion"/>
  </si>
  <si>
    <t>체육</t>
    <phoneticPr fontId="2" type="noConversion"/>
  </si>
  <si>
    <t>훌라후프</t>
    <phoneticPr fontId="2" type="noConversion"/>
  </si>
  <si>
    <t>김지영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</si>
  <si>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</si>
  <si>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</si>
  <si>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</si>
  <si>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김석준</t>
    <phoneticPr fontId="2" type="noConversion"/>
  </si>
  <si>
    <t>파스텔</t>
    <phoneticPr fontId="2" type="noConversion"/>
  </si>
  <si>
    <t>이가인</t>
    <phoneticPr fontId="2" type="noConversion"/>
  </si>
  <si>
    <t>대리</t>
    <phoneticPr fontId="2" type="noConversion"/>
  </si>
  <si>
    <t>축구공</t>
    <phoneticPr fontId="2" type="noConversion"/>
  </si>
  <si>
    <t>권성철</t>
    <phoneticPr fontId="2" type="noConversion"/>
  </si>
  <si>
    <t>사원</t>
    <phoneticPr fontId="2" type="noConversion"/>
  </si>
  <si>
    <t>리코더</t>
    <phoneticPr fontId="2" type="noConversion"/>
  </si>
  <si>
    <t>안덕성</t>
    <phoneticPr fontId="2" type="noConversion"/>
  </si>
  <si>
    <t>체육</t>
    <phoneticPr fontId="2" type="noConversion"/>
  </si>
  <si>
    <t>줄넘기</t>
    <phoneticPr fontId="2" type="noConversion"/>
  </si>
  <si>
    <t>오연주</t>
    <phoneticPr fontId="2" type="noConversion"/>
  </si>
  <si>
    <t>사원</t>
    <phoneticPr fontId="2" type="noConversion"/>
  </si>
  <si>
    <t>미술</t>
    <phoneticPr fontId="2" type="noConversion"/>
  </si>
  <si>
    <t>물감</t>
    <phoneticPr fontId="2" type="noConversion"/>
  </si>
  <si>
    <t>김도연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</si>
  <si>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</si>
  <si>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</si>
  <si>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</si>
  <si>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</si>
  <si>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</si>
  <si>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</si>
  <si>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</si>
  <si>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</si>
  <si>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</si>
  <si>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</si>
  <si>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</si>
  <si>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</si>
  <si>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</si>
  <si>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</si>
  <si>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</si>
  <si>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</si>
  <si>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</si>
  <si>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</si>
  <si>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</si>
  <si>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</si>
  <si>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</si>
  <si>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</si>
  <si>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</si>
  <si>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</si>
  <si>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</si>
  <si>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</si>
  <si>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</si>
  <si>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</si>
  <si>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</si>
  <si>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</si>
  <si>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</si>
  <si>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</si>
  <si>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</si>
  <si>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</si>
  <si>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</si>
  <si>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</si>
  <si>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</si>
  <si>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</si>
  <si>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</si>
  <si>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</si>
  <si>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</si>
  <si>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</si>
  <si>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</si>
  <si>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</si>
  <si>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</si>
  <si>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</si>
  <si>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</si>
  <si>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</si>
  <si>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</si>
  <si>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</si>
  <si>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</si>
  <si>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</si>
  <si>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</si>
  <si>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</si>
  <si>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</si>
  <si>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</si>
  <si>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</si>
  <si>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</si>
  <si>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</si>
  <si>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</si>
  <si>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</si>
  <si>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</si>
  <si>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</si>
  <si>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</si>
  <si>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</si>
  <si>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</si>
  <si>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</si>
  <si>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</si>
  <si>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</si>
  <si>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</si>
  <si>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</si>
  <si>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</si>
  <si>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</si>
  <si>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</si>
  <si>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</si>
  <si>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</si>
  <si>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</si>
  <si>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</si>
  <si>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</si>
  <si>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</si>
  <si>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</si>
  <si>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</si>
  <si>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</si>
  <si>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</si>
  <si>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</si>
  <si>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</si>
  <si>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</si>
  <si>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</si>
  <si>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</si>
  <si>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</si>
  <si>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</si>
  <si>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</si>
  <si>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</si>
  <si>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</si>
  <si>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</si>
  <si>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</si>
  <si>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</si>
  <si>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</si>
  <si>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</si>
  <si>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</si>
  <si>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</si>
  <si>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</si>
  <si>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</si>
  <si>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</si>
  <si>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</si>
  <si>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</si>
  <si>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</si>
  <si>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</si>
  <si>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</si>
  <si>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</si>
  <si>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</si>
  <si>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</si>
  <si>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</si>
  <si>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</si>
  <si>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</si>
  <si>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</si>
  <si>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</si>
  <si>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</si>
  <si>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</si>
  <si>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</si>
  <si>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</si>
  <si>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</si>
  <si>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</si>
  <si>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</si>
  <si>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</si>
  <si>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</si>
  <si>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</si>
  <si>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</si>
  <si>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</si>
  <si>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</si>
  <si>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</si>
  <si>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</si>
  <si>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</si>
  <si>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</si>
  <si>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</si>
  <si>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</si>
  <si>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</si>
  <si>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</si>
  <si>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</si>
  <si>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</si>
  <si>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</si>
  <si>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</si>
  <si>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</si>
  <si>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</si>
  <si>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</si>
  <si>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</si>
  <si>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</si>
  <si>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</si>
  <si>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</si>
  <si>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</si>
  <si>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</si>
  <si>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</si>
  <si>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</si>
  <si>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</si>
  <si>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</si>
  <si>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</si>
  <si>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</si>
  <si>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</si>
  <si>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</si>
  <si>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</si>
  <si>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</si>
  <si>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</si>
  <si>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</si>
  <si>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</si>
  <si>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</si>
  <si>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</si>
  <si>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</si>
  <si>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</si>
  <si>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</si>
  <si>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</si>
  <si>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</si>
  <si>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</si>
  <si>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</si>
  <si>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</si>
  <si>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</si>
  <si>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</si>
  <si>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</si>
  <si>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</si>
  <si>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</si>
  <si>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</si>
  <si>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</si>
  <si>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</si>
  <si>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</si>
  <si>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</si>
  <si>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</si>
  <si>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</si>
  <si>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</si>
  <si>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</si>
  <si>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</si>
  <si>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</si>
  <si>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</si>
  <si>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</si>
  <si>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</si>
  <si>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</si>
  <si>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</si>
  <si>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</si>
  <si>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</si>
  <si>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</si>
  <si>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</si>
  <si>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</si>
  <si>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</si>
  <si>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</si>
  <si>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</si>
  <si>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</si>
  <si>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</si>
  <si>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</si>
  <si>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</si>
  <si>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</si>
  <si>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</si>
  <si>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</si>
  <si>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</si>
  <si>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</si>
  <si>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</si>
  <si>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</si>
  <si>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</si>
  <si>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</si>
  <si>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</si>
  <si>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</si>
  <si>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</si>
  <si>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</si>
  <si>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</si>
  <si>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</si>
  <si>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</si>
  <si>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</si>
  <si>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</si>
  <si>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</si>
  <si>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</si>
  <si>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</si>
  <si>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</si>
  <si>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</si>
  <si>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</si>
  <si>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</si>
  <si>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</si>
  <si>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</si>
  <si>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</si>
  <si>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</si>
  <si>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</si>
  <si>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</si>
  <si>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</si>
  <si>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</si>
  <si>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</si>
  <si>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</si>
  <si>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</si>
  <si>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</si>
  <si>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</si>
  <si>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</si>
  <si>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</si>
  <si>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</si>
  <si>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</si>
  <si>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</si>
  <si>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</si>
  <si>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</si>
  <si>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</si>
  <si>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</si>
  <si>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</si>
  <si>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</si>
  <si>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</si>
  <si>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</si>
  <si>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</si>
  <si>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</si>
  <si>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</si>
  <si>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</si>
  <si>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</si>
  <si>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</si>
  <si>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</si>
  <si>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</si>
  <si>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</si>
  <si>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</si>
  <si>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</si>
  <si>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</si>
  <si>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</si>
  <si>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</si>
  <si>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</si>
  <si>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</si>
  <si>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</si>
  <si>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</si>
  <si>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</si>
  <si>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</si>
  <si>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</si>
  <si>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</si>
  <si>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</si>
  <si>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</si>
  <si>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</si>
  <si>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</si>
  <si>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</si>
  <si>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</si>
  <si>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</si>
  <si>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</si>
  <si>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</si>
  <si>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</si>
  <si>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</si>
  <si>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</si>
  <si>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</si>
  <si>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</si>
  <si>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</si>
  <si>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</si>
  <si>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</si>
  <si>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</si>
  <si>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</si>
  <si>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</si>
  <si>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</si>
  <si>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</si>
  <si>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</si>
  <si>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</si>
  <si>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</si>
  <si>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</si>
  <si>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</si>
  <si>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</si>
  <si>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</si>
  <si>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</si>
  <si>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</si>
  <si>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</si>
  <si>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</si>
  <si>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</si>
  <si>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</si>
  <si>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</si>
  <si>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</si>
  <si>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</si>
  <si>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</si>
  <si>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</si>
  <si>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</si>
  <si>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</si>
  <si>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</si>
  <si>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</si>
  <si>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</si>
  <si>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</si>
  <si>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</si>
  <si>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</si>
  <si>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</si>
  <si>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</si>
  <si>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</si>
  <si>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</si>
  <si>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</si>
  <si>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</si>
  <si>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</si>
  <si>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</si>
  <si>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</si>
  <si>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</si>
  <si>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</si>
  <si>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</si>
  <si>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</si>
  <si>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</si>
  <si>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</si>
  <si>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</si>
  <si>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</si>
  <si>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</si>
  <si>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</si>
  <si>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</si>
  <si>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</si>
  <si>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</si>
  <si>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</si>
  <si>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</si>
  <si>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</si>
  <si>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</si>
  <si>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</si>
  <si>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</si>
  <si>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</si>
  <si>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</si>
  <si>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</si>
  <si>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</si>
  <si>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</si>
  <si>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</si>
  <si>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</si>
  <si>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</si>
  <si>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</si>
  <si>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</si>
  <si>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</si>
  <si>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</si>
  <si>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</si>
  <si>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</si>
  <si>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</si>
  <si>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</si>
  <si>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</si>
  <si>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</si>
  <si>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</si>
  <si>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</si>
  <si>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</si>
  <si>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</si>
  <si>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</si>
  <si>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</si>
  <si>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</si>
  <si>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</si>
  <si>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</si>
  <si>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</si>
  <si>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</si>
  <si>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</si>
  <si>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</si>
  <si>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</si>
  <si>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</si>
  <si>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</si>
  <si>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</si>
  <si>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</si>
  <si>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</si>
  <si>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</si>
  <si>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</si>
  <si>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</si>
  <si>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</si>
  <si>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</si>
  <si>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</si>
  <si>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</si>
  <si>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</si>
  <si>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</si>
  <si>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</si>
  <si>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</si>
  <si>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</si>
  <si>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</si>
  <si>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</si>
  <si>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</si>
  <si>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</si>
  <si>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</si>
  <si>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</si>
  <si>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</si>
  <si>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</si>
  <si>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</si>
  <si>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</si>
  <si>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</si>
  <si>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</si>
  <si>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</si>
  <si>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</si>
  <si>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</si>
  <si>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</si>
  <si>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</si>
  <si>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</si>
  <si>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</si>
  <si>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</si>
  <si>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</si>
  <si>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</si>
  <si>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</si>
  <si>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</si>
  <si>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</si>
  <si>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</si>
  <si>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</si>
  <si>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</si>
  <si>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</si>
  <si>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</si>
  <si>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</si>
  <si>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</si>
  <si>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</si>
  <si>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</si>
  <si>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</si>
  <si>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</si>
  <si>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</si>
  <si>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</si>
  <si>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</si>
  <si>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</si>
  <si>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</si>
  <si>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</si>
  <si>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</si>
  <si>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</si>
  <si>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</si>
  <si>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</si>
  <si>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</si>
  <si>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</si>
  <si>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</si>
  <si>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</si>
  <si>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</si>
  <si>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</si>
  <si>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</si>
  <si>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</si>
  <si>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</si>
  <si>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</si>
  <si>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</si>
  <si>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</si>
  <si>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</si>
  <si>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</si>
  <si>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</si>
  <si>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</si>
  <si>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</si>
  <si>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</si>
  <si>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</si>
  <si>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</si>
  <si>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</si>
  <si>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</si>
  <si>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</si>
  <si>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</si>
  <si>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</si>
  <si>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</si>
  <si>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</si>
  <si>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</si>
  <si>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</si>
  <si>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</si>
  <si>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</si>
  <si>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</si>
  <si>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</si>
  <si>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</si>
  <si>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</si>
  <si>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</si>
  <si>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</si>
  <si>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</si>
  <si>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</si>
  <si>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</si>
  <si>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</si>
  <si>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</si>
  <si>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</si>
  <si>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</si>
  <si>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</si>
  <si>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</si>
  <si>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</si>
  <si>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</si>
  <si>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</si>
  <si>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</si>
  <si>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</si>
  <si>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</si>
  <si>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</si>
  <si>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</si>
  <si>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</si>
  <si>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</si>
  <si>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</si>
  <si>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</si>
  <si>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</si>
  <si>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</si>
  <si>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</si>
  <si>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</si>
  <si>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</si>
  <si>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</si>
  <si>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</si>
  <si>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</si>
  <si>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</si>
  <si>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</si>
  <si>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</si>
  <si>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</si>
  <si>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</si>
  <si>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</si>
  <si>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</si>
  <si>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</si>
  <si>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</si>
  <si>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</si>
  <si>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</si>
  <si>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</si>
  <si>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</si>
  <si>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</si>
  <si>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</si>
  <si>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</si>
  <si>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</si>
  <si>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</si>
  <si>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</si>
  <si>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</si>
  <si>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</si>
  <si>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</si>
  <si>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</si>
  <si>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</si>
  <si>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</si>
  <si>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</si>
  <si>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</si>
  <si>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</si>
  <si>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</si>
  <si>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</si>
  <si>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</si>
  <si>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</si>
  <si>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</si>
  <si>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</si>
  <si>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</si>
  <si>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</si>
  <si>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</si>
  <si>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</si>
  <si>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</si>
  <si>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</si>
  <si>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</si>
  <si>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</si>
  <si>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</si>
  <si>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</si>
  <si>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</si>
  <si>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</si>
  <si>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</si>
  <si>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</si>
  <si>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</si>
  <si>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</si>
  <si>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</si>
  <si>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</si>
  <si>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</si>
  <si>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</si>
  <si>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</si>
  <si>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</si>
  <si>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</si>
  <si>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</si>
  <si>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</si>
  <si>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</si>
  <si>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</si>
  <si>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</si>
  <si>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</si>
  <si>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</si>
  <si>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</si>
  <si>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</si>
  <si>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</si>
  <si>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</si>
  <si>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</si>
  <si>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</si>
  <si>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</si>
  <si>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</si>
  <si>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</si>
  <si>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</si>
  <si>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</si>
  <si>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</si>
  <si>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</si>
  <si>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</si>
  <si>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</si>
  <si>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</si>
  <si>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</si>
  <si>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</si>
  <si>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</si>
  <si>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</si>
  <si>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</si>
  <si>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</si>
  <si>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</si>
  <si>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</si>
  <si>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</si>
  <si>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</si>
  <si>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</si>
  <si>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</si>
  <si>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</si>
  <si>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</si>
  <si>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</si>
  <si>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</si>
  <si>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</si>
  <si>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</si>
  <si>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</si>
  <si>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</si>
  <si>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</si>
  <si>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</si>
  <si>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</si>
  <si>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</si>
  <si>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</si>
  <si>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</si>
  <si>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</si>
  <si>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</si>
  <si>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</si>
  <si>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</si>
  <si>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</si>
  <si>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</si>
  <si>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</si>
  <si>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</si>
  <si>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</si>
  <si>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</si>
  <si>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</si>
  <si>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</si>
  <si>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</si>
  <si>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</si>
  <si>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</si>
  <si>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</si>
  <si>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</si>
  <si>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</si>
  <si>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</si>
  <si>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</si>
  <si>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</si>
  <si>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</si>
  <si>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</si>
  <si>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</si>
  <si>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</si>
  <si>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</si>
  <si>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</si>
  <si>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</si>
  <si>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</si>
  <si>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</si>
  <si>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</si>
  <si>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</si>
  <si>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</si>
  <si>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</si>
  <si>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</si>
  <si>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</si>
  <si>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</si>
  <si>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</si>
  <si>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</si>
  <si>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</si>
  <si>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</si>
  <si>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</si>
  <si>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</si>
  <si>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</si>
  <si>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</si>
  <si>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</si>
  <si>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</si>
  <si>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</si>
  <si>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</si>
  <si>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</si>
  <si>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</si>
  <si>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</si>
  <si>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</si>
  <si>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</si>
  <si>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</si>
  <si>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</si>
  <si>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</si>
  <si>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</si>
  <si>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</si>
  <si>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</si>
  <si>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</si>
  <si>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</si>
  <si>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</si>
  <si>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</si>
  <si>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</si>
  <si>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</si>
  <si>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</si>
  <si>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</si>
  <si>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</si>
  <si>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</si>
  <si>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</si>
  <si>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</si>
  <si>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</si>
  <si>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</si>
  <si>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</si>
  <si>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</si>
  <si>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</si>
  <si>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</si>
  <si>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</si>
  <si>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</si>
  <si>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</si>
  <si>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</si>
  <si>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</si>
  <si>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</si>
  <si>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</si>
  <si>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</si>
  <si>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</si>
  <si>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</si>
  <si>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</si>
  <si>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</si>
  <si>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</si>
  <si>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</si>
  <si>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</si>
  <si>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</si>
  <si>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</si>
  <si>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</si>
  <si>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</si>
  <si>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</si>
  <si>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</si>
  <si>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</si>
  <si>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</si>
  <si>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</si>
  <si>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</si>
  <si>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</si>
  <si>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</si>
  <si>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</si>
  <si>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</si>
  <si>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</si>
  <si>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</si>
  <si>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</si>
  <si>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</si>
  <si>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</si>
  <si>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</si>
  <si>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</si>
  <si>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</si>
  <si>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</si>
  <si>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</si>
  <si>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</si>
  <si>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</si>
  <si>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</si>
  <si>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</si>
  <si>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</si>
  <si>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</si>
  <si>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</si>
  <si>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</si>
  <si>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</si>
  <si>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</si>
  <si>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</si>
  <si>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</si>
  <si>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</si>
  <si>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</si>
  <si>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</si>
  <si>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</si>
  <si>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</si>
  <si>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</si>
  <si>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</si>
  <si>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</si>
  <si>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</si>
  <si>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</si>
  <si>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</si>
  <si>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</si>
  <si>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</si>
  <si>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</si>
  <si>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</si>
  <si>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</si>
  <si>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</si>
  <si>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</si>
  <si>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</si>
  <si>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</si>
  <si>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</si>
  <si>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</si>
  <si>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</si>
  <si>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</si>
  <si>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</si>
  <si>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</si>
  <si>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</si>
  <si>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</si>
  <si>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</si>
  <si>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</si>
  <si>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</si>
  <si>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</si>
  <si>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</si>
  <si>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</si>
  <si>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</si>
  <si>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</si>
  <si>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</si>
  <si>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</si>
  <si>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</si>
  <si>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</si>
  <si>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</si>
  <si>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</si>
  <si>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</si>
  <si>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</si>
  <si>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</si>
  <si>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</si>
  <si>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</si>
  <si>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</si>
  <si>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</si>
  <si>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</si>
  <si>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</si>
  <si>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</si>
  <si>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</si>
  <si>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</si>
  <si>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</si>
  <si>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</si>
  <si>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</si>
  <si>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</si>
  <si>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</si>
  <si>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</si>
  <si>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</si>
  <si>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</si>
  <si>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</si>
  <si>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</si>
  <si>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</si>
  <si>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</si>
  <si>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</si>
  <si>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</si>
  <si>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</si>
  <si>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</si>
  <si>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</si>
  <si>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</si>
  <si>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</si>
  <si>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</si>
  <si>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</si>
  <si>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</si>
  <si>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</si>
  <si>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</si>
  <si>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</si>
  <si>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</si>
  <si>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</si>
  <si>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</si>
  <si>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</si>
  <si>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</si>
  <si>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</si>
  <si>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</si>
  <si>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</si>
  <si>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</si>
  <si>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</si>
  <si>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</si>
  <si>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</si>
  <si>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</si>
  <si>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</si>
  <si>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</si>
  <si>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</si>
  <si>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</si>
  <si>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</si>
  <si>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</si>
  <si>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</si>
  <si>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</si>
  <si>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</si>
  <si>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</si>
  <si>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</si>
  <si>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</si>
  <si>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</si>
  <si>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</si>
  <si>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</si>
  <si>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</si>
  <si>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</si>
  <si>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</si>
  <si>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</si>
  <si>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</si>
  <si>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</si>
  <si>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</si>
  <si>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</si>
  <si>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</si>
  <si>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</si>
  <si>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</si>
  <si>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</si>
  <si>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</si>
  <si>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</si>
  <si>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</si>
  <si>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</si>
  <si>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</si>
  <si>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</si>
  <si>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</si>
  <si>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</si>
  <si>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</si>
  <si>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</si>
  <si>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</si>
  <si>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</si>
  <si>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</si>
  <si>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</si>
  <si>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</si>
  <si>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</si>
  <si>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[표5]</t>
    <phoneticPr fontId="2" type="noConversion"/>
  </si>
  <si>
    <t>학년</t>
    <phoneticPr fontId="2" type="noConversion"/>
  </si>
  <si>
    <t>과목</t>
    <phoneticPr fontId="2" type="noConversion"/>
  </si>
  <si>
    <t>[표6] 할인율표</t>
    <phoneticPr fontId="2" type="noConversion"/>
  </si>
  <si>
    <t>고1</t>
    <phoneticPr fontId="2" type="noConversion"/>
  </si>
  <si>
    <t>수학</t>
    <phoneticPr fontId="2" type="noConversion"/>
  </si>
  <si>
    <t>고2</t>
    <phoneticPr fontId="2" type="noConversion"/>
  </si>
  <si>
    <t>고2</t>
    <phoneticPr fontId="2" type="noConversion"/>
  </si>
  <si>
    <t>고3</t>
    <phoneticPr fontId="2" type="noConversion"/>
  </si>
  <si>
    <t>고3</t>
    <phoneticPr fontId="2" type="noConversion"/>
  </si>
  <si>
    <t>영어</t>
    <phoneticPr fontId="2" type="noConversion"/>
  </si>
  <si>
    <t>국어</t>
    <phoneticPr fontId="2" type="noConversion"/>
  </si>
  <si>
    <t>기타</t>
    <phoneticPr fontId="2" type="noConversion"/>
  </si>
  <si>
    <t>고3</t>
    <phoneticPr fontId="2" type="noConversion"/>
  </si>
  <si>
    <t>국어</t>
    <phoneticPr fontId="2" type="noConversion"/>
  </si>
  <si>
    <t>고1</t>
    <phoneticPr fontId="2" type="noConversion"/>
  </si>
  <si>
    <t>영어</t>
    <phoneticPr fontId="2" type="noConversion"/>
  </si>
  <si>
    <t>수강료할인율</t>
    <phoneticPr fontId="2" type="noConversion"/>
  </si>
  <si>
    <t>[표5]</t>
    <phoneticPr fontId="2" type="noConversion"/>
  </si>
  <si>
    <t>[표7]</t>
    <phoneticPr fontId="2" type="noConversion"/>
  </si>
  <si>
    <t>[표9]</t>
    <phoneticPr fontId="2" type="noConversion"/>
  </si>
  <si>
    <t>주문코드</t>
    <phoneticPr fontId="2" type="noConversion"/>
  </si>
  <si>
    <t>주문코드</t>
    <phoneticPr fontId="2" type="noConversion"/>
  </si>
  <si>
    <t>매출액</t>
    <phoneticPr fontId="2" type="noConversion"/>
  </si>
  <si>
    <t>결제방법</t>
    <phoneticPr fontId="2" type="noConversion"/>
  </si>
  <si>
    <t>적립률</t>
    <phoneticPr fontId="2" type="noConversion"/>
  </si>
  <si>
    <t>할부기간</t>
    <phoneticPr fontId="2" type="noConversion"/>
  </si>
  <si>
    <t>지불수수료</t>
    <phoneticPr fontId="2" type="noConversion"/>
  </si>
  <si>
    <t>지불수수료</t>
    <phoneticPr fontId="2" type="noConversion"/>
  </si>
  <si>
    <t>지역</t>
    <phoneticPr fontId="2" type="noConversion"/>
  </si>
  <si>
    <t>전용면적</t>
    <phoneticPr fontId="2" type="noConversion"/>
  </si>
  <si>
    <t>청약가능액</t>
    <phoneticPr fontId="2" type="noConversion"/>
  </si>
  <si>
    <t>청약가능액</t>
    <phoneticPr fontId="2" type="noConversion"/>
  </si>
  <si>
    <t>학과코드</t>
  </si>
  <si>
    <t>TOEIC</t>
  </si>
  <si>
    <t>컴퓨터</t>
  </si>
  <si>
    <t>전공2</t>
  </si>
  <si>
    <t>평가</t>
    <phoneticPr fontId="2" type="noConversion"/>
  </si>
  <si>
    <t>회원코드</t>
    <phoneticPr fontId="2" type="noConversion"/>
  </si>
  <si>
    <t>직업</t>
    <phoneticPr fontId="2" type="noConversion"/>
  </si>
  <si>
    <t>T004</t>
    <phoneticPr fontId="2" type="noConversion"/>
  </si>
  <si>
    <t>나라카드</t>
    <phoneticPr fontId="2" type="noConversion"/>
  </si>
  <si>
    <t>서울, 부산</t>
    <phoneticPr fontId="2" type="noConversion"/>
  </si>
  <si>
    <t>최옥자</t>
  </si>
  <si>
    <t>B2</t>
  </si>
  <si>
    <t>JA140</t>
  </si>
  <si>
    <t>C005</t>
    <phoneticPr fontId="2" type="noConversion"/>
  </si>
  <si>
    <t>한국카드</t>
    <phoneticPr fontId="2" type="noConversion"/>
  </si>
  <si>
    <t>한국카드</t>
    <phoneticPr fontId="2" type="noConversion"/>
  </si>
  <si>
    <t>기타광역시</t>
    <phoneticPr fontId="2" type="noConversion"/>
  </si>
  <si>
    <t>송현우</t>
  </si>
  <si>
    <t>B1</t>
  </si>
  <si>
    <t>JB571</t>
  </si>
  <si>
    <t>V006</t>
    <phoneticPr fontId="2" type="noConversion"/>
  </si>
  <si>
    <t>기타지역</t>
    <phoneticPr fontId="2" type="noConversion"/>
  </si>
  <si>
    <t>이욱현</t>
  </si>
  <si>
    <t>C2</t>
  </si>
  <si>
    <t>JD367</t>
  </si>
  <si>
    <t>C005</t>
    <phoneticPr fontId="2" type="noConversion"/>
  </si>
  <si>
    <t>대한카드</t>
    <phoneticPr fontId="2" type="noConversion"/>
  </si>
  <si>
    <t>대한카드</t>
    <phoneticPr fontId="2" type="noConversion"/>
  </si>
  <si>
    <t>서울, 부산</t>
    <phoneticPr fontId="2" type="noConversion"/>
  </si>
  <si>
    <t>이창섭</t>
  </si>
  <si>
    <t>JC664</t>
  </si>
  <si>
    <t>T001</t>
    <phoneticPr fontId="2" type="noConversion"/>
  </si>
  <si>
    <t>김영란</t>
  </si>
  <si>
    <t>A2</t>
  </si>
  <si>
    <t>JA188</t>
  </si>
  <si>
    <t>C003</t>
    <phoneticPr fontId="2" type="noConversion"/>
  </si>
  <si>
    <t>민들레</t>
  </si>
  <si>
    <t>JC268</t>
  </si>
  <si>
    <t>V005</t>
    <phoneticPr fontId="2" type="noConversion"/>
  </si>
  <si>
    <t>기타광역시</t>
    <phoneticPr fontId="2" type="noConversion"/>
  </si>
  <si>
    <t>황유선</t>
  </si>
  <si>
    <t>JA845</t>
  </si>
  <si>
    <t>T005</t>
    <phoneticPr fontId="2" type="noConversion"/>
  </si>
  <si>
    <t>손범수</t>
  </si>
  <si>
    <t>JD977</t>
  </si>
  <si>
    <t>기타지역</t>
    <phoneticPr fontId="2" type="noConversion"/>
  </si>
  <si>
    <t>진양혜</t>
  </si>
  <si>
    <t>A1</t>
  </si>
  <si>
    <t>JE386</t>
  </si>
  <si>
    <t>김건남</t>
  </si>
  <si>
    <t>JC663</t>
  </si>
  <si>
    <t>V007</t>
    <phoneticPr fontId="2" type="noConversion"/>
  </si>
  <si>
    <t>박성미</t>
  </si>
  <si>
    <t>JC864</t>
  </si>
  <si>
    <t>김광배</t>
  </si>
  <si>
    <t>JA165</t>
  </si>
  <si>
    <t>[표2] 할부기간별 수수료율</t>
    <phoneticPr fontId="2" type="noConversion"/>
  </si>
  <si>
    <t>이무열</t>
  </si>
  <si>
    <t>JB398</t>
  </si>
  <si>
    <t>할부기간</t>
    <phoneticPr fontId="2" type="noConversion"/>
  </si>
  <si>
    <t>양창석</t>
  </si>
  <si>
    <t>JC741</t>
  </si>
  <si>
    <t>배유정</t>
  </si>
  <si>
    <t>C1</t>
  </si>
  <si>
    <t>JB661</t>
  </si>
  <si>
    <t>심상섭</t>
  </si>
  <si>
    <t>JA219</t>
  </si>
  <si>
    <t>기타카드</t>
    <phoneticPr fontId="2" type="noConversion"/>
  </si>
  <si>
    <t>권은영</t>
  </si>
  <si>
    <t>JB336</t>
  </si>
  <si>
    <t>이숙영</t>
  </si>
  <si>
    <t>JB643</t>
  </si>
  <si>
    <t>[표3] 청약가능액</t>
    <phoneticPr fontId="2" type="noConversion"/>
  </si>
  <si>
    <t>한영희</t>
  </si>
  <si>
    <t>오성식</t>
  </si>
  <si>
    <t>[표6]</t>
    <phoneticPr fontId="2" type="noConversion"/>
  </si>
  <si>
    <t>김상철</t>
  </si>
  <si>
    <t>[표10]</t>
    <phoneticPr fontId="2" type="noConversion"/>
  </si>
  <si>
    <t>[표10]</t>
    <phoneticPr fontId="2" type="noConversion"/>
  </si>
  <si>
    <t>DVD코드</t>
    <phoneticPr fontId="2" type="noConversion"/>
  </si>
  <si>
    <t>DVD코드</t>
    <phoneticPr fontId="2" type="noConversion"/>
  </si>
  <si>
    <t>타이틀명</t>
    <phoneticPr fontId="2" type="noConversion"/>
  </si>
  <si>
    <t>타이틀명</t>
    <phoneticPr fontId="2" type="noConversion"/>
  </si>
  <si>
    <t>서호형</t>
  </si>
  <si>
    <t>코드</t>
    <phoneticPr fontId="2" type="noConversion"/>
  </si>
  <si>
    <t>직업</t>
    <phoneticPr fontId="4" type="noConversion"/>
  </si>
  <si>
    <t>DVD-11</t>
    <phoneticPr fontId="2" type="noConversion"/>
  </si>
  <si>
    <t>JA</t>
  </si>
  <si>
    <t>자영업</t>
    <phoneticPr fontId="4" type="noConversion"/>
  </si>
  <si>
    <t>DVD-22</t>
    <phoneticPr fontId="2" type="noConversion"/>
  </si>
  <si>
    <t>JB</t>
  </si>
  <si>
    <t>회사원</t>
    <phoneticPr fontId="4" type="noConversion"/>
  </si>
  <si>
    <t>[표4] DVD 타이틀명</t>
    <phoneticPr fontId="2" type="noConversion"/>
  </si>
  <si>
    <t>DVD-33</t>
    <phoneticPr fontId="2" type="noConversion"/>
  </si>
  <si>
    <t>[표8]</t>
    <phoneticPr fontId="2" type="noConversion"/>
  </si>
  <si>
    <t>[표8]</t>
    <phoneticPr fontId="2" type="noConversion"/>
  </si>
  <si>
    <t>JD</t>
  </si>
  <si>
    <t>공무원</t>
    <phoneticPr fontId="4" type="noConversion"/>
  </si>
  <si>
    <t>반지의 제왕</t>
    <phoneticPr fontId="2" type="noConversion"/>
  </si>
  <si>
    <t>해리포터</t>
    <phoneticPr fontId="2" type="noConversion"/>
  </si>
  <si>
    <t>호빗</t>
    <phoneticPr fontId="2" type="noConversion"/>
  </si>
  <si>
    <t>토이스토리</t>
    <phoneticPr fontId="2" type="noConversion"/>
  </si>
  <si>
    <t>박물관은 살아 있다</t>
    <phoneticPr fontId="2" type="noConversion"/>
  </si>
  <si>
    <t>DVD-44</t>
    <phoneticPr fontId="2" type="noConversion"/>
  </si>
  <si>
    <t>DVD-44</t>
    <phoneticPr fontId="2" type="noConversion"/>
  </si>
  <si>
    <t>평균</t>
    <phoneticPr fontId="2" type="noConversion"/>
  </si>
  <si>
    <t>JC</t>
  </si>
  <si>
    <t>의사</t>
    <phoneticPr fontId="4" type="noConversion"/>
  </si>
  <si>
    <t>DVD-55</t>
    <phoneticPr fontId="2" type="noConversion"/>
  </si>
  <si>
    <t>DVD-55</t>
    <phoneticPr fontId="2" type="noConversion"/>
  </si>
  <si>
    <t>F</t>
    <phoneticPr fontId="2" type="noConversion"/>
  </si>
  <si>
    <t>D</t>
    <phoneticPr fontId="2" type="noConversion"/>
  </si>
  <si>
    <t>JE</t>
  </si>
  <si>
    <t>변호사</t>
    <phoneticPr fontId="4" type="noConversion"/>
  </si>
  <si>
    <t>지역</t>
    <phoneticPr fontId="2" type="noConversion"/>
  </si>
  <si>
    <t>평가</t>
    <phoneticPr fontId="2" type="noConversion"/>
  </si>
  <si>
    <t>기타지역</t>
    <phoneticPr fontId="2" type="noConversion"/>
  </si>
  <si>
    <t>서울, 부산</t>
    <phoneticPr fontId="2" type="noConversion"/>
  </si>
  <si>
    <t>서울, 부산</t>
    <phoneticPr fontId="2" type="noConversion"/>
  </si>
  <si>
    <t>기타광역시</t>
    <phoneticPr fontId="2" type="noConversion"/>
  </si>
  <si>
    <t>직업</t>
    <phoneticPr fontId="4" type="noConversion"/>
  </si>
  <si>
    <t>회사원</t>
    <phoneticPr fontId="4" type="noConversion"/>
  </si>
  <si>
    <t>A</t>
    <phoneticPr fontId="2" type="noConversion"/>
  </si>
  <si>
    <t xml:space="preserve">시작일 : </t>
    <phoneticPr fontId="2" type="noConversion"/>
  </si>
  <si>
    <t>[표2] 공휴일</t>
    <phoneticPr fontId="2" type="noConversion"/>
  </si>
  <si>
    <t>[표3] 수선일</t>
    <phoneticPr fontId="2" type="noConversion"/>
  </si>
  <si>
    <t>[표4] 사용기간</t>
    <phoneticPr fontId="2" type="noConversion"/>
  </si>
  <si>
    <t>행사내용</t>
    <phoneticPr fontId="2" type="noConversion"/>
  </si>
  <si>
    <t>행사일</t>
    <phoneticPr fontId="2" type="noConversion"/>
  </si>
  <si>
    <t>작업일</t>
    <phoneticPr fontId="2" type="noConversion"/>
  </si>
  <si>
    <t>날짜</t>
    <phoneticPr fontId="2" type="noConversion"/>
  </si>
  <si>
    <t>공휴일</t>
    <phoneticPr fontId="2" type="noConversion"/>
  </si>
  <si>
    <t>판매일</t>
    <phoneticPr fontId="2" type="noConversion"/>
  </si>
  <si>
    <t>수선일</t>
    <phoneticPr fontId="2" type="noConversion"/>
  </si>
  <si>
    <t>검침일</t>
    <phoneticPr fontId="2" type="noConversion"/>
  </si>
  <si>
    <t>사용기간</t>
    <phoneticPr fontId="2" type="noConversion"/>
  </si>
  <si>
    <t>제조일</t>
    <phoneticPr fontId="2" type="noConversion"/>
  </si>
  <si>
    <t>보존기간(개월)</t>
    <phoneticPr fontId="2" type="noConversion"/>
  </si>
  <si>
    <t>김기완</t>
    <phoneticPr fontId="2" type="noConversion"/>
  </si>
  <si>
    <t>돌잔치</t>
    <phoneticPr fontId="2" type="noConversion"/>
  </si>
  <si>
    <t>신정</t>
    <phoneticPr fontId="2" type="noConversion"/>
  </si>
  <si>
    <t>KL0133LI</t>
  </si>
  <si>
    <t>성정아</t>
    <phoneticPr fontId="2" type="noConversion"/>
  </si>
  <si>
    <t>삼일절</t>
    <phoneticPr fontId="2" type="noConversion"/>
  </si>
  <si>
    <t>NL0244PO</t>
  </si>
  <si>
    <t>이기봉</t>
    <phoneticPr fontId="2" type="noConversion"/>
  </si>
  <si>
    <t>어린이날</t>
    <phoneticPr fontId="2" type="noConversion"/>
  </si>
  <si>
    <t>JL0322PO</t>
  </si>
  <si>
    <t>안산진</t>
    <phoneticPr fontId="2" type="noConversion"/>
  </si>
  <si>
    <t>현충일</t>
    <phoneticPr fontId="2" type="noConversion"/>
  </si>
  <si>
    <t>KL5444PO</t>
  </si>
  <si>
    <t>이석호</t>
    <phoneticPr fontId="2" type="noConversion"/>
  </si>
  <si>
    <t>결혼식</t>
    <phoneticPr fontId="2" type="noConversion"/>
  </si>
  <si>
    <t>광복절</t>
    <phoneticPr fontId="2" type="noConversion"/>
  </si>
  <si>
    <t>SK1233PO</t>
  </si>
  <si>
    <t>양미진</t>
    <phoneticPr fontId="2" type="noConversion"/>
  </si>
  <si>
    <t>개천절</t>
    <phoneticPr fontId="2" type="noConversion"/>
  </si>
  <si>
    <t>개천절</t>
    <phoneticPr fontId="2" type="noConversion"/>
  </si>
  <si>
    <t>NL1211LI</t>
  </si>
  <si>
    <t>유인하</t>
    <phoneticPr fontId="2" type="noConversion"/>
  </si>
  <si>
    <t>한글날</t>
    <phoneticPr fontId="2" type="noConversion"/>
  </si>
  <si>
    <t>SK2922PJ</t>
  </si>
  <si>
    <t>김경지</t>
    <phoneticPr fontId="2" type="noConversion"/>
  </si>
  <si>
    <t>결혼식</t>
    <phoneticPr fontId="2" type="noConversion"/>
  </si>
  <si>
    <t>크리스마스</t>
    <phoneticPr fontId="2" type="noConversion"/>
  </si>
  <si>
    <t>NL2522KY</t>
  </si>
  <si>
    <t>이신호</t>
    <phoneticPr fontId="2" type="noConversion"/>
  </si>
  <si>
    <t>KL2133PO</t>
  </si>
  <si>
    <t>최익현</t>
    <phoneticPr fontId="2" type="noConversion"/>
  </si>
  <si>
    <t>JL2033LI</t>
  </si>
  <si>
    <t>김상중</t>
    <phoneticPr fontId="2" type="noConversion"/>
  </si>
  <si>
    <t>KL2133LI</t>
  </si>
  <si>
    <t>윤미화</t>
    <phoneticPr fontId="2" type="noConversion"/>
  </si>
  <si>
    <t>JL3211LI</t>
  </si>
  <si>
    <t>이연경</t>
    <phoneticPr fontId="2" type="noConversion"/>
  </si>
  <si>
    <t>JL0144PO</t>
  </si>
  <si>
    <t>김호야</t>
    <phoneticPr fontId="2" type="noConversion"/>
  </si>
  <si>
    <t>SK0133PI</t>
  </si>
  <si>
    <t>이솔비</t>
    <phoneticPr fontId="2" type="noConversion"/>
  </si>
  <si>
    <t>NL2311KY</t>
  </si>
  <si>
    <t>김은희</t>
    <phoneticPr fontId="2" type="noConversion"/>
  </si>
  <si>
    <t>NL1244PO</t>
  </si>
  <si>
    <t>JL2044PO</t>
  </si>
  <si>
    <t>[표5] 할인율</t>
    <phoneticPr fontId="2" type="noConversion"/>
  </si>
  <si>
    <t>JL2211LI</t>
  </si>
  <si>
    <t>남은기간</t>
    <phoneticPr fontId="2" type="noConversion"/>
  </si>
  <si>
    <t>할인율</t>
    <phoneticPr fontId="2" type="noConversion"/>
  </si>
  <si>
    <t>NL2033PO</t>
  </si>
  <si>
    <t>SK2111LI</t>
  </si>
  <si>
    <t>SK2022KY</t>
  </si>
  <si>
    <t>NL2111PO</t>
  </si>
  <si>
    <t>신정</t>
    <phoneticPr fontId="2" type="noConversion"/>
  </si>
  <si>
    <t>삼일절</t>
    <phoneticPr fontId="2" type="noConversion"/>
  </si>
  <si>
    <t>어린이날</t>
    <phoneticPr fontId="2" type="noConversion"/>
  </si>
  <si>
    <t>현충일</t>
    <phoneticPr fontId="2" type="noConversion"/>
  </si>
  <si>
    <t>광복절</t>
    <phoneticPr fontId="2" type="noConversion"/>
  </si>
  <si>
    <t>한글날</t>
    <phoneticPr fontId="2" type="noConversion"/>
  </si>
  <si>
    <t>크리스마스</t>
    <phoneticPr fontId="2" type="noConversion"/>
  </si>
  <si>
    <t>[표5] 할인율</t>
    <phoneticPr fontId="2" type="noConversion"/>
  </si>
  <si>
    <t>남은기간</t>
    <phoneticPr fontId="2" type="noConversion"/>
  </si>
  <si>
    <t>할인율</t>
    <phoneticPr fontId="2" type="noConversion"/>
  </si>
  <si>
    <t>[표1]</t>
    <phoneticPr fontId="2" type="noConversion"/>
  </si>
  <si>
    <t>[표2]</t>
    <phoneticPr fontId="2" type="noConversion"/>
  </si>
  <si>
    <t>[표3]</t>
    <phoneticPr fontId="2" type="noConversion"/>
  </si>
  <si>
    <t>[표4] 블랙박스의 판매 현황</t>
    <phoneticPr fontId="2" type="noConversion"/>
  </si>
  <si>
    <t>보험자</t>
    <phoneticPr fontId="2" type="noConversion"/>
  </si>
  <si>
    <t>피보험자</t>
    <phoneticPr fontId="4" type="noConversion"/>
  </si>
  <si>
    <t>도서명</t>
    <phoneticPr fontId="2" type="noConversion"/>
  </si>
  <si>
    <t>저자</t>
    <phoneticPr fontId="2" type="noConversion"/>
  </si>
  <si>
    <t>판매량</t>
    <phoneticPr fontId="2" type="noConversion"/>
  </si>
  <si>
    <t>판매지수</t>
    <phoneticPr fontId="4" type="noConversion"/>
  </si>
  <si>
    <t>홈페이지주소</t>
    <phoneticPr fontId="4" type="noConversion"/>
  </si>
  <si>
    <t>메일주소</t>
    <phoneticPr fontId="4" type="noConversion"/>
  </si>
  <si>
    <t>제품ID</t>
    <phoneticPr fontId="2" type="noConversion"/>
  </si>
  <si>
    <t>비고</t>
    <phoneticPr fontId="4" type="noConversion"/>
  </si>
  <si>
    <t>이은주</t>
  </si>
  <si>
    <t>송영희</t>
  </si>
  <si>
    <t>박은주</t>
  </si>
  <si>
    <t>김정아</t>
  </si>
  <si>
    <t>윤슬기</t>
  </si>
  <si>
    <t>김정수</t>
  </si>
  <si>
    <t>크리스 해드필드</t>
  </si>
  <si>
    <t>하영재</t>
  </si>
  <si>
    <t>한동주</t>
  </si>
  <si>
    <t>박지훈</t>
  </si>
  <si>
    <t>김영진</t>
  </si>
  <si>
    <t>신호와 소음</t>
    <phoneticPr fontId="2" type="noConversion"/>
  </si>
  <si>
    <t>김미영</t>
  </si>
  <si>
    <t>이미정</t>
  </si>
  <si>
    <t>김기훈</t>
  </si>
  <si>
    <t>박소현</t>
  </si>
  <si>
    <t>차호철</t>
  </si>
  <si>
    <t>김기정</t>
  </si>
  <si>
    <t>이경애</t>
  </si>
  <si>
    <t>김동우</t>
  </si>
  <si>
    <t>한보영</t>
  </si>
  <si>
    <t>신애란</t>
  </si>
  <si>
    <t>이동우</t>
  </si>
  <si>
    <t>민채린</t>
  </si>
  <si>
    <t>구영호</t>
  </si>
  <si>
    <t>한진호</t>
  </si>
  <si>
    <t>이성구</t>
    <phoneticPr fontId="2" type="noConversion"/>
  </si>
  <si>
    <t>김샛별</t>
    <phoneticPr fontId="2" type="noConversion"/>
  </si>
  <si>
    <t>이수진</t>
    <phoneticPr fontId="2" type="noConversion"/>
  </si>
  <si>
    <t>강민희</t>
    <phoneticPr fontId="2" type="noConversion"/>
  </si>
  <si>
    <t>공간이 마음을 살린다</t>
    <phoneticPr fontId="2" type="noConversion"/>
  </si>
  <si>
    <t>에스더 M. 스턴버그</t>
    <phoneticPr fontId="2" type="noConversion"/>
  </si>
  <si>
    <t>naver05.kr</t>
    <phoneticPr fontId="4" type="noConversion"/>
  </si>
  <si>
    <t>SK01-0044</t>
    <phoneticPr fontId="2" type="noConversion"/>
  </si>
  <si>
    <t>나는 돈이 없어도 경매를 한다</t>
    <phoneticPr fontId="2" type="noConversion"/>
  </si>
  <si>
    <t>이현정</t>
    <phoneticPr fontId="2" type="noConversion"/>
  </si>
  <si>
    <t>ckd9292.kr</t>
    <phoneticPr fontId="4" type="noConversion"/>
  </si>
  <si>
    <t>LK03-0049</t>
    <phoneticPr fontId="2" type="noConversion"/>
  </si>
  <si>
    <t>교감하는 부모가 아이의 십대를 살린다</t>
    <phoneticPr fontId="2" type="noConversion"/>
  </si>
  <si>
    <t>마이크 리에라</t>
    <phoneticPr fontId="2" type="noConversion"/>
  </si>
  <si>
    <t>korea7979.kr</t>
    <phoneticPr fontId="4" type="noConversion"/>
  </si>
  <si>
    <t>JB02-0053</t>
    <phoneticPr fontId="2" type="noConversion"/>
  </si>
  <si>
    <t>인포그래픽 인사이트</t>
    <phoneticPr fontId="2" type="noConversion"/>
  </si>
  <si>
    <t>송수정</t>
    <phoneticPr fontId="2" type="noConversion"/>
  </si>
  <si>
    <t>doctorkim.kr</t>
    <phoneticPr fontId="4" type="noConversion"/>
  </si>
  <si>
    <t>JB01-0047</t>
    <phoneticPr fontId="2" type="noConversion"/>
  </si>
  <si>
    <t>오바마의 설득법</t>
    <phoneticPr fontId="2" type="noConversion"/>
  </si>
  <si>
    <t>문병용</t>
    <phoneticPr fontId="2" type="noConversion"/>
  </si>
  <si>
    <t>kyh1254.kr</t>
    <phoneticPr fontId="4" type="noConversion"/>
  </si>
  <si>
    <t>SK04-0043</t>
    <phoneticPr fontId="2" type="noConversion"/>
  </si>
  <si>
    <t>우주비행사의 지구생활 안내서</t>
    <phoneticPr fontId="2" type="noConversion"/>
  </si>
  <si>
    <t>allhappy.kr</t>
    <phoneticPr fontId="4" type="noConversion"/>
  </si>
  <si>
    <t>LK02-0049</t>
    <phoneticPr fontId="2" type="noConversion"/>
  </si>
  <si>
    <t>일반상식의 재구성(교양편)</t>
    <phoneticPr fontId="2" type="noConversion"/>
  </si>
  <si>
    <t>길벗R&amp;D</t>
    <phoneticPr fontId="2" type="noConversion"/>
  </si>
  <si>
    <t>baseballma.kr</t>
    <phoneticPr fontId="4" type="noConversion"/>
  </si>
  <si>
    <t>LK02-0050</t>
    <phoneticPr fontId="2" type="noConversion"/>
  </si>
  <si>
    <t>농부가 된 도시 사람들</t>
    <phoneticPr fontId="2" type="noConversion"/>
  </si>
  <si>
    <t>김혜영</t>
    <phoneticPr fontId="2" type="noConversion"/>
  </si>
  <si>
    <t>gusaud951.kr</t>
    <phoneticPr fontId="4" type="noConversion"/>
  </si>
  <si>
    <t>JB04-0046</t>
    <phoneticPr fontId="2" type="noConversion"/>
  </si>
  <si>
    <t>드림위버</t>
    <phoneticPr fontId="2" type="noConversion"/>
  </si>
  <si>
    <t>이문성</t>
    <phoneticPr fontId="2" type="noConversion"/>
  </si>
  <si>
    <t>forever3003.kr</t>
    <phoneticPr fontId="4" type="noConversion"/>
  </si>
  <si>
    <t>LK03-0055</t>
    <phoneticPr fontId="2" type="noConversion"/>
  </si>
  <si>
    <t>네이트 실버</t>
    <phoneticPr fontId="2" type="noConversion"/>
  </si>
  <si>
    <t>mesweet.kr</t>
    <phoneticPr fontId="4" type="noConversion"/>
  </si>
  <si>
    <t>JB02-0040</t>
    <phoneticPr fontId="2" type="noConversion"/>
  </si>
  <si>
    <t>월급쟁이 재테크 상식사전</t>
    <phoneticPr fontId="2" type="noConversion"/>
  </si>
  <si>
    <t>우용표</t>
    <phoneticPr fontId="2" type="noConversion"/>
  </si>
  <si>
    <t>familylove.kr</t>
    <phoneticPr fontId="4" type="noConversion"/>
  </si>
  <si>
    <t>LK04-0044</t>
    <phoneticPr fontId="2" type="noConversion"/>
  </si>
  <si>
    <t>유럽여행 핵심사전 500</t>
    <phoneticPr fontId="2" type="noConversion"/>
  </si>
  <si>
    <t>김후영</t>
    <phoneticPr fontId="2" type="noConversion"/>
  </si>
  <si>
    <t>cooking555.kr</t>
    <phoneticPr fontId="4" type="noConversion"/>
  </si>
  <si>
    <t>LK01-0055</t>
    <phoneticPr fontId="2" type="noConversion"/>
  </si>
  <si>
    <t>인디자인</t>
    <phoneticPr fontId="2" type="noConversion"/>
  </si>
  <si>
    <t>김민국</t>
    <phoneticPr fontId="2" type="noConversion"/>
  </si>
  <si>
    <t>teacherlee.kr</t>
    <phoneticPr fontId="4" type="noConversion"/>
  </si>
  <si>
    <t>JB03-0052</t>
    <phoneticPr fontId="2" type="noConversion"/>
  </si>
  <si>
    <t>인터넷·쇼핑몰 마케팅</t>
    <phoneticPr fontId="2" type="noConversion"/>
  </si>
  <si>
    <t>최신국</t>
    <phoneticPr fontId="2" type="noConversion"/>
  </si>
  <si>
    <t>abc097.kr</t>
    <phoneticPr fontId="4" type="noConversion"/>
  </si>
  <si>
    <t>SK02-0051</t>
    <phoneticPr fontId="2" type="noConversion"/>
  </si>
  <si>
    <t>60분 공부법</t>
    <phoneticPr fontId="2" type="noConversion"/>
  </si>
  <si>
    <t>야마모토 노리아키</t>
    <phoneticPr fontId="2" type="noConversion"/>
  </si>
  <si>
    <t>suman12.kr</t>
    <phoneticPr fontId="4" type="noConversion"/>
  </si>
  <si>
    <t>CPPG 개인정보관리사</t>
    <phoneticPr fontId="2" type="noConversion"/>
  </si>
  <si>
    <t>박억남</t>
    <phoneticPr fontId="2" type="noConversion"/>
  </si>
  <si>
    <t>jjs1234.kr</t>
    <phoneticPr fontId="4" type="noConversion"/>
  </si>
  <si>
    <t>YouTube</t>
    <phoneticPr fontId="2" type="noConversion"/>
  </si>
  <si>
    <t>조민정</t>
    <phoneticPr fontId="2" type="noConversion"/>
  </si>
  <si>
    <t>88friend.kr</t>
    <phoneticPr fontId="4" type="noConversion"/>
  </si>
  <si>
    <t>철학을 권하다</t>
    <phoneticPr fontId="2" type="noConversion"/>
  </si>
  <si>
    <t>에반스</t>
    <phoneticPr fontId="2" type="noConversion"/>
  </si>
  <si>
    <t>abcdef52.kr</t>
    <phoneticPr fontId="4" type="noConversion"/>
  </si>
  <si>
    <t>치매 없는 생활습관</t>
    <phoneticPr fontId="2" type="noConversion"/>
  </si>
  <si>
    <t>오토모 에이치</t>
    <phoneticPr fontId="2" type="noConversion"/>
  </si>
  <si>
    <t>love5523.kr</t>
    <phoneticPr fontId="4" type="noConversion"/>
  </si>
  <si>
    <t xml:space="preserve">5분 편의점 요리 </t>
    <phoneticPr fontId="2" type="noConversion"/>
  </si>
  <si>
    <t>이재건</t>
    <phoneticPr fontId="2" type="noConversion"/>
  </si>
  <si>
    <t xml:space="preserve">나는 스무살에 백만장자가 되었다 </t>
    <phoneticPr fontId="2" type="noConversion"/>
  </si>
  <si>
    <t>프레이저 도허티</t>
    <phoneticPr fontId="2" type="noConversion"/>
  </si>
  <si>
    <t xml:space="preserve">캠핑 주말여행 코스북 </t>
    <phoneticPr fontId="2" type="noConversion"/>
  </si>
  <si>
    <t>서승범 외</t>
    <phoneticPr fontId="2" type="noConversion"/>
  </si>
  <si>
    <t>엑셀&amp;파워포인트</t>
    <phoneticPr fontId="2" type="noConversion"/>
  </si>
  <si>
    <t>박인성</t>
    <phoneticPr fontId="2" type="noConversion"/>
  </si>
  <si>
    <t>하루 3분 우리말 맞춤법</t>
    <phoneticPr fontId="2" type="noConversion"/>
  </si>
  <si>
    <t>김주우</t>
    <phoneticPr fontId="2" type="noConversion"/>
  </si>
  <si>
    <t>한국사능력검정시험 중급 기출문제의 재구성</t>
    <phoneticPr fontId="2" type="noConversion"/>
  </si>
  <si>
    <t>이건홍외</t>
    <phoneticPr fontId="2" type="noConversion"/>
  </si>
  <si>
    <t>[표1]</t>
    <phoneticPr fontId="2" type="noConversion"/>
  </si>
  <si>
    <t>[표3]</t>
    <phoneticPr fontId="2" type="noConversion"/>
  </si>
  <si>
    <t>[표7]</t>
    <phoneticPr fontId="2" type="noConversion"/>
  </si>
  <si>
    <t>[표8]</t>
    <phoneticPr fontId="2" type="noConversion"/>
  </si>
  <si>
    <t>구매자</t>
    <phoneticPr fontId="2" type="noConversion"/>
  </si>
  <si>
    <t>물품코드</t>
    <phoneticPr fontId="2" type="noConversion"/>
  </si>
  <si>
    <t>물품코드</t>
    <phoneticPr fontId="2" type="noConversion"/>
  </si>
  <si>
    <t>수량</t>
    <phoneticPr fontId="2" type="noConversion"/>
  </si>
  <si>
    <t>단가</t>
    <phoneticPr fontId="2" type="noConversion"/>
  </si>
  <si>
    <t>판매금액</t>
    <phoneticPr fontId="2" type="noConversion"/>
  </si>
  <si>
    <t>등급</t>
    <phoneticPr fontId="2" type="noConversion"/>
  </si>
  <si>
    <t>포인트점수</t>
    <phoneticPr fontId="2" type="noConversion"/>
  </si>
  <si>
    <t>성명</t>
    <phoneticPr fontId="2" type="noConversion"/>
  </si>
  <si>
    <t>행사내용</t>
    <phoneticPr fontId="2" type="noConversion"/>
  </si>
  <si>
    <t>인원</t>
    <phoneticPr fontId="2" type="noConversion"/>
  </si>
  <si>
    <t>홀이름</t>
    <phoneticPr fontId="2" type="noConversion"/>
  </si>
  <si>
    <t>번호</t>
    <phoneticPr fontId="2" type="noConversion"/>
  </si>
  <si>
    <t>지역</t>
    <phoneticPr fontId="2" type="noConversion"/>
  </si>
  <si>
    <t>코드</t>
    <phoneticPr fontId="2" type="noConversion"/>
  </si>
  <si>
    <t>강의코드</t>
    <phoneticPr fontId="2" type="noConversion"/>
  </si>
  <si>
    <t>강의년도</t>
    <phoneticPr fontId="2" type="noConversion"/>
  </si>
  <si>
    <t>김은소</t>
    <phoneticPr fontId="2" type="noConversion"/>
  </si>
  <si>
    <t>JJ1111</t>
    <phoneticPr fontId="2" type="noConversion"/>
  </si>
  <si>
    <t>JJ1111</t>
    <phoneticPr fontId="2" type="noConversion"/>
  </si>
  <si>
    <t>정회원</t>
    <phoneticPr fontId="2" type="noConversion"/>
  </si>
  <si>
    <t>김기완</t>
    <phoneticPr fontId="2" type="noConversion"/>
  </si>
  <si>
    <t>돌잔치</t>
    <phoneticPr fontId="2" type="noConversion"/>
  </si>
  <si>
    <t>서울, 부산</t>
    <phoneticPr fontId="2" type="noConversion"/>
  </si>
  <si>
    <t>S001</t>
    <phoneticPr fontId="2" type="noConversion"/>
  </si>
  <si>
    <t>임채빈</t>
    <phoneticPr fontId="2" type="noConversion"/>
  </si>
  <si>
    <t>JJ2222</t>
    <phoneticPr fontId="2" type="noConversion"/>
  </si>
  <si>
    <t>준회원</t>
    <phoneticPr fontId="2" type="noConversion"/>
  </si>
  <si>
    <t>성정아</t>
    <phoneticPr fontId="2" type="noConversion"/>
  </si>
  <si>
    <t>기타광역시</t>
    <phoneticPr fontId="2" type="noConversion"/>
  </si>
  <si>
    <t>S002</t>
  </si>
  <si>
    <t>한아름</t>
    <phoneticPr fontId="2" type="noConversion"/>
  </si>
  <si>
    <t>SS1111</t>
    <phoneticPr fontId="2" type="noConversion"/>
  </si>
  <si>
    <t>SS1111</t>
    <phoneticPr fontId="2" type="noConversion"/>
  </si>
  <si>
    <t>비회원</t>
    <phoneticPr fontId="2" type="noConversion"/>
  </si>
  <si>
    <t>이기봉</t>
    <phoneticPr fontId="2" type="noConversion"/>
  </si>
  <si>
    <t>기타지역</t>
    <phoneticPr fontId="2" type="noConversion"/>
  </si>
  <si>
    <t>S003</t>
  </si>
  <si>
    <t>유벼리</t>
    <phoneticPr fontId="2" type="noConversion"/>
  </si>
  <si>
    <t>SS2222</t>
    <phoneticPr fontId="2" type="noConversion"/>
  </si>
  <si>
    <t>안산진</t>
    <phoneticPr fontId="2" type="noConversion"/>
  </si>
  <si>
    <t>S004</t>
  </si>
  <si>
    <t>강한후</t>
    <phoneticPr fontId="2" type="noConversion"/>
  </si>
  <si>
    <t>이석호</t>
    <phoneticPr fontId="2" type="noConversion"/>
  </si>
  <si>
    <t>결혼식</t>
    <phoneticPr fontId="2" type="noConversion"/>
  </si>
  <si>
    <t>S005</t>
  </si>
  <si>
    <t>설진성</t>
    <phoneticPr fontId="2" type="noConversion"/>
  </si>
  <si>
    <t>SS3333</t>
    <phoneticPr fontId="2" type="noConversion"/>
  </si>
  <si>
    <t>SS3333</t>
    <phoneticPr fontId="2" type="noConversion"/>
  </si>
  <si>
    <t>양미진</t>
    <phoneticPr fontId="2" type="noConversion"/>
  </si>
  <si>
    <t>S006</t>
  </si>
  <si>
    <t>박호영</t>
    <phoneticPr fontId="2" type="noConversion"/>
  </si>
  <si>
    <t>박호영</t>
    <phoneticPr fontId="2" type="noConversion"/>
  </si>
  <si>
    <t>유인하</t>
    <phoneticPr fontId="2" type="noConversion"/>
  </si>
  <si>
    <t>S007</t>
  </si>
  <si>
    <t>김새롬</t>
    <phoneticPr fontId="2" type="noConversion"/>
  </si>
  <si>
    <t>김경지</t>
    <phoneticPr fontId="2" type="noConversion"/>
  </si>
  <si>
    <t>S008</t>
  </si>
  <si>
    <t>권충수</t>
    <phoneticPr fontId="2" type="noConversion"/>
  </si>
  <si>
    <t>권충수</t>
    <phoneticPr fontId="2" type="noConversion"/>
  </si>
  <si>
    <t>이신호</t>
    <phoneticPr fontId="2" type="noConversion"/>
  </si>
  <si>
    <t>S009</t>
  </si>
  <si>
    <t>임원이</t>
    <phoneticPr fontId="2" type="noConversion"/>
  </si>
  <si>
    <t>최익현</t>
    <phoneticPr fontId="2" type="noConversion"/>
  </si>
  <si>
    <t>S010</t>
  </si>
  <si>
    <t>이구름</t>
    <phoneticPr fontId="2" type="noConversion"/>
  </si>
  <si>
    <t>S011</t>
  </si>
  <si>
    <t>김중건</t>
    <phoneticPr fontId="2" type="noConversion"/>
  </si>
  <si>
    <t>[표4]</t>
    <phoneticPr fontId="2" type="noConversion"/>
  </si>
  <si>
    <t>S012</t>
  </si>
  <si>
    <t>배사공</t>
    <phoneticPr fontId="2" type="noConversion"/>
  </si>
  <si>
    <t>S013</t>
  </si>
  <si>
    <t>김진상</t>
    <phoneticPr fontId="2" type="noConversion"/>
  </si>
  <si>
    <t>S014</t>
  </si>
  <si>
    <t>고진웅</t>
    <phoneticPr fontId="2" type="noConversion"/>
  </si>
  <si>
    <t>돌잔치</t>
    <phoneticPr fontId="2" type="noConversion"/>
  </si>
  <si>
    <t>crystal hall</t>
    <phoneticPr fontId="2" type="noConversion"/>
  </si>
  <si>
    <t xml:space="preserve">diamond hall </t>
    <phoneticPr fontId="2" type="noConversion"/>
  </si>
  <si>
    <t xml:space="preserve">ruby hall </t>
    <phoneticPr fontId="2" type="noConversion"/>
  </si>
  <si>
    <t>S015</t>
  </si>
  <si>
    <t>안대훈</t>
    <phoneticPr fontId="2" type="noConversion"/>
  </si>
  <si>
    <t xml:space="preserve">emerald hall </t>
    <phoneticPr fontId="2" type="noConversion"/>
  </si>
  <si>
    <t>S016</t>
  </si>
  <si>
    <t>민병욱</t>
    <phoneticPr fontId="2" type="noConversion"/>
  </si>
  <si>
    <t>S017</t>
  </si>
  <si>
    <t>김솔오</t>
    <phoneticPr fontId="2" type="noConversion"/>
  </si>
  <si>
    <t>[표5]</t>
    <phoneticPr fontId="2" type="noConversion"/>
  </si>
  <si>
    <t>S018</t>
  </si>
  <si>
    <t>오덕우</t>
    <phoneticPr fontId="2" type="noConversion"/>
  </si>
  <si>
    <t>오덕우</t>
    <phoneticPr fontId="2" type="noConversion"/>
  </si>
  <si>
    <t>이름</t>
    <phoneticPr fontId="2" type="noConversion"/>
  </si>
  <si>
    <t>학생코드</t>
    <phoneticPr fontId="2" type="noConversion"/>
  </si>
  <si>
    <t>반-번호</t>
    <phoneticPr fontId="2" type="noConversion"/>
  </si>
  <si>
    <t>S019</t>
  </si>
  <si>
    <t>한마식</t>
    <phoneticPr fontId="2" type="noConversion"/>
  </si>
  <si>
    <t>준회원</t>
    <phoneticPr fontId="2" type="noConversion"/>
  </si>
  <si>
    <t>이민정</t>
    <phoneticPr fontId="2" type="noConversion"/>
  </si>
  <si>
    <t>J1009021</t>
    <phoneticPr fontId="2" type="noConversion"/>
  </si>
  <si>
    <t>S020</t>
  </si>
  <si>
    <t>임유승</t>
    <phoneticPr fontId="2" type="noConversion"/>
  </si>
  <si>
    <t>강호민</t>
    <phoneticPr fontId="2" type="noConversion"/>
  </si>
  <si>
    <t>J2012019</t>
    <phoneticPr fontId="2" type="noConversion"/>
  </si>
  <si>
    <t>S021</t>
  </si>
  <si>
    <t>김성완</t>
    <phoneticPr fontId="2" type="noConversion"/>
  </si>
  <si>
    <t>김영길</t>
    <phoneticPr fontId="2" type="noConversion"/>
  </si>
  <si>
    <t>J1010003</t>
    <phoneticPr fontId="2" type="noConversion"/>
  </si>
  <si>
    <t>S022</t>
  </si>
  <si>
    <t>민호선</t>
    <phoneticPr fontId="2" type="noConversion"/>
  </si>
  <si>
    <t>J1007029</t>
    <phoneticPr fontId="2" type="noConversion"/>
  </si>
  <si>
    <t>S023</t>
  </si>
  <si>
    <t>[표2] 할인율표</t>
    <phoneticPr fontId="2" type="noConversion"/>
  </si>
  <si>
    <t>김종희</t>
    <phoneticPr fontId="2" type="noConversion"/>
  </si>
  <si>
    <t>J2013031</t>
    <phoneticPr fontId="2" type="noConversion"/>
  </si>
  <si>
    <t>S024</t>
  </si>
  <si>
    <t>S025</t>
  </si>
  <si>
    <t>[표6]</t>
    <phoneticPr fontId="2" type="noConversion"/>
  </si>
  <si>
    <t>S026</t>
  </si>
  <si>
    <t>지역</t>
  </si>
  <si>
    <t>S027</t>
  </si>
  <si>
    <t>서울, 부산</t>
  </si>
  <si>
    <t>SB</t>
  </si>
  <si>
    <t>S028</t>
  </si>
  <si>
    <t>기타광역시</t>
  </si>
  <si>
    <t>KY</t>
  </si>
  <si>
    <t>기타지역</t>
  </si>
  <si>
    <t>KT</t>
  </si>
  <si>
    <t>등급</t>
    <phoneticPr fontId="2" type="noConversion"/>
  </si>
  <si>
    <t>정회원</t>
    <phoneticPr fontId="2" type="noConversion"/>
  </si>
  <si>
    <t>김기완</t>
    <phoneticPr fontId="2" type="noConversion"/>
  </si>
  <si>
    <t>돌잔치</t>
    <phoneticPr fontId="2" type="noConversion"/>
  </si>
  <si>
    <t>서울, 부산</t>
    <phoneticPr fontId="2" type="noConversion"/>
  </si>
  <si>
    <t>S001</t>
    <phoneticPr fontId="2" type="noConversion"/>
  </si>
  <si>
    <t>임채빈</t>
    <phoneticPr fontId="2" type="noConversion"/>
  </si>
  <si>
    <t>JJ2222</t>
    <phoneticPr fontId="2" type="noConversion"/>
  </si>
  <si>
    <t>준회원</t>
    <phoneticPr fontId="2" type="noConversion"/>
  </si>
  <si>
    <t>성정아</t>
    <phoneticPr fontId="2" type="noConversion"/>
  </si>
  <si>
    <t>기타광역시</t>
    <phoneticPr fontId="2" type="noConversion"/>
  </si>
  <si>
    <t>한아름</t>
    <phoneticPr fontId="2" type="noConversion"/>
  </si>
  <si>
    <t>SS1111</t>
    <phoneticPr fontId="2" type="noConversion"/>
  </si>
  <si>
    <t>비회원</t>
    <phoneticPr fontId="2" type="noConversion"/>
  </si>
  <si>
    <t>이기봉</t>
    <phoneticPr fontId="2" type="noConversion"/>
  </si>
  <si>
    <t>기타지역</t>
    <phoneticPr fontId="2" type="noConversion"/>
  </si>
  <si>
    <t>유벼리</t>
    <phoneticPr fontId="2" type="noConversion"/>
  </si>
  <si>
    <t>SS2222</t>
    <phoneticPr fontId="2" type="noConversion"/>
  </si>
  <si>
    <t>안산진</t>
    <phoneticPr fontId="2" type="noConversion"/>
  </si>
  <si>
    <t>강한후</t>
    <phoneticPr fontId="2" type="noConversion"/>
  </si>
  <si>
    <t>이석호</t>
    <phoneticPr fontId="2" type="noConversion"/>
  </si>
  <si>
    <t>결혼식</t>
    <phoneticPr fontId="2" type="noConversion"/>
  </si>
  <si>
    <t>설진성</t>
    <phoneticPr fontId="2" type="noConversion"/>
  </si>
  <si>
    <t>SS3333</t>
    <phoneticPr fontId="2" type="noConversion"/>
  </si>
  <si>
    <t>양미진</t>
    <phoneticPr fontId="2" type="noConversion"/>
  </si>
  <si>
    <t>박호영</t>
    <phoneticPr fontId="2" type="noConversion"/>
  </si>
  <si>
    <t>유인하</t>
    <phoneticPr fontId="2" type="noConversion"/>
  </si>
  <si>
    <t>김새롬</t>
    <phoneticPr fontId="2" type="noConversion"/>
  </si>
  <si>
    <t>김경지</t>
    <phoneticPr fontId="2" type="noConversion"/>
  </si>
  <si>
    <t>권충수</t>
    <phoneticPr fontId="2" type="noConversion"/>
  </si>
  <si>
    <t>정회원</t>
    <phoneticPr fontId="2" type="noConversion"/>
  </si>
  <si>
    <t>이신호</t>
    <phoneticPr fontId="2" type="noConversion"/>
  </si>
  <si>
    <t>임원이</t>
    <phoneticPr fontId="2" type="noConversion"/>
  </si>
  <si>
    <t>최익현</t>
    <phoneticPr fontId="2" type="noConversion"/>
  </si>
  <si>
    <t>이구름</t>
    <phoneticPr fontId="2" type="noConversion"/>
  </si>
  <si>
    <t>김중건</t>
    <phoneticPr fontId="2" type="noConversion"/>
  </si>
  <si>
    <t>[표4]</t>
    <phoneticPr fontId="2" type="noConversion"/>
  </si>
  <si>
    <t>배사공</t>
    <phoneticPr fontId="2" type="noConversion"/>
  </si>
  <si>
    <t>[표1]</t>
    <phoneticPr fontId="2" type="noConversion"/>
  </si>
  <si>
    <t>[표2]</t>
    <phoneticPr fontId="2" type="noConversion"/>
  </si>
  <si>
    <t>[표3]</t>
    <phoneticPr fontId="2" type="noConversion"/>
  </si>
  <si>
    <t>[표4]</t>
    <phoneticPr fontId="2" type="noConversion"/>
  </si>
  <si>
    <t>주문코드</t>
    <phoneticPr fontId="2" type="noConversion"/>
  </si>
  <si>
    <t>주문방법</t>
    <phoneticPr fontId="2" type="noConversion"/>
  </si>
  <si>
    <t>감상시간(분)</t>
    <phoneticPr fontId="2" type="noConversion"/>
  </si>
  <si>
    <t>환산</t>
    <phoneticPr fontId="2" type="noConversion"/>
  </si>
  <si>
    <t>코드</t>
    <phoneticPr fontId="2" type="noConversion"/>
  </si>
  <si>
    <t>현재강의수</t>
    <phoneticPr fontId="2" type="noConversion"/>
  </si>
  <si>
    <t>현재강의수</t>
    <phoneticPr fontId="2" type="noConversion"/>
  </si>
  <si>
    <t>수강인원</t>
    <phoneticPr fontId="2" type="noConversion"/>
  </si>
  <si>
    <t>전체강의수</t>
    <phoneticPr fontId="2" type="noConversion"/>
  </si>
  <si>
    <t>진행율</t>
    <phoneticPr fontId="2" type="noConversion"/>
  </si>
  <si>
    <t>사업자명</t>
    <phoneticPr fontId="2" type="noConversion"/>
  </si>
  <si>
    <t>사업자명</t>
    <phoneticPr fontId="2" type="noConversion"/>
  </si>
  <si>
    <t>사업자번호</t>
    <phoneticPr fontId="2" type="noConversion"/>
  </si>
  <si>
    <t>T001</t>
    <phoneticPr fontId="2" type="noConversion"/>
  </si>
  <si>
    <t>S001</t>
    <phoneticPr fontId="2" type="noConversion"/>
  </si>
  <si>
    <t>세진정형외과</t>
    <phoneticPr fontId="2" type="noConversion"/>
  </si>
  <si>
    <t>C002</t>
    <phoneticPr fontId="2" type="noConversion"/>
  </si>
  <si>
    <t>C002</t>
    <phoneticPr fontId="2" type="noConversion"/>
  </si>
  <si>
    <t>성산수학학원</t>
    <phoneticPr fontId="2" type="noConversion"/>
  </si>
  <si>
    <t>성산수학학원</t>
    <phoneticPr fontId="2" type="noConversion"/>
  </si>
  <si>
    <t>V006</t>
    <phoneticPr fontId="2" type="noConversion"/>
  </si>
  <si>
    <t>도레미피아노</t>
    <phoneticPr fontId="2" type="noConversion"/>
  </si>
  <si>
    <t>V003</t>
    <phoneticPr fontId="2" type="noConversion"/>
  </si>
  <si>
    <t>영진약국</t>
    <phoneticPr fontId="2" type="noConversion"/>
  </si>
  <si>
    <t>T004</t>
    <phoneticPr fontId="2" type="noConversion"/>
  </si>
  <si>
    <t>우리슈퍼</t>
    <phoneticPr fontId="2" type="noConversion"/>
  </si>
  <si>
    <t>C005</t>
    <phoneticPr fontId="2" type="noConversion"/>
  </si>
  <si>
    <t>한국도로공사</t>
    <phoneticPr fontId="2" type="noConversion"/>
  </si>
  <si>
    <t>상공내과</t>
  </si>
  <si>
    <t>우리생명</t>
    <phoneticPr fontId="2" type="noConversion"/>
  </si>
  <si>
    <t>V002</t>
    <phoneticPr fontId="2" type="noConversion"/>
  </si>
  <si>
    <t>한우마을</t>
    <phoneticPr fontId="2" type="noConversion"/>
  </si>
  <si>
    <t>요가학원</t>
    <phoneticPr fontId="2" type="noConversion"/>
  </si>
  <si>
    <t>[표5]</t>
    <phoneticPr fontId="2" type="noConversion"/>
  </si>
  <si>
    <t>V005</t>
    <phoneticPr fontId="2" type="noConversion"/>
  </si>
  <si>
    <t>T007</t>
    <phoneticPr fontId="2" type="noConversion"/>
  </si>
  <si>
    <t>상공내과</t>
    <phoneticPr fontId="2" type="noConversion"/>
  </si>
  <si>
    <t>399-88-22134</t>
    <phoneticPr fontId="2" type="noConversion"/>
  </si>
  <si>
    <t>127-25-20122</t>
    <phoneticPr fontId="2" type="noConversion"/>
  </si>
  <si>
    <t>301-13-00321</t>
    <phoneticPr fontId="2" type="noConversion"/>
  </si>
  <si>
    <t>224-92-20123</t>
    <phoneticPr fontId="2" type="noConversion"/>
  </si>
  <si>
    <t>C003</t>
    <phoneticPr fontId="2" type="noConversion"/>
  </si>
  <si>
    <t>124-58-36512</t>
    <phoneticPr fontId="2" type="noConversion"/>
  </si>
  <si>
    <t>T005</t>
    <phoneticPr fontId="2" type="noConversion"/>
  </si>
  <si>
    <t>V007</t>
    <phoneticPr fontId="2" type="noConversion"/>
  </si>
  <si>
    <t>V006</t>
    <phoneticPr fontId="2" type="noConversion"/>
  </si>
  <si>
    <t>환산</t>
    <phoneticPr fontId="2" type="noConversion"/>
  </si>
  <si>
    <t>월불입액</t>
    <phoneticPr fontId="4" type="noConversion"/>
  </si>
  <si>
    <t>월상환액</t>
    <phoneticPr fontId="4" type="noConversion"/>
  </si>
  <si>
    <t>저축총액</t>
    <phoneticPr fontId="4" type="noConversion"/>
  </si>
  <si>
    <t>대출금액</t>
    <phoneticPr fontId="4" type="noConversion"/>
  </si>
  <si>
    <t>기간</t>
    <phoneticPr fontId="4" type="noConversion"/>
  </si>
  <si>
    <t>기간</t>
    <phoneticPr fontId="4" type="noConversion"/>
  </si>
  <si>
    <t>연이율</t>
    <phoneticPr fontId="4" type="noConversion"/>
  </si>
  <si>
    <t>• PMT 함수</t>
    <phoneticPr fontId="4" type="noConversion"/>
  </si>
  <si>
    <t>• PMT 함수</t>
    <phoneticPr fontId="4" type="noConversion"/>
  </si>
  <si>
    <t>연금의 현재가치</t>
    <phoneticPr fontId="4" type="noConversion"/>
  </si>
  <si>
    <t>만기금액</t>
    <phoneticPr fontId="4" type="noConversion"/>
  </si>
  <si>
    <t>매월 수령액</t>
    <phoneticPr fontId="4" type="noConversion"/>
  </si>
  <si>
    <t>수령 기간</t>
    <phoneticPr fontId="4" type="noConversion"/>
  </si>
  <si>
    <t>연이율</t>
    <phoneticPr fontId="4" type="noConversion"/>
  </si>
  <si>
    <t>• PV 함수</t>
    <phoneticPr fontId="4" type="noConversion"/>
  </si>
  <si>
    <t>• FV 함수</t>
    <phoneticPr fontId="4" type="noConversion"/>
  </si>
  <si>
    <t>월불입액</t>
    <phoneticPr fontId="4" type="noConversion"/>
  </si>
  <si>
    <t>월상환액</t>
    <phoneticPr fontId="4" type="noConversion"/>
  </si>
  <si>
    <t>저축총액</t>
    <phoneticPr fontId="4" type="noConversion"/>
  </si>
  <si>
    <t>대출금액</t>
    <phoneticPr fontId="4" type="noConversion"/>
  </si>
  <si>
    <t>기간</t>
    <phoneticPr fontId="4" type="noConversion"/>
  </si>
  <si>
    <t>연이율</t>
    <phoneticPr fontId="4" type="noConversion"/>
  </si>
  <si>
    <t>만기금액</t>
    <phoneticPr fontId="4" type="noConversion"/>
  </si>
  <si>
    <t>매월 수령액</t>
    <phoneticPr fontId="4" type="noConversion"/>
  </si>
  <si>
    <t>월불입액</t>
    <phoneticPr fontId="4" type="noConversion"/>
  </si>
  <si>
    <t>수령 기간</t>
    <phoneticPr fontId="4" type="noConversion"/>
  </si>
  <si>
    <t>• PV 함수</t>
    <phoneticPr fontId="4" type="noConversion"/>
  </si>
  <si>
    <t>• FV 함수</t>
    <phoneticPr fontId="4" type="noConversion"/>
  </si>
  <si>
    <t>감가상각액(SYD)</t>
    <phoneticPr fontId="4" type="noConversion"/>
  </si>
  <si>
    <t>년차</t>
    <phoneticPr fontId="4" type="noConversion"/>
  </si>
  <si>
    <t>감가상각액(SLN)</t>
    <phoneticPr fontId="4" type="noConversion"/>
  </si>
  <si>
    <t>년수</t>
    <phoneticPr fontId="4" type="noConversion"/>
  </si>
  <si>
    <t>잔존가치</t>
    <phoneticPr fontId="4" type="noConversion"/>
  </si>
  <si>
    <t>비용</t>
    <phoneticPr fontId="4" type="noConversion"/>
  </si>
  <si>
    <t>• SYD 함수</t>
    <phoneticPr fontId="4" type="noConversion"/>
  </si>
  <si>
    <t>• SLN 함수</t>
    <phoneticPr fontId="4" type="noConversion"/>
  </si>
  <si>
    <t>감가상각액(DDB)</t>
    <phoneticPr fontId="4" type="noConversion"/>
  </si>
  <si>
    <t>감가상각액(DB)</t>
    <phoneticPr fontId="4" type="noConversion"/>
  </si>
  <si>
    <t>잔액이 감소하는 비율</t>
    <phoneticPr fontId="4" type="noConversion"/>
  </si>
  <si>
    <t>첫해의 사용 개월수</t>
    <phoneticPr fontId="4" type="noConversion"/>
  </si>
  <si>
    <t>년수(수명)</t>
    <phoneticPr fontId="4" type="noConversion"/>
  </si>
  <si>
    <t>자산취득가</t>
    <phoneticPr fontId="4" type="noConversion"/>
  </si>
  <si>
    <t>• DDB 함수</t>
    <phoneticPr fontId="4" type="noConversion"/>
  </si>
  <si>
    <t>• DB 함수</t>
    <phoneticPr fontId="4" type="noConversion"/>
  </si>
  <si>
    <t>감가상각액(AMORLINC)</t>
    <phoneticPr fontId="4" type="noConversion"/>
  </si>
  <si>
    <t>감가상각액(AMORDEGRC)</t>
    <phoneticPr fontId="4" type="noConversion"/>
  </si>
  <si>
    <t>날짜 체계</t>
    <phoneticPr fontId="4" type="noConversion"/>
  </si>
  <si>
    <t>감가상각률</t>
    <phoneticPr fontId="4" type="noConversion"/>
  </si>
  <si>
    <t>잔존 가치</t>
    <phoneticPr fontId="4" type="noConversion"/>
  </si>
  <si>
    <t>첫째 회계 기간의 마지막 날짜</t>
    <phoneticPr fontId="4" type="noConversion"/>
  </si>
  <si>
    <t>자산취득일</t>
    <phoneticPr fontId="4" type="noConversion"/>
  </si>
  <si>
    <t>• AMORLINC 함수</t>
    <phoneticPr fontId="4" type="noConversion"/>
  </si>
  <si>
    <t>•AMORDEGRC 함수</t>
    <phoneticPr fontId="4" type="noConversion"/>
  </si>
  <si>
    <t>변호사</t>
    <phoneticPr fontId="4" type="noConversion"/>
  </si>
  <si>
    <t>의사</t>
    <phoneticPr fontId="4" type="noConversion"/>
  </si>
  <si>
    <t>공무원</t>
    <phoneticPr fontId="4" type="noConversion"/>
  </si>
  <si>
    <t>회사원</t>
    <phoneticPr fontId="4" type="noConversion"/>
  </si>
  <si>
    <t>현재가치</t>
    <phoneticPr fontId="4" type="noConversion"/>
  </si>
  <si>
    <t>자영업</t>
    <phoneticPr fontId="4" type="noConversion"/>
  </si>
  <si>
    <t>월납입액</t>
    <phoneticPr fontId="4" type="noConversion"/>
  </si>
  <si>
    <t>직업</t>
    <phoneticPr fontId="4" type="noConversion"/>
  </si>
  <si>
    <t>코드</t>
    <phoneticPr fontId="2" type="noConversion"/>
  </si>
  <si>
    <t>기간(년)</t>
    <phoneticPr fontId="4" type="noConversion"/>
  </si>
  <si>
    <t>대출기간</t>
    <phoneticPr fontId="4" type="noConversion"/>
  </si>
  <si>
    <t>[표2]</t>
    <phoneticPr fontId="4" type="noConversion"/>
  </si>
  <si>
    <t>[표6]</t>
    <phoneticPr fontId="4" type="noConversion"/>
  </si>
  <si>
    <t>이성국</t>
    <phoneticPr fontId="4" type="noConversion"/>
  </si>
  <si>
    <t>JB523</t>
  </si>
  <si>
    <t>이율</t>
    <phoneticPr fontId="4" type="noConversion"/>
  </si>
  <si>
    <t>배진찬</t>
    <phoneticPr fontId="4" type="noConversion"/>
  </si>
  <si>
    <t>JB583</t>
  </si>
  <si>
    <t>김성완</t>
    <phoneticPr fontId="2" type="noConversion"/>
  </si>
  <si>
    <t>홍민국</t>
    <phoneticPr fontId="4" type="noConversion"/>
  </si>
  <si>
    <t>JA649</t>
  </si>
  <si>
    <t>[표5]</t>
    <phoneticPr fontId="4" type="noConversion"/>
  </si>
  <si>
    <t>임유승</t>
    <phoneticPr fontId="2" type="noConversion"/>
  </si>
  <si>
    <t>김숙자</t>
    <phoneticPr fontId="4" type="noConversion"/>
  </si>
  <si>
    <t>JC590</t>
  </si>
  <si>
    <t>한마식</t>
    <phoneticPr fontId="2" type="noConversion"/>
  </si>
  <si>
    <t>강동희</t>
    <phoneticPr fontId="4" type="noConversion"/>
  </si>
  <si>
    <t>JC509</t>
  </si>
  <si>
    <t>하민지</t>
    <phoneticPr fontId="4" type="noConversion"/>
  </si>
  <si>
    <t>오덕우</t>
    <phoneticPr fontId="2" type="noConversion"/>
  </si>
  <si>
    <t>이영숙</t>
    <phoneticPr fontId="4" type="noConversion"/>
  </si>
  <si>
    <t>JB578</t>
  </si>
  <si>
    <t>채경찬</t>
    <phoneticPr fontId="4" type="noConversion"/>
  </si>
  <si>
    <t>김솔오</t>
    <phoneticPr fontId="2" type="noConversion"/>
  </si>
  <si>
    <t>-</t>
    <phoneticPr fontId="4" type="noConversion"/>
  </si>
  <si>
    <t>-</t>
    <phoneticPr fontId="4" type="noConversion"/>
  </si>
  <si>
    <t>배종숙</t>
    <phoneticPr fontId="4" type="noConversion"/>
  </si>
  <si>
    <t>진대준</t>
    <phoneticPr fontId="4" type="noConversion"/>
  </si>
  <si>
    <t>민병욱</t>
    <phoneticPr fontId="2" type="noConversion"/>
  </si>
  <si>
    <t>김현민</t>
    <phoneticPr fontId="4" type="noConversion"/>
  </si>
  <si>
    <t>정종수</t>
    <phoneticPr fontId="4" type="noConversion"/>
  </si>
  <si>
    <t>안대훈</t>
    <phoneticPr fontId="2" type="noConversion"/>
  </si>
  <si>
    <t>강진구</t>
    <phoneticPr fontId="4" type="noConversion"/>
  </si>
  <si>
    <t>정수만</t>
    <phoneticPr fontId="4" type="noConversion"/>
  </si>
  <si>
    <t>고진웅</t>
    <phoneticPr fontId="2" type="noConversion"/>
  </si>
  <si>
    <t>이영민</t>
    <phoneticPr fontId="4" type="noConversion"/>
  </si>
  <si>
    <t>임종례</t>
    <phoneticPr fontId="4" type="noConversion"/>
  </si>
  <si>
    <t>김진상</t>
    <phoneticPr fontId="2" type="noConversion"/>
  </si>
  <si>
    <t>-</t>
    <phoneticPr fontId="4" type="noConversion"/>
  </si>
  <si>
    <t>오수진</t>
  </si>
  <si>
    <t>이찬진</t>
    <phoneticPr fontId="4" type="noConversion"/>
  </si>
  <si>
    <t>배사공</t>
    <phoneticPr fontId="2" type="noConversion"/>
  </si>
  <si>
    <t>이민준</t>
  </si>
  <si>
    <t>이진영</t>
    <phoneticPr fontId="4" type="noConversion"/>
  </si>
  <si>
    <t>김중건</t>
    <phoneticPr fontId="2" type="noConversion"/>
  </si>
  <si>
    <t>윤선중</t>
  </si>
  <si>
    <t>이상민</t>
    <phoneticPr fontId="4" type="noConversion"/>
  </si>
  <si>
    <t>이구름</t>
    <phoneticPr fontId="2" type="noConversion"/>
  </si>
  <si>
    <t>박지원</t>
  </si>
  <si>
    <t>이민정</t>
    <phoneticPr fontId="4" type="noConversion"/>
  </si>
  <si>
    <t>임원이</t>
    <phoneticPr fontId="2" type="noConversion"/>
  </si>
  <si>
    <t>명노찬</t>
    <phoneticPr fontId="4" type="noConversion"/>
  </si>
  <si>
    <t>오동진</t>
    <phoneticPr fontId="4" type="noConversion"/>
  </si>
  <si>
    <t>권충수</t>
    <phoneticPr fontId="2" type="noConversion"/>
  </si>
  <si>
    <t>김영민</t>
    <phoneticPr fontId="4" type="noConversion"/>
  </si>
  <si>
    <t>서현명</t>
    <phoneticPr fontId="4" type="noConversion"/>
  </si>
  <si>
    <t>김새롬</t>
    <phoneticPr fontId="2" type="noConversion"/>
  </si>
  <si>
    <t>권창영</t>
    <phoneticPr fontId="4" type="noConversion"/>
  </si>
  <si>
    <t>마동탁</t>
    <phoneticPr fontId="4" type="noConversion"/>
  </si>
  <si>
    <t>박호영</t>
    <phoneticPr fontId="2" type="noConversion"/>
  </si>
  <si>
    <t>김은조</t>
    <phoneticPr fontId="4" type="noConversion"/>
  </si>
  <si>
    <t>설진성</t>
    <phoneticPr fontId="2" type="noConversion"/>
  </si>
  <si>
    <t>고광섭</t>
    <phoneticPr fontId="4" type="noConversion"/>
  </si>
  <si>
    <t>김영희</t>
    <phoneticPr fontId="4" type="noConversion"/>
  </si>
  <si>
    <t>강한후</t>
    <phoneticPr fontId="2" type="noConversion"/>
  </si>
  <si>
    <t>서현명</t>
    <phoneticPr fontId="4" type="noConversion"/>
  </si>
  <si>
    <t>김병준</t>
    <phoneticPr fontId="4" type="noConversion"/>
  </si>
  <si>
    <t>유벼리</t>
    <phoneticPr fontId="2" type="noConversion"/>
  </si>
  <si>
    <t>김동진</t>
    <phoneticPr fontId="4" type="noConversion"/>
  </si>
  <si>
    <t>한아름</t>
    <phoneticPr fontId="2" type="noConversion"/>
  </si>
  <si>
    <t>임종례</t>
    <phoneticPr fontId="4" type="noConversion"/>
  </si>
  <si>
    <t>임채빈</t>
    <phoneticPr fontId="2" type="noConversion"/>
  </si>
  <si>
    <t>채경찬</t>
    <phoneticPr fontId="4" type="noConversion"/>
  </si>
  <si>
    <t>고광섭</t>
    <phoneticPr fontId="4" type="noConversion"/>
  </si>
  <si>
    <t>김은소</t>
    <phoneticPr fontId="2" type="noConversion"/>
  </si>
  <si>
    <t>이찬진</t>
    <phoneticPr fontId="4" type="noConversion"/>
  </si>
  <si>
    <t>성명</t>
    <phoneticPr fontId="4" type="noConversion"/>
  </si>
  <si>
    <t>PMT</t>
    <phoneticPr fontId="2" type="noConversion"/>
  </si>
  <si>
    <t>할부기간(월)</t>
    <phoneticPr fontId="2" type="noConversion"/>
  </si>
  <si>
    <t>판매금액</t>
    <phoneticPr fontId="2" type="noConversion"/>
  </si>
  <si>
    <t>단가</t>
    <phoneticPr fontId="2" type="noConversion"/>
  </si>
  <si>
    <t>수량</t>
    <phoneticPr fontId="2" type="noConversion"/>
  </si>
  <si>
    <t>구매자</t>
    <phoneticPr fontId="2" type="noConversion"/>
  </si>
  <si>
    <t>회원코드</t>
    <phoneticPr fontId="2" type="noConversion"/>
  </si>
  <si>
    <t>[표4]</t>
    <phoneticPr fontId="4" type="noConversion"/>
  </si>
  <si>
    <t>[표3]</t>
    <phoneticPr fontId="2" type="noConversion"/>
  </si>
  <si>
    <t>[표1]</t>
    <phoneticPr fontId="4" type="noConversion"/>
  </si>
  <si>
    <t>변호사</t>
    <phoneticPr fontId="4" type="noConversion"/>
  </si>
  <si>
    <t>의사</t>
    <phoneticPr fontId="4" type="noConversion"/>
  </si>
  <si>
    <t>공무원</t>
    <phoneticPr fontId="4" type="noConversion"/>
  </si>
  <si>
    <t>회사원</t>
    <phoneticPr fontId="4" type="noConversion"/>
  </si>
  <si>
    <t>현재가치</t>
    <phoneticPr fontId="4" type="noConversion"/>
  </si>
  <si>
    <t>자영업</t>
    <phoneticPr fontId="4" type="noConversion"/>
  </si>
  <si>
    <t>월납입액</t>
    <phoneticPr fontId="4" type="noConversion"/>
  </si>
  <si>
    <t>직업</t>
    <phoneticPr fontId="4" type="noConversion"/>
  </si>
  <si>
    <t>기간(년)</t>
    <phoneticPr fontId="4" type="noConversion"/>
  </si>
  <si>
    <t>대출기간</t>
    <phoneticPr fontId="4" type="noConversion"/>
  </si>
  <si>
    <t>[표2]</t>
    <phoneticPr fontId="4" type="noConversion"/>
  </si>
  <si>
    <t>[표6]</t>
    <phoneticPr fontId="4" type="noConversion"/>
  </si>
  <si>
    <t>이율</t>
    <phoneticPr fontId="4" type="noConversion"/>
  </si>
  <si>
    <t>배진찬</t>
    <phoneticPr fontId="4" type="noConversion"/>
  </si>
  <si>
    <t>김성완</t>
    <phoneticPr fontId="2" type="noConversion"/>
  </si>
  <si>
    <t>홍민국</t>
    <phoneticPr fontId="4" type="noConversion"/>
  </si>
  <si>
    <t>[표5]</t>
    <phoneticPr fontId="4" type="noConversion"/>
  </si>
  <si>
    <t>임유승</t>
    <phoneticPr fontId="2" type="noConversion"/>
  </si>
  <si>
    <t>김숙자</t>
    <phoneticPr fontId="4" type="noConversion"/>
  </si>
  <si>
    <t>한마식</t>
    <phoneticPr fontId="2" type="noConversion"/>
  </si>
  <si>
    <t>하민지</t>
    <phoneticPr fontId="4" type="noConversion"/>
  </si>
  <si>
    <t>오덕우</t>
    <phoneticPr fontId="2" type="noConversion"/>
  </si>
  <si>
    <t>이영숙</t>
    <phoneticPr fontId="4" type="noConversion"/>
  </si>
  <si>
    <t>김솔오</t>
    <phoneticPr fontId="2" type="noConversion"/>
  </si>
  <si>
    <t>-</t>
    <phoneticPr fontId="4" type="noConversion"/>
  </si>
  <si>
    <t>배종숙</t>
    <phoneticPr fontId="4" type="noConversion"/>
  </si>
  <si>
    <t>진대준</t>
    <phoneticPr fontId="4" type="noConversion"/>
  </si>
  <si>
    <t>민병욱</t>
    <phoneticPr fontId="2" type="noConversion"/>
  </si>
  <si>
    <t>김현민</t>
    <phoneticPr fontId="4" type="noConversion"/>
  </si>
  <si>
    <t>정종수</t>
    <phoneticPr fontId="4" type="noConversion"/>
  </si>
  <si>
    <t>안대훈</t>
    <phoneticPr fontId="2" type="noConversion"/>
  </si>
  <si>
    <t>정수만</t>
    <phoneticPr fontId="4" type="noConversion"/>
  </si>
  <si>
    <t>고진웅</t>
    <phoneticPr fontId="2" type="noConversion"/>
  </si>
  <si>
    <t>이영민</t>
    <phoneticPr fontId="4" type="noConversion"/>
  </si>
  <si>
    <t>임종례</t>
    <phoneticPr fontId="4" type="noConversion"/>
  </si>
  <si>
    <t>김진상</t>
    <phoneticPr fontId="2" type="noConversion"/>
  </si>
  <si>
    <t>이찬진</t>
    <phoneticPr fontId="4" type="noConversion"/>
  </si>
  <si>
    <t>이진영</t>
    <phoneticPr fontId="4" type="noConversion"/>
  </si>
  <si>
    <t>김중건</t>
    <phoneticPr fontId="2" type="noConversion"/>
  </si>
  <si>
    <t>이상민</t>
    <phoneticPr fontId="4" type="noConversion"/>
  </si>
  <si>
    <t>이구름</t>
    <phoneticPr fontId="2" type="noConversion"/>
  </si>
  <si>
    <t>이민정</t>
    <phoneticPr fontId="4" type="noConversion"/>
  </si>
  <si>
    <t>임원이</t>
    <phoneticPr fontId="2" type="noConversion"/>
  </si>
  <si>
    <t>명노찬</t>
    <phoneticPr fontId="4" type="noConversion"/>
  </si>
  <si>
    <t>오동진</t>
    <phoneticPr fontId="4" type="noConversion"/>
  </si>
  <si>
    <t>권충수</t>
    <phoneticPr fontId="2" type="noConversion"/>
  </si>
  <si>
    <t>김영민</t>
    <phoneticPr fontId="4" type="noConversion"/>
  </si>
  <si>
    <t>김새롬</t>
    <phoneticPr fontId="2" type="noConversion"/>
  </si>
  <si>
    <t>권창영</t>
    <phoneticPr fontId="4" type="noConversion"/>
  </si>
  <si>
    <t>마동탁</t>
    <phoneticPr fontId="4" type="noConversion"/>
  </si>
  <si>
    <t>박호영</t>
    <phoneticPr fontId="2" type="noConversion"/>
  </si>
  <si>
    <t>김은조</t>
    <phoneticPr fontId="4" type="noConversion"/>
  </si>
  <si>
    <t>설진성</t>
    <phoneticPr fontId="2" type="noConversion"/>
  </si>
  <si>
    <t>유벼리</t>
    <phoneticPr fontId="2" type="noConversion"/>
  </si>
  <si>
    <t>정종수</t>
    <phoneticPr fontId="4" type="noConversion"/>
  </si>
  <si>
    <t>김동진</t>
    <phoneticPr fontId="4" type="noConversion"/>
  </si>
  <si>
    <t>한아름</t>
    <phoneticPr fontId="2" type="noConversion"/>
  </si>
  <si>
    <t>임종례</t>
    <phoneticPr fontId="4" type="noConversion"/>
  </si>
  <si>
    <t>권창영</t>
    <phoneticPr fontId="4" type="noConversion"/>
  </si>
  <si>
    <t>임채빈</t>
    <phoneticPr fontId="2" type="noConversion"/>
  </si>
  <si>
    <t>채경찬</t>
    <phoneticPr fontId="4" type="noConversion"/>
  </si>
  <si>
    <t>김은소</t>
    <phoneticPr fontId="2" type="noConversion"/>
  </si>
  <si>
    <t>월상환액</t>
    <phoneticPr fontId="4" type="noConversion"/>
  </si>
  <si>
    <t>대출금액</t>
    <phoneticPr fontId="4" type="noConversion"/>
  </si>
  <si>
    <t>대출기간</t>
    <phoneticPr fontId="4" type="noConversion"/>
  </si>
  <si>
    <t>성명</t>
    <phoneticPr fontId="4" type="noConversion"/>
  </si>
  <si>
    <t>PMT</t>
    <phoneticPr fontId="2" type="noConversion"/>
  </si>
  <si>
    <t>할부기간(월)</t>
    <phoneticPr fontId="2" type="noConversion"/>
  </si>
  <si>
    <t>판매금액</t>
    <phoneticPr fontId="2" type="noConversion"/>
  </si>
  <si>
    <t>단가</t>
    <phoneticPr fontId="2" type="noConversion"/>
  </si>
  <si>
    <t>수량</t>
    <phoneticPr fontId="2" type="noConversion"/>
  </si>
  <si>
    <t>구매자</t>
    <phoneticPr fontId="2" type="noConversion"/>
  </si>
  <si>
    <t>회원코드</t>
    <phoneticPr fontId="2" type="noConversion"/>
  </si>
  <si>
    <t>[표4]</t>
    <phoneticPr fontId="4" type="noConversion"/>
  </si>
  <si>
    <t>[표3]</t>
    <phoneticPr fontId="2" type="noConversion"/>
  </si>
  <si>
    <t>[표1]</t>
    <phoneticPr fontId="4" type="noConversion"/>
  </si>
  <si>
    <t>개</t>
  </si>
  <si>
    <t>A010</t>
  </si>
  <si>
    <t>A009</t>
  </si>
  <si>
    <t>A008</t>
  </si>
  <si>
    <t>합계</t>
    <phoneticPr fontId="4" type="noConversion"/>
  </si>
  <si>
    <t>A007</t>
  </si>
  <si>
    <t>A006</t>
  </si>
  <si>
    <t>Box</t>
  </si>
  <si>
    <t>A005</t>
  </si>
  <si>
    <t>A004</t>
  </si>
  <si>
    <t>A003</t>
  </si>
  <si>
    <t>A002</t>
  </si>
  <si>
    <t>A003</t>
    <phoneticPr fontId="4" type="noConversion"/>
  </si>
  <si>
    <t>A001</t>
    <phoneticPr fontId="4" type="noConversion"/>
  </si>
  <si>
    <t>단가</t>
  </si>
  <si>
    <t>규격</t>
  </si>
  <si>
    <t>품명</t>
  </si>
  <si>
    <t>공급가액</t>
    <phoneticPr fontId="4" type="noConversion"/>
  </si>
  <si>
    <t>단가</t>
    <phoneticPr fontId="4" type="noConversion"/>
  </si>
  <si>
    <t>수량</t>
    <phoneticPr fontId="4" type="noConversion"/>
  </si>
  <si>
    <t>규격</t>
    <phoneticPr fontId="4" type="noConversion"/>
  </si>
  <si>
    <t>품명</t>
    <phoneticPr fontId="4" type="noConversion"/>
  </si>
  <si>
    <t>번호</t>
    <phoneticPr fontId="4" type="noConversion"/>
  </si>
  <si>
    <t>제품목록</t>
    <phoneticPr fontId="4" type="noConversion"/>
  </si>
  <si>
    <t>국가유공자</t>
    <phoneticPr fontId="2" type="noConversion"/>
  </si>
  <si>
    <t>기초생활수급자</t>
    <phoneticPr fontId="2" type="noConversion"/>
  </si>
  <si>
    <t>생활보호대상자</t>
    <phoneticPr fontId="2" type="noConversion"/>
  </si>
  <si>
    <t>수강료</t>
    <phoneticPr fontId="2" type="noConversion"/>
  </si>
  <si>
    <t>수강료할인</t>
    <phoneticPr fontId="2" type="noConversion"/>
  </si>
  <si>
    <t>할인 대상자</t>
    <phoneticPr fontId="2" type="noConversion"/>
  </si>
  <si>
    <t>합계</t>
    <phoneticPr fontId="2" type="noConversion"/>
  </si>
  <si>
    <t>일반</t>
    <phoneticPr fontId="2" type="noConversion"/>
  </si>
  <si>
    <t>10xxxx-424xxxx</t>
    <phoneticPr fontId="2" type="noConversion"/>
  </si>
  <si>
    <t>성연정</t>
    <phoneticPr fontId="2" type="noConversion"/>
  </si>
  <si>
    <t>11xxxx-414xxxx</t>
    <phoneticPr fontId="2" type="noConversion"/>
  </si>
  <si>
    <t>황인서</t>
    <phoneticPr fontId="2" type="noConversion"/>
  </si>
  <si>
    <t>14xxxx-415xxxx</t>
    <phoneticPr fontId="2" type="noConversion"/>
  </si>
  <si>
    <t>이기화</t>
    <phoneticPr fontId="2" type="noConversion"/>
  </si>
  <si>
    <t>14xxxx-306xxxx</t>
    <phoneticPr fontId="2" type="noConversion"/>
  </si>
  <si>
    <t>노민혁</t>
    <phoneticPr fontId="2" type="noConversion"/>
  </si>
  <si>
    <t>11xxxx-302xxxx</t>
    <phoneticPr fontId="2" type="noConversion"/>
  </si>
  <si>
    <t>한장수</t>
    <phoneticPr fontId="2" type="noConversion"/>
  </si>
  <si>
    <t>13xxxx-412xxxx</t>
    <phoneticPr fontId="2" type="noConversion"/>
  </si>
  <si>
    <t>이해미</t>
    <phoneticPr fontId="2" type="noConversion"/>
  </si>
  <si>
    <t>10xxxx-312xxxx</t>
    <phoneticPr fontId="2" type="noConversion"/>
  </si>
  <si>
    <t>김원민</t>
    <phoneticPr fontId="2" type="noConversion"/>
  </si>
  <si>
    <t>11xxxx-431xxxx</t>
    <phoneticPr fontId="2" type="noConversion"/>
  </si>
  <si>
    <t>장희진</t>
    <phoneticPr fontId="2" type="noConversion"/>
  </si>
  <si>
    <t>14xxxx-412xxxx</t>
    <phoneticPr fontId="2" type="noConversion"/>
  </si>
  <si>
    <t>김은미</t>
    <phoneticPr fontId="2" type="noConversion"/>
  </si>
  <si>
    <t>할인률</t>
    <phoneticPr fontId="2" type="noConversion"/>
  </si>
  <si>
    <t>구분</t>
    <phoneticPr fontId="2" type="noConversion"/>
  </si>
  <si>
    <t>좌석</t>
    <phoneticPr fontId="2" type="noConversion"/>
  </si>
  <si>
    <t>성별</t>
    <phoneticPr fontId="2" type="noConversion"/>
  </si>
  <si>
    <t>주민번호</t>
    <phoneticPr fontId="2" type="noConversion"/>
  </si>
  <si>
    <t>이름</t>
    <phoneticPr fontId="2" type="noConversion"/>
  </si>
  <si>
    <t>번호</t>
    <phoneticPr fontId="2" type="noConversion"/>
  </si>
  <si>
    <t>A2225-5</t>
    <phoneticPr fontId="2" type="noConversion"/>
  </si>
  <si>
    <t>수강코드</t>
    <phoneticPr fontId="2" type="noConversion"/>
  </si>
  <si>
    <t>컴퓨터 특기적성 입금</t>
  </si>
  <si>
    <t>국가유공자</t>
    <phoneticPr fontId="2" type="noConversion"/>
  </si>
  <si>
    <t>기초생활수급자</t>
    <phoneticPr fontId="2" type="noConversion"/>
  </si>
  <si>
    <t>생활보호대상자</t>
    <phoneticPr fontId="2" type="noConversion"/>
  </si>
  <si>
    <t>수강료</t>
    <phoneticPr fontId="2" type="noConversion"/>
  </si>
  <si>
    <t>수강료할인</t>
    <phoneticPr fontId="2" type="noConversion"/>
  </si>
  <si>
    <t>할인 대상자</t>
    <phoneticPr fontId="2" type="noConversion"/>
  </si>
  <si>
    <t>합계</t>
    <phoneticPr fontId="2" type="noConversion"/>
  </si>
  <si>
    <t>일반</t>
    <phoneticPr fontId="2" type="noConversion"/>
  </si>
  <si>
    <t>10xxxx-424xxxx</t>
    <phoneticPr fontId="2" type="noConversion"/>
  </si>
  <si>
    <t>성연정</t>
    <phoneticPr fontId="2" type="noConversion"/>
  </si>
  <si>
    <t>11xxxx-414xxxx</t>
    <phoneticPr fontId="2" type="noConversion"/>
  </si>
  <si>
    <t>황인서</t>
    <phoneticPr fontId="2" type="noConversion"/>
  </si>
  <si>
    <t>14xxxx-415xxxx</t>
    <phoneticPr fontId="2" type="noConversion"/>
  </si>
  <si>
    <t>이기화</t>
    <phoneticPr fontId="2" type="noConversion"/>
  </si>
  <si>
    <t>14xxxx-306xxxx</t>
    <phoneticPr fontId="2" type="noConversion"/>
  </si>
  <si>
    <t>노민혁</t>
    <phoneticPr fontId="2" type="noConversion"/>
  </si>
  <si>
    <t>11xxxx-302xxxx</t>
    <phoneticPr fontId="2" type="noConversion"/>
  </si>
  <si>
    <t>한장수</t>
    <phoneticPr fontId="2" type="noConversion"/>
  </si>
  <si>
    <t>13xxxx-412xxxx</t>
    <phoneticPr fontId="2" type="noConversion"/>
  </si>
  <si>
    <t>이해미</t>
    <phoneticPr fontId="2" type="noConversion"/>
  </si>
  <si>
    <t>10xxxx-312xxxx</t>
    <phoneticPr fontId="2" type="noConversion"/>
  </si>
  <si>
    <t>김원민</t>
    <phoneticPr fontId="2" type="noConversion"/>
  </si>
  <si>
    <t>11xxxx-431xxxx</t>
    <phoneticPr fontId="2" type="noConversion"/>
  </si>
  <si>
    <t>장희진</t>
    <phoneticPr fontId="2" type="noConversion"/>
  </si>
  <si>
    <t>14xxxx-412xxxx</t>
    <phoneticPr fontId="2" type="noConversion"/>
  </si>
  <si>
    <t>김은미</t>
    <phoneticPr fontId="2" type="noConversion"/>
  </si>
  <si>
    <t>할인률</t>
    <phoneticPr fontId="2" type="noConversion"/>
  </si>
  <si>
    <t>구분</t>
    <phoneticPr fontId="2" type="noConversion"/>
  </si>
  <si>
    <t>좌석</t>
    <phoneticPr fontId="2" type="noConversion"/>
  </si>
  <si>
    <t>성별</t>
    <phoneticPr fontId="2" type="noConversion"/>
  </si>
  <si>
    <t>주민번호</t>
    <phoneticPr fontId="2" type="noConversion"/>
  </si>
  <si>
    <t>이름</t>
    <phoneticPr fontId="2" type="noConversion"/>
  </si>
  <si>
    <t>번호</t>
    <phoneticPr fontId="2" type="noConversion"/>
  </si>
  <si>
    <t>A2225-5</t>
    <phoneticPr fontId="2" type="noConversion"/>
  </si>
  <si>
    <t>수강코드</t>
    <phoneticPr fontId="2" type="noConversion"/>
  </si>
  <si>
    <t>남자 인원수</t>
    <phoneticPr fontId="4" type="noConversion"/>
  </si>
  <si>
    <t>남자 금액 합계</t>
    <phoneticPr fontId="4" type="noConversion"/>
  </si>
  <si>
    <t>남</t>
  </si>
  <si>
    <t>나인성</t>
  </si>
  <si>
    <t>여</t>
  </si>
  <si>
    <t>박정아</t>
  </si>
  <si>
    <t>민성민</t>
  </si>
  <si>
    <t>김민수</t>
  </si>
  <si>
    <t>강희정</t>
  </si>
  <si>
    <t>금액</t>
  </si>
  <si>
    <t>성별</t>
  </si>
  <si>
    <t>이지수</t>
    <phoneticPr fontId="4" type="noConversion"/>
  </si>
  <si>
    <t>인사부</t>
    <phoneticPr fontId="4" type="noConversion"/>
  </si>
  <si>
    <t>이응표</t>
    <phoneticPr fontId="4" type="noConversion"/>
  </si>
  <si>
    <t>관리부</t>
    <phoneticPr fontId="4" type="noConversion"/>
  </si>
  <si>
    <t>정환호</t>
    <phoneticPr fontId="4" type="noConversion"/>
  </si>
  <si>
    <t>유근선</t>
    <phoneticPr fontId="4" type="noConversion"/>
  </si>
  <si>
    <t>기획실</t>
    <phoneticPr fontId="4" type="noConversion"/>
  </si>
  <si>
    <t>윤여송</t>
    <phoneticPr fontId="4" type="noConversion"/>
  </si>
  <si>
    <t>최대훈</t>
    <phoneticPr fontId="4" type="noConversion"/>
  </si>
  <si>
    <t>기술부</t>
    <phoneticPr fontId="4" type="noConversion"/>
  </si>
  <si>
    <t>인정제</t>
    <phoneticPr fontId="4" type="noConversion"/>
  </si>
  <si>
    <t>도경민</t>
    <phoneticPr fontId="4" type="noConversion"/>
  </si>
  <si>
    <t>김민영</t>
    <phoneticPr fontId="4" type="noConversion"/>
  </si>
  <si>
    <t>유제관</t>
    <phoneticPr fontId="4" type="noConversion"/>
  </si>
  <si>
    <t>전광일</t>
    <phoneticPr fontId="4" type="noConversion"/>
  </si>
  <si>
    <t>이준성</t>
    <phoneticPr fontId="4" type="noConversion"/>
  </si>
  <si>
    <t>박영훈</t>
    <phoneticPr fontId="4" type="noConversion"/>
  </si>
  <si>
    <t>김지영</t>
    <phoneticPr fontId="4" type="noConversion"/>
  </si>
  <si>
    <t>정은숙</t>
    <phoneticPr fontId="4" type="noConversion"/>
  </si>
  <si>
    <t>홍지원</t>
    <phoneticPr fontId="4" type="noConversion"/>
  </si>
  <si>
    <t>이원형</t>
    <phoneticPr fontId="4" type="noConversion"/>
  </si>
  <si>
    <t>최준기</t>
    <phoneticPr fontId="4" type="noConversion"/>
  </si>
  <si>
    <t>최재석</t>
    <phoneticPr fontId="4" type="noConversion"/>
  </si>
  <si>
    <t>정태은</t>
    <phoneticPr fontId="4" type="noConversion"/>
  </si>
  <si>
    <t>이원섭</t>
    <phoneticPr fontId="4" type="noConversion"/>
  </si>
  <si>
    <t>방극준</t>
    <phoneticPr fontId="4" type="noConversion"/>
  </si>
  <si>
    <t>이나영</t>
    <phoneticPr fontId="4" type="noConversion"/>
  </si>
  <si>
    <t>절충협조</t>
    <phoneticPr fontId="4" type="noConversion"/>
  </si>
  <si>
    <t>성실책임</t>
    <phoneticPr fontId="4" type="noConversion"/>
  </si>
  <si>
    <t>이해판단</t>
    <phoneticPr fontId="4" type="noConversion"/>
  </si>
  <si>
    <t>직무수행</t>
    <phoneticPr fontId="4" type="noConversion"/>
  </si>
  <si>
    <t>이름</t>
    <phoneticPr fontId="4" type="noConversion"/>
  </si>
  <si>
    <t>부서명</t>
    <phoneticPr fontId="4" type="noConversion"/>
  </si>
  <si>
    <t>[표2]</t>
    <phoneticPr fontId="4" type="noConversion"/>
  </si>
  <si>
    <t>인원수</t>
    <phoneticPr fontId="4" type="noConversion"/>
  </si>
  <si>
    <t>직무수행 평균</t>
    <phoneticPr fontId="4" type="noConversion"/>
  </si>
  <si>
    <t>부서</t>
    <phoneticPr fontId="4" type="noConversion"/>
  </si>
  <si>
    <t>부서별 성적분포</t>
    <phoneticPr fontId="4" type="noConversion"/>
  </si>
  <si>
    <t>[표1]</t>
    <phoneticPr fontId="4" type="noConversion"/>
  </si>
  <si>
    <t>이지수</t>
    <phoneticPr fontId="4" type="noConversion"/>
  </si>
  <si>
    <t>인사부</t>
    <phoneticPr fontId="4" type="noConversion"/>
  </si>
  <si>
    <t>이응표</t>
    <phoneticPr fontId="4" type="noConversion"/>
  </si>
  <si>
    <t>관리부</t>
    <phoneticPr fontId="4" type="noConversion"/>
  </si>
  <si>
    <t>정환호</t>
    <phoneticPr fontId="4" type="noConversion"/>
  </si>
  <si>
    <t>유근선</t>
    <phoneticPr fontId="4" type="noConversion"/>
  </si>
  <si>
    <t>기획실</t>
    <phoneticPr fontId="4" type="noConversion"/>
  </si>
  <si>
    <t>윤여송</t>
    <phoneticPr fontId="4" type="noConversion"/>
  </si>
  <si>
    <t>최대훈</t>
    <phoneticPr fontId="4" type="noConversion"/>
  </si>
  <si>
    <t>기술부</t>
    <phoneticPr fontId="4" type="noConversion"/>
  </si>
  <si>
    <t>인정제</t>
    <phoneticPr fontId="4" type="noConversion"/>
  </si>
  <si>
    <t>도경민</t>
    <phoneticPr fontId="4" type="noConversion"/>
  </si>
  <si>
    <t>김민영</t>
    <phoneticPr fontId="4" type="noConversion"/>
  </si>
  <si>
    <t>유제관</t>
    <phoneticPr fontId="4" type="noConversion"/>
  </si>
  <si>
    <t>전광일</t>
    <phoneticPr fontId="4" type="noConversion"/>
  </si>
  <si>
    <t>이준성</t>
    <phoneticPr fontId="4" type="noConversion"/>
  </si>
  <si>
    <t>박영훈</t>
    <phoneticPr fontId="4" type="noConversion"/>
  </si>
  <si>
    <t>김지영</t>
    <phoneticPr fontId="4" type="noConversion"/>
  </si>
  <si>
    <t>정은숙</t>
    <phoneticPr fontId="4" type="noConversion"/>
  </si>
  <si>
    <t>홍지원</t>
    <phoneticPr fontId="4" type="noConversion"/>
  </si>
  <si>
    <t>이원형</t>
    <phoneticPr fontId="4" type="noConversion"/>
  </si>
  <si>
    <t>최준기</t>
    <phoneticPr fontId="4" type="noConversion"/>
  </si>
  <si>
    <t>최재석</t>
    <phoneticPr fontId="4" type="noConversion"/>
  </si>
  <si>
    <t>정태은</t>
    <phoneticPr fontId="4" type="noConversion"/>
  </si>
  <si>
    <t>이원섭</t>
    <phoneticPr fontId="4" type="noConversion"/>
  </si>
  <si>
    <t>방극준</t>
    <phoneticPr fontId="4" type="noConversion"/>
  </si>
  <si>
    <t>이나영</t>
    <phoneticPr fontId="4" type="noConversion"/>
  </si>
  <si>
    <t>절충협조</t>
    <phoneticPr fontId="4" type="noConversion"/>
  </si>
  <si>
    <t>성실책임</t>
    <phoneticPr fontId="4" type="noConversion"/>
  </si>
  <si>
    <t>이해판단</t>
    <phoneticPr fontId="4" type="noConversion"/>
  </si>
  <si>
    <t>직무수행</t>
    <phoneticPr fontId="4" type="noConversion"/>
  </si>
  <si>
    <t>이름</t>
    <phoneticPr fontId="4" type="noConversion"/>
  </si>
  <si>
    <t>부서명</t>
    <phoneticPr fontId="4" type="noConversion"/>
  </si>
  <si>
    <t>[표2]</t>
    <phoneticPr fontId="4" type="noConversion"/>
  </si>
  <si>
    <t>인원수</t>
    <phoneticPr fontId="4" type="noConversion"/>
  </si>
  <si>
    <t>직무수행 평균</t>
    <phoneticPr fontId="4" type="noConversion"/>
  </si>
  <si>
    <t>부서</t>
    <phoneticPr fontId="4" type="noConversion"/>
  </si>
  <si>
    <t>부서별 성적분포</t>
    <phoneticPr fontId="4" type="noConversion"/>
  </si>
  <si>
    <t>[표1]</t>
    <phoneticPr fontId="4" type="noConversion"/>
  </si>
  <si>
    <t>결혼식</t>
    <phoneticPr fontId="2" type="noConversion"/>
  </si>
  <si>
    <t>김봉선</t>
    <phoneticPr fontId="2" type="noConversion"/>
  </si>
  <si>
    <t>현금영수증</t>
    <phoneticPr fontId="2" type="noConversion"/>
  </si>
  <si>
    <t>홍인식</t>
    <phoneticPr fontId="2" type="noConversion"/>
  </si>
  <si>
    <t>직불카드</t>
    <phoneticPr fontId="2" type="noConversion"/>
  </si>
  <si>
    <t>양숙경</t>
    <phoneticPr fontId="2" type="noConversion"/>
  </si>
  <si>
    <t>기타지역</t>
    <phoneticPr fontId="2" type="noConversion"/>
  </si>
  <si>
    <t>일반카드</t>
    <phoneticPr fontId="2" type="noConversion"/>
  </si>
  <si>
    <t>김원성</t>
    <phoneticPr fontId="2" type="noConversion"/>
  </si>
  <si>
    <t>기타광역시</t>
    <phoneticPr fontId="2" type="noConversion"/>
  </si>
  <si>
    <t>최대값과 최저값의 차이</t>
    <phoneticPr fontId="2" type="noConversion"/>
  </si>
  <si>
    <t>일반의료비</t>
    <phoneticPr fontId="2" type="noConversion"/>
  </si>
  <si>
    <t>결제방법</t>
    <phoneticPr fontId="2" type="noConversion"/>
  </si>
  <si>
    <t>양용진</t>
    <phoneticPr fontId="2" type="noConversion"/>
  </si>
  <si>
    <t>서울, 부산</t>
    <phoneticPr fontId="2" type="noConversion"/>
  </si>
  <si>
    <t>단위 : 천원</t>
    <phoneticPr fontId="2" type="noConversion"/>
  </si>
  <si>
    <t>[표2]</t>
    <phoneticPr fontId="2" type="noConversion"/>
  </si>
  <si>
    <t>돌잔치</t>
    <phoneticPr fontId="2" type="noConversion"/>
  </si>
  <si>
    <t>최동국</t>
    <phoneticPr fontId="2" type="noConversion"/>
  </si>
  <si>
    <t>비율</t>
    <phoneticPr fontId="2" type="noConversion"/>
  </si>
  <si>
    <t>현재예치금</t>
    <phoneticPr fontId="2" type="noConversion"/>
  </si>
  <si>
    <t>무주택 평균</t>
    <phoneticPr fontId="2" type="noConversion"/>
  </si>
  <si>
    <t>지역</t>
    <phoneticPr fontId="2" type="noConversion"/>
  </si>
  <si>
    <t>윤석현</t>
    <phoneticPr fontId="2" type="noConversion"/>
  </si>
  <si>
    <t>[표5] 현재예치금 비율</t>
    <phoneticPr fontId="2" type="noConversion"/>
  </si>
  <si>
    <t>[표4] 지역별 무주택 평균</t>
    <phoneticPr fontId="2" type="noConversion"/>
  </si>
  <si>
    <t>교육비</t>
    <phoneticPr fontId="2" type="noConversion"/>
  </si>
  <si>
    <t>강숙희</t>
    <phoneticPr fontId="2" type="noConversion"/>
  </si>
  <si>
    <t>김윤남</t>
    <phoneticPr fontId="2" type="noConversion"/>
  </si>
  <si>
    <t>이효인</t>
    <phoneticPr fontId="2" type="noConversion"/>
  </si>
  <si>
    <t>이남동</t>
    <phoneticPr fontId="2" type="noConversion"/>
  </si>
  <si>
    <t>SB-25</t>
  </si>
  <si>
    <t>김윤희</t>
    <phoneticPr fontId="2" type="noConversion"/>
  </si>
  <si>
    <t>KT-24</t>
  </si>
  <si>
    <t>회식</t>
    <phoneticPr fontId="2" type="noConversion"/>
  </si>
  <si>
    <t>법인카드</t>
    <phoneticPr fontId="2" type="noConversion"/>
  </si>
  <si>
    <t>김인호</t>
    <phoneticPr fontId="2" type="noConversion"/>
  </si>
  <si>
    <t>안혜정</t>
    <phoneticPr fontId="2" type="noConversion"/>
  </si>
  <si>
    <t>KY-23</t>
  </si>
  <si>
    <t>김석진</t>
    <phoneticPr fontId="2" type="noConversion"/>
  </si>
  <si>
    <t>조신정</t>
    <phoneticPr fontId="2" type="noConversion"/>
  </si>
  <si>
    <t>KT-18</t>
  </si>
  <si>
    <t>이미영</t>
    <phoneticPr fontId="2" type="noConversion"/>
  </si>
  <si>
    <t>SB-17</t>
  </si>
  <si>
    <t>보험료</t>
    <phoneticPr fontId="2" type="noConversion"/>
  </si>
  <si>
    <t>김라진</t>
    <phoneticPr fontId="2" type="noConversion"/>
  </si>
  <si>
    <t>김은희</t>
    <phoneticPr fontId="2" type="noConversion"/>
  </si>
  <si>
    <t>SB-16</t>
  </si>
  <si>
    <t>김라희</t>
    <phoneticPr fontId="2" type="noConversion"/>
  </si>
  <si>
    <t>이솔비</t>
    <phoneticPr fontId="2" type="noConversion"/>
  </si>
  <si>
    <t>KT-15</t>
  </si>
  <si>
    <t>김호야</t>
    <phoneticPr fontId="2" type="noConversion"/>
  </si>
  <si>
    <t>SB-14</t>
  </si>
  <si>
    <t>이연경</t>
    <phoneticPr fontId="2" type="noConversion"/>
  </si>
  <si>
    <t>KY-13</t>
  </si>
  <si>
    <t>윤미화</t>
    <phoneticPr fontId="2" type="noConversion"/>
  </si>
  <si>
    <t>SB-12</t>
  </si>
  <si>
    <t>김상중</t>
    <phoneticPr fontId="2" type="noConversion"/>
  </si>
  <si>
    <t>KT-11</t>
  </si>
  <si>
    <t>최익현</t>
    <phoneticPr fontId="2" type="noConversion"/>
  </si>
  <si>
    <t>KY-10</t>
  </si>
  <si>
    <t>행사건수</t>
    <phoneticPr fontId="2" type="noConversion"/>
  </si>
  <si>
    <t>월</t>
    <phoneticPr fontId="2" type="noConversion"/>
  </si>
  <si>
    <t>이신호</t>
    <phoneticPr fontId="2" type="noConversion"/>
  </si>
  <si>
    <t>KT-9</t>
  </si>
  <si>
    <t>[표8] 월별 행사건수</t>
    <phoneticPr fontId="2" type="noConversion"/>
  </si>
  <si>
    <t>김경지</t>
    <phoneticPr fontId="2" type="noConversion"/>
  </si>
  <si>
    <t>KT-8</t>
  </si>
  <si>
    <t>식비</t>
    <phoneticPr fontId="2" type="noConversion"/>
  </si>
  <si>
    <t>유인하</t>
    <phoneticPr fontId="2" type="noConversion"/>
  </si>
  <si>
    <t>KY-7</t>
  </si>
  <si>
    <t>교통비</t>
    <phoneticPr fontId="2" type="noConversion"/>
  </si>
  <si>
    <t>양미진</t>
    <phoneticPr fontId="2" type="noConversion"/>
  </si>
  <si>
    <t>KY-6</t>
  </si>
  <si>
    <t>이석호</t>
    <phoneticPr fontId="2" type="noConversion"/>
  </si>
  <si>
    <t>SB-5</t>
  </si>
  <si>
    <t>안산진</t>
    <phoneticPr fontId="2" type="noConversion"/>
  </si>
  <si>
    <t>SB-4</t>
  </si>
  <si>
    <t>이기봉</t>
    <phoneticPr fontId="2" type="noConversion"/>
  </si>
  <si>
    <t>KT-3</t>
  </si>
  <si>
    <t>일반카드</t>
    <phoneticPr fontId="2" type="noConversion"/>
  </si>
  <si>
    <t>성정아</t>
    <phoneticPr fontId="2" type="noConversion"/>
  </si>
  <si>
    <t>KY-2</t>
  </si>
  <si>
    <t>김라진</t>
    <phoneticPr fontId="2" type="noConversion"/>
  </si>
  <si>
    <t>인원수</t>
    <phoneticPr fontId="2" type="noConversion"/>
  </si>
  <si>
    <t>김기완</t>
    <phoneticPr fontId="2" type="noConversion"/>
  </si>
  <si>
    <t>SB-1</t>
  </si>
  <si>
    <t>[표7] 행사내용과 인원에 따른 빈도수</t>
    <phoneticPr fontId="2" type="noConversion"/>
  </si>
  <si>
    <t>행사일</t>
    <phoneticPr fontId="2" type="noConversion"/>
  </si>
  <si>
    <t>인원</t>
    <phoneticPr fontId="2" type="noConversion"/>
  </si>
  <si>
    <t>행사내용</t>
    <phoneticPr fontId="2" type="noConversion"/>
  </si>
  <si>
    <t>성명</t>
    <phoneticPr fontId="2" type="noConversion"/>
  </si>
  <si>
    <t>부양가족수</t>
    <phoneticPr fontId="2" type="noConversion"/>
  </si>
  <si>
    <t>무주택</t>
    <phoneticPr fontId="2" type="noConversion"/>
  </si>
  <si>
    <t>전용면적</t>
    <phoneticPr fontId="2" type="noConversion"/>
  </si>
  <si>
    <t>번호</t>
  </si>
  <si>
    <t>금액</t>
    <phoneticPr fontId="2" type="noConversion"/>
  </si>
  <si>
    <t>사용내역</t>
    <phoneticPr fontId="2" type="noConversion"/>
  </si>
  <si>
    <t>[표6]</t>
    <phoneticPr fontId="2" type="noConversion"/>
  </si>
  <si>
    <t>[표1]</t>
    <phoneticPr fontId="2" type="noConversion"/>
  </si>
  <si>
    <t>결혼식</t>
    <phoneticPr fontId="2" type="noConversion"/>
  </si>
  <si>
    <t>김봉선</t>
    <phoneticPr fontId="2" type="noConversion"/>
  </si>
  <si>
    <t>현금영수증</t>
    <phoneticPr fontId="2" type="noConversion"/>
  </si>
  <si>
    <t>홍인식</t>
    <phoneticPr fontId="2" type="noConversion"/>
  </si>
  <si>
    <t>직불카드</t>
    <phoneticPr fontId="2" type="noConversion"/>
  </si>
  <si>
    <t>양숙경</t>
    <phoneticPr fontId="2" type="noConversion"/>
  </si>
  <si>
    <t>기타지역</t>
    <phoneticPr fontId="2" type="noConversion"/>
  </si>
  <si>
    <t>일반카드</t>
    <phoneticPr fontId="2" type="noConversion"/>
  </si>
  <si>
    <t>김원성</t>
    <phoneticPr fontId="2" type="noConversion"/>
  </si>
  <si>
    <t>기타광역시</t>
    <phoneticPr fontId="2" type="noConversion"/>
  </si>
  <si>
    <t>최대값과 최저값의 차이</t>
    <phoneticPr fontId="2" type="noConversion"/>
  </si>
  <si>
    <t>일반의료비</t>
    <phoneticPr fontId="2" type="noConversion"/>
  </si>
  <si>
    <t>결제방법</t>
    <phoneticPr fontId="2" type="noConversion"/>
  </si>
  <si>
    <t>양용진</t>
    <phoneticPr fontId="2" type="noConversion"/>
  </si>
  <si>
    <t>서울, 부산</t>
    <phoneticPr fontId="2" type="noConversion"/>
  </si>
  <si>
    <t>단위 : 천원</t>
    <phoneticPr fontId="2" type="noConversion"/>
  </si>
  <si>
    <t>돌잔치</t>
    <phoneticPr fontId="2" type="noConversion"/>
  </si>
  <si>
    <t>최동국</t>
    <phoneticPr fontId="2" type="noConversion"/>
  </si>
  <si>
    <t>비율</t>
    <phoneticPr fontId="2" type="noConversion"/>
  </si>
  <si>
    <t>현재예치금</t>
    <phoneticPr fontId="2" type="noConversion"/>
  </si>
  <si>
    <t>무주택 평균</t>
    <phoneticPr fontId="2" type="noConversion"/>
  </si>
  <si>
    <t>지역</t>
    <phoneticPr fontId="2" type="noConversion"/>
  </si>
  <si>
    <t>돌잔치</t>
    <phoneticPr fontId="2" type="noConversion"/>
  </si>
  <si>
    <t>윤석현</t>
    <phoneticPr fontId="2" type="noConversion"/>
  </si>
  <si>
    <t>[표5] 현재예치금 비율</t>
    <phoneticPr fontId="2" type="noConversion"/>
  </si>
  <si>
    <t>[표4] 지역별 무주택 평균</t>
    <phoneticPr fontId="2" type="noConversion"/>
  </si>
  <si>
    <t>교육비</t>
    <phoneticPr fontId="2" type="noConversion"/>
  </si>
  <si>
    <t>직불카드</t>
    <phoneticPr fontId="2" type="noConversion"/>
  </si>
  <si>
    <t>강숙희</t>
    <phoneticPr fontId="2" type="noConversion"/>
  </si>
  <si>
    <t>김윤남</t>
    <phoneticPr fontId="2" type="noConversion"/>
  </si>
  <si>
    <t>일반의료비</t>
    <phoneticPr fontId="2" type="noConversion"/>
  </si>
  <si>
    <t>이효인</t>
    <phoneticPr fontId="2" type="noConversion"/>
  </si>
  <si>
    <t>이남동</t>
    <phoneticPr fontId="2" type="noConversion"/>
  </si>
  <si>
    <t>김윤희</t>
    <phoneticPr fontId="2" type="noConversion"/>
  </si>
  <si>
    <t>기타지역</t>
    <phoneticPr fontId="2" type="noConversion"/>
  </si>
  <si>
    <t>회식</t>
    <phoneticPr fontId="2" type="noConversion"/>
  </si>
  <si>
    <t>법인카드</t>
    <phoneticPr fontId="2" type="noConversion"/>
  </si>
  <si>
    <t>김인호</t>
    <phoneticPr fontId="2" type="noConversion"/>
  </si>
  <si>
    <t>안혜정</t>
    <phoneticPr fontId="2" type="noConversion"/>
  </si>
  <si>
    <t>기타광역시</t>
    <phoneticPr fontId="2" type="noConversion"/>
  </si>
  <si>
    <t>김석진</t>
    <phoneticPr fontId="2" type="noConversion"/>
  </si>
  <si>
    <t>조신정</t>
    <phoneticPr fontId="2" type="noConversion"/>
  </si>
  <si>
    <t>이미영</t>
    <phoneticPr fontId="2" type="noConversion"/>
  </si>
  <si>
    <t>보험료</t>
    <phoneticPr fontId="2" type="noConversion"/>
  </si>
  <si>
    <t>일반카드</t>
    <phoneticPr fontId="2" type="noConversion"/>
  </si>
  <si>
    <t>김라진</t>
    <phoneticPr fontId="2" type="noConversion"/>
  </si>
  <si>
    <t>김은희</t>
    <phoneticPr fontId="2" type="noConversion"/>
  </si>
  <si>
    <t>교육비</t>
    <phoneticPr fontId="2" type="noConversion"/>
  </si>
  <si>
    <t>현금영수증</t>
    <phoneticPr fontId="2" type="noConversion"/>
  </si>
  <si>
    <t>김라희</t>
    <phoneticPr fontId="2" type="noConversion"/>
  </si>
  <si>
    <t>이솔비</t>
    <phoneticPr fontId="2" type="noConversion"/>
  </si>
  <si>
    <t>김인호</t>
    <phoneticPr fontId="2" type="noConversion"/>
  </si>
  <si>
    <t>김호야</t>
    <phoneticPr fontId="2" type="noConversion"/>
  </si>
  <si>
    <t>이효인</t>
    <phoneticPr fontId="2" type="noConversion"/>
  </si>
  <si>
    <t>이연경</t>
    <phoneticPr fontId="2" type="noConversion"/>
  </si>
  <si>
    <t>김라진</t>
    <phoneticPr fontId="2" type="noConversion"/>
  </si>
  <si>
    <t>윤미화</t>
    <phoneticPr fontId="2" type="noConversion"/>
  </si>
  <si>
    <t>김석진</t>
    <phoneticPr fontId="2" type="noConversion"/>
  </si>
  <si>
    <t>김상중</t>
    <phoneticPr fontId="2" type="noConversion"/>
  </si>
  <si>
    <t>김라희</t>
    <phoneticPr fontId="2" type="noConversion"/>
  </si>
  <si>
    <t>최익현</t>
    <phoneticPr fontId="2" type="noConversion"/>
  </si>
  <si>
    <t>행사건수</t>
    <phoneticPr fontId="2" type="noConversion"/>
  </si>
  <si>
    <t>월</t>
    <phoneticPr fontId="2" type="noConversion"/>
  </si>
  <si>
    <t>이신호</t>
    <phoneticPr fontId="2" type="noConversion"/>
  </si>
  <si>
    <t>일반의료비</t>
    <phoneticPr fontId="2" type="noConversion"/>
  </si>
  <si>
    <t>김석진</t>
    <phoneticPr fontId="2" type="noConversion"/>
  </si>
  <si>
    <t>[표8] 월별 행사건수</t>
    <phoneticPr fontId="2" type="noConversion"/>
  </si>
  <si>
    <t>김경지</t>
    <phoneticPr fontId="2" type="noConversion"/>
  </si>
  <si>
    <t>식비</t>
    <phoneticPr fontId="2" type="noConversion"/>
  </si>
  <si>
    <t>유인하</t>
    <phoneticPr fontId="2" type="noConversion"/>
  </si>
  <si>
    <t>교통비</t>
    <phoneticPr fontId="2" type="noConversion"/>
  </si>
  <si>
    <t>법인카드</t>
    <phoneticPr fontId="2" type="noConversion"/>
  </si>
  <si>
    <t>양미진</t>
    <phoneticPr fontId="2" type="noConversion"/>
  </si>
  <si>
    <t>결혼식</t>
    <phoneticPr fontId="2" type="noConversion"/>
  </si>
  <si>
    <t>이석호</t>
    <phoneticPr fontId="2" type="noConversion"/>
  </si>
  <si>
    <t>김인호</t>
    <phoneticPr fontId="2" type="noConversion"/>
  </si>
  <si>
    <t>안산진</t>
    <phoneticPr fontId="2" type="noConversion"/>
  </si>
  <si>
    <t>이기봉</t>
    <phoneticPr fontId="2" type="noConversion"/>
  </si>
  <si>
    <t>일반카드</t>
    <phoneticPr fontId="2" type="noConversion"/>
  </si>
  <si>
    <t>성정아</t>
    <phoneticPr fontId="2" type="noConversion"/>
  </si>
  <si>
    <t>기타광역시</t>
    <phoneticPr fontId="2" type="noConversion"/>
  </si>
  <si>
    <t>인원수</t>
    <phoneticPr fontId="2" type="noConversion"/>
  </si>
  <si>
    <t>돌잔치</t>
    <phoneticPr fontId="2" type="noConversion"/>
  </si>
  <si>
    <t>김기완</t>
    <phoneticPr fontId="2" type="noConversion"/>
  </si>
  <si>
    <t>[표7] 행사내용과 인원에 따른 빈도수</t>
    <phoneticPr fontId="2" type="noConversion"/>
  </si>
  <si>
    <t>행사일</t>
    <phoneticPr fontId="2" type="noConversion"/>
  </si>
  <si>
    <t>인원</t>
    <phoneticPr fontId="2" type="noConversion"/>
  </si>
  <si>
    <t>행사내용</t>
    <phoneticPr fontId="2" type="noConversion"/>
  </si>
  <si>
    <t>성명</t>
    <phoneticPr fontId="2" type="noConversion"/>
  </si>
  <si>
    <t>부양가족수</t>
    <phoneticPr fontId="2" type="noConversion"/>
  </si>
  <si>
    <t>무주택</t>
    <phoneticPr fontId="2" type="noConversion"/>
  </si>
  <si>
    <t>전용면적</t>
    <phoneticPr fontId="2" type="noConversion"/>
  </si>
  <si>
    <t>금액</t>
    <phoneticPr fontId="2" type="noConversion"/>
  </si>
  <si>
    <t>사용내역</t>
    <phoneticPr fontId="2" type="noConversion"/>
  </si>
  <si>
    <t>결제방법</t>
    <phoneticPr fontId="2" type="noConversion"/>
  </si>
  <si>
    <t>[표6]</t>
    <phoneticPr fontId="2" type="noConversion"/>
  </si>
  <si>
    <t>`</t>
    <phoneticPr fontId="2" type="noConversion"/>
  </si>
  <si>
    <t>SM</t>
    <phoneticPr fontId="2" type="noConversion"/>
  </si>
  <si>
    <t>BW</t>
    <phoneticPr fontId="2" type="noConversion"/>
  </si>
  <si>
    <t>BW</t>
    <phoneticPr fontId="2" type="noConversion"/>
  </si>
  <si>
    <t>06</t>
    <phoneticPr fontId="2" type="noConversion"/>
  </si>
  <si>
    <t>JJ2222</t>
    <phoneticPr fontId="2" type="noConversion"/>
  </si>
  <si>
    <t>BM</t>
    <phoneticPr fontId="2" type="noConversion"/>
  </si>
  <si>
    <t>04</t>
    <phoneticPr fontId="2" type="noConversion"/>
  </si>
  <si>
    <t>SS2222</t>
    <phoneticPr fontId="2" type="noConversion"/>
  </si>
  <si>
    <t>SW</t>
    <phoneticPr fontId="2" type="noConversion"/>
  </si>
  <si>
    <t>03</t>
    <phoneticPr fontId="2" type="noConversion"/>
  </si>
  <si>
    <t>01</t>
    <phoneticPr fontId="2" type="noConversion"/>
  </si>
  <si>
    <t>SS1111</t>
    <phoneticPr fontId="2" type="noConversion"/>
  </si>
  <si>
    <t>나라카드</t>
    <phoneticPr fontId="2" type="noConversion"/>
  </si>
  <si>
    <t>모델번호</t>
    <phoneticPr fontId="2" type="noConversion"/>
  </si>
  <si>
    <t>판매금액합계</t>
    <phoneticPr fontId="2" type="noConversion"/>
  </si>
  <si>
    <t>SM</t>
    <phoneticPr fontId="2" type="noConversion"/>
  </si>
  <si>
    <t>[표6] 모델별 평균 매출액</t>
    <phoneticPr fontId="2" type="noConversion"/>
  </si>
  <si>
    <t>[표3] 물품코드별 합계</t>
    <phoneticPr fontId="2" type="noConversion"/>
  </si>
  <si>
    <t>JJ</t>
    <phoneticPr fontId="2" type="noConversion"/>
  </si>
  <si>
    <t>국외</t>
    <phoneticPr fontId="2" type="noConversion"/>
  </si>
  <si>
    <t>SS</t>
    <phoneticPr fontId="2" type="noConversion"/>
  </si>
  <si>
    <t>국내</t>
    <phoneticPr fontId="2" type="noConversion"/>
  </si>
  <si>
    <t>BM</t>
    <phoneticPr fontId="2" type="noConversion"/>
  </si>
  <si>
    <t>단가평균</t>
    <phoneticPr fontId="2" type="noConversion"/>
  </si>
  <si>
    <t>수량평균</t>
    <phoneticPr fontId="2" type="noConversion"/>
  </si>
  <si>
    <t>지역</t>
    <phoneticPr fontId="2" type="noConversion"/>
  </si>
  <si>
    <t>나라카드</t>
    <phoneticPr fontId="2" type="noConversion"/>
  </si>
  <si>
    <t>대한카드</t>
    <phoneticPr fontId="2" type="noConversion"/>
  </si>
  <si>
    <t>한국카드</t>
    <phoneticPr fontId="2" type="noConversion"/>
  </si>
  <si>
    <t>[표2] 지역별 평균</t>
    <phoneticPr fontId="2" type="noConversion"/>
  </si>
  <si>
    <t>[표5] 할부기간별 카드 사용 빈도</t>
    <phoneticPr fontId="2" type="noConversion"/>
  </si>
  <si>
    <t>JJ1111</t>
    <phoneticPr fontId="2" type="noConversion"/>
  </si>
  <si>
    <t>김성완</t>
    <phoneticPr fontId="2" type="noConversion"/>
  </si>
  <si>
    <t>SA-01</t>
    <phoneticPr fontId="2" type="noConversion"/>
  </si>
  <si>
    <t>SA-01</t>
    <phoneticPr fontId="2" type="noConversion"/>
  </si>
  <si>
    <t>SS3333</t>
    <phoneticPr fontId="2" type="noConversion"/>
  </si>
  <si>
    <t>임유승</t>
    <phoneticPr fontId="2" type="noConversion"/>
  </si>
  <si>
    <t>SW</t>
    <phoneticPr fontId="2" type="noConversion"/>
  </si>
  <si>
    <t>SA-04</t>
    <phoneticPr fontId="2" type="noConversion"/>
  </si>
  <si>
    <t>한마식</t>
    <phoneticPr fontId="2" type="noConversion"/>
  </si>
  <si>
    <t>SA-06</t>
    <phoneticPr fontId="2" type="noConversion"/>
  </si>
  <si>
    <t>민병욱</t>
    <phoneticPr fontId="2" type="noConversion"/>
  </si>
  <si>
    <t>SA-05</t>
    <phoneticPr fontId="2" type="noConversion"/>
  </si>
  <si>
    <t>안대훈</t>
    <phoneticPr fontId="2" type="noConversion"/>
  </si>
  <si>
    <t>배사공</t>
    <phoneticPr fontId="2" type="noConversion"/>
  </si>
  <si>
    <t>[표9] 코드별 나이별 평균 가입기간</t>
    <phoneticPr fontId="2" type="noConversion"/>
  </si>
  <si>
    <t>SA-03</t>
    <phoneticPr fontId="2" type="noConversion"/>
  </si>
  <si>
    <t>이구름</t>
    <phoneticPr fontId="2" type="noConversion"/>
  </si>
  <si>
    <t>SA-02</t>
    <phoneticPr fontId="2" type="noConversion"/>
  </si>
  <si>
    <t>SW</t>
    <phoneticPr fontId="2" type="noConversion"/>
  </si>
  <si>
    <t>강한후</t>
    <phoneticPr fontId="2" type="noConversion"/>
  </si>
  <si>
    <t>SM</t>
    <phoneticPr fontId="2" type="noConversion"/>
  </si>
  <si>
    <t>SS1111</t>
    <phoneticPr fontId="2" type="noConversion"/>
  </si>
  <si>
    <t>BW</t>
    <phoneticPr fontId="2" type="noConversion"/>
  </si>
  <si>
    <t>한국카드</t>
    <phoneticPr fontId="2" type="noConversion"/>
  </si>
  <si>
    <t>SA-03</t>
    <phoneticPr fontId="2" type="noConversion"/>
  </si>
  <si>
    <t>가입자수</t>
    <phoneticPr fontId="2" type="noConversion"/>
  </si>
  <si>
    <t>나이</t>
    <phoneticPr fontId="2" type="noConversion"/>
  </si>
  <si>
    <t>[표8] 나이대별 가입자수</t>
    <phoneticPr fontId="2" type="noConversion"/>
  </si>
  <si>
    <t>가입기간</t>
    <phoneticPr fontId="2" type="noConversion"/>
  </si>
  <si>
    <t>가입나이</t>
    <phoneticPr fontId="2" type="noConversion"/>
  </si>
  <si>
    <t>할부기간</t>
    <phoneticPr fontId="2" type="noConversion"/>
  </si>
  <si>
    <t>적립률</t>
    <phoneticPr fontId="2" type="noConversion"/>
  </si>
  <si>
    <t>매출액</t>
    <phoneticPr fontId="2" type="noConversion"/>
  </si>
  <si>
    <t>모델명</t>
    <phoneticPr fontId="2" type="noConversion"/>
  </si>
  <si>
    <t>물품코드</t>
    <phoneticPr fontId="2" type="noConversion"/>
  </si>
  <si>
    <t>[표7]</t>
    <phoneticPr fontId="2" type="noConversion"/>
  </si>
  <si>
    <t>[표4]</t>
    <phoneticPr fontId="2" type="noConversion"/>
  </si>
  <si>
    <t>[표1]</t>
    <phoneticPr fontId="2" type="noConversion"/>
  </si>
  <si>
    <t>06</t>
    <phoneticPr fontId="2" type="noConversion"/>
  </si>
  <si>
    <t>04</t>
    <phoneticPr fontId="2" type="noConversion"/>
  </si>
  <si>
    <t>03</t>
    <phoneticPr fontId="2" type="noConversion"/>
  </si>
  <si>
    <t>[표6] 모델별 평균 매출액</t>
    <phoneticPr fontId="2" type="noConversion"/>
  </si>
  <si>
    <t>[표3] 물품코드별 합계</t>
    <phoneticPr fontId="2" type="noConversion"/>
  </si>
  <si>
    <t>국내</t>
    <phoneticPr fontId="2" type="noConversion"/>
  </si>
  <si>
    <t>권충수</t>
    <phoneticPr fontId="2" type="noConversion"/>
  </si>
  <si>
    <t>영어</t>
    <phoneticPr fontId="2" type="noConversion"/>
  </si>
  <si>
    <t>박준혁</t>
  </si>
  <si>
    <t>발표</t>
    <phoneticPr fontId="2" type="noConversion"/>
  </si>
  <si>
    <t>국어</t>
    <phoneticPr fontId="2" type="noConversion"/>
  </si>
  <si>
    <t>김영길</t>
    <phoneticPr fontId="2" type="noConversion"/>
  </si>
  <si>
    <t>자</t>
  </si>
  <si>
    <t>진희수</t>
  </si>
  <si>
    <t>실험</t>
    <phoneticPr fontId="2" type="noConversion"/>
  </si>
  <si>
    <t>과학</t>
    <phoneticPr fontId="2" type="noConversion"/>
  </si>
  <si>
    <t>김영길</t>
    <phoneticPr fontId="2" type="noConversion"/>
  </si>
  <si>
    <t>부</t>
  </si>
  <si>
    <t>국어</t>
    <phoneticPr fontId="2" type="noConversion"/>
  </si>
  <si>
    <t>성유희</t>
    <phoneticPr fontId="4" type="noConversion"/>
  </si>
  <si>
    <t>포트폴리오</t>
    <phoneticPr fontId="2" type="noConversion"/>
  </si>
  <si>
    <t>사회</t>
    <phoneticPr fontId="2" type="noConversion"/>
  </si>
  <si>
    <t>보험료</t>
    <phoneticPr fontId="2" type="noConversion"/>
  </si>
  <si>
    <t>수학</t>
    <phoneticPr fontId="2" type="noConversion"/>
  </si>
  <si>
    <t>정재익</t>
  </si>
  <si>
    <t>발표</t>
    <phoneticPr fontId="2" type="noConversion"/>
  </si>
  <si>
    <t>모</t>
  </si>
  <si>
    <t>한우규</t>
    <phoneticPr fontId="4" type="noConversion"/>
  </si>
  <si>
    <t>기말고사</t>
    <phoneticPr fontId="2" type="noConversion"/>
  </si>
  <si>
    <t>수학</t>
    <phoneticPr fontId="2" type="noConversion"/>
  </si>
  <si>
    <t>황성호</t>
  </si>
  <si>
    <t>중간고사</t>
    <phoneticPr fontId="2" type="noConversion"/>
  </si>
  <si>
    <t>강호민</t>
    <phoneticPr fontId="2" type="noConversion"/>
  </si>
  <si>
    <t>식비</t>
    <phoneticPr fontId="2" type="noConversion"/>
  </si>
  <si>
    <t>처</t>
  </si>
  <si>
    <t>박찬훈</t>
    <phoneticPr fontId="4" type="noConversion"/>
  </si>
  <si>
    <t>중간고사</t>
    <phoneticPr fontId="2" type="noConversion"/>
  </si>
  <si>
    <t>본인</t>
  </si>
  <si>
    <t>김인하</t>
    <phoneticPr fontId="4" type="noConversion"/>
  </si>
  <si>
    <t>과학</t>
    <phoneticPr fontId="2" type="noConversion"/>
  </si>
  <si>
    <t>강호민</t>
    <phoneticPr fontId="2" type="noConversion"/>
  </si>
  <si>
    <t>박찬훈</t>
    <phoneticPr fontId="4" type="noConversion"/>
  </si>
  <si>
    <t>이민정</t>
    <phoneticPr fontId="2" type="noConversion"/>
  </si>
  <si>
    <t>이민정</t>
    <phoneticPr fontId="2" type="noConversion"/>
  </si>
  <si>
    <t>이남석</t>
    <phoneticPr fontId="2" type="noConversion"/>
  </si>
  <si>
    <t>비고</t>
    <phoneticPr fontId="2" type="noConversion"/>
  </si>
  <si>
    <t>수강인원</t>
    <phoneticPr fontId="2" type="noConversion"/>
  </si>
  <si>
    <t>현재강의수</t>
    <phoneticPr fontId="2" type="noConversion"/>
  </si>
  <si>
    <t>과목</t>
    <phoneticPr fontId="2" type="noConversion"/>
  </si>
  <si>
    <t>강사</t>
    <phoneticPr fontId="2" type="noConversion"/>
  </si>
  <si>
    <t>기타</t>
    <phoneticPr fontId="2" type="noConversion"/>
  </si>
  <si>
    <t>반영점수</t>
    <phoneticPr fontId="2" type="noConversion"/>
  </si>
  <si>
    <t>받은점수</t>
    <phoneticPr fontId="2" type="noConversion"/>
  </si>
  <si>
    <t>항목</t>
    <phoneticPr fontId="2" type="noConversion"/>
  </si>
  <si>
    <t>이름</t>
    <phoneticPr fontId="2" type="noConversion"/>
  </si>
  <si>
    <t>할인금액</t>
    <phoneticPr fontId="2" type="noConversion"/>
  </si>
  <si>
    <t>사용내역</t>
    <phoneticPr fontId="2" type="noConversion"/>
  </si>
  <si>
    <t>관계</t>
    <phoneticPr fontId="2" type="noConversion"/>
  </si>
  <si>
    <t>[표5]</t>
    <phoneticPr fontId="2" type="noConversion"/>
  </si>
  <si>
    <t>SW</t>
    <phoneticPr fontId="2" type="noConversion"/>
  </si>
  <si>
    <t>비회원</t>
    <phoneticPr fontId="2" type="noConversion"/>
  </si>
  <si>
    <t>안대훈</t>
    <phoneticPr fontId="2" type="noConversion"/>
  </si>
  <si>
    <t>준회원</t>
    <phoneticPr fontId="2" type="noConversion"/>
  </si>
  <si>
    <t>고진웅</t>
    <phoneticPr fontId="2" type="noConversion"/>
  </si>
  <si>
    <t>SA-07</t>
    <phoneticPr fontId="2" type="noConversion"/>
  </si>
  <si>
    <t>C002</t>
    <phoneticPr fontId="2" type="noConversion"/>
  </si>
  <si>
    <t>준회원</t>
    <phoneticPr fontId="2" type="noConversion"/>
  </si>
  <si>
    <t>김중건</t>
    <phoneticPr fontId="2" type="noConversion"/>
  </si>
  <si>
    <t>C002</t>
    <phoneticPr fontId="2" type="noConversion"/>
  </si>
  <si>
    <t>BM</t>
    <phoneticPr fontId="2" type="noConversion"/>
  </si>
  <si>
    <t>T001</t>
    <phoneticPr fontId="2" type="noConversion"/>
  </si>
  <si>
    <t>정회원</t>
    <phoneticPr fontId="2" type="noConversion"/>
  </si>
  <si>
    <t>V003</t>
    <phoneticPr fontId="2" type="noConversion"/>
  </si>
  <si>
    <t>C005</t>
    <phoneticPr fontId="2" type="noConversion"/>
  </si>
  <si>
    <t>T004</t>
    <phoneticPr fontId="2" type="noConversion"/>
  </si>
  <si>
    <t>가입상태</t>
    <phoneticPr fontId="2" type="noConversion"/>
  </si>
  <si>
    <t>미납기간</t>
    <phoneticPr fontId="2" type="noConversion"/>
  </si>
  <si>
    <t>배송비</t>
    <phoneticPr fontId="2" type="noConversion"/>
  </si>
  <si>
    <t>등급</t>
    <phoneticPr fontId="2" type="noConversion"/>
  </si>
  <si>
    <t>적립금</t>
    <phoneticPr fontId="2" type="noConversion"/>
  </si>
  <si>
    <t>주문코드</t>
    <phoneticPr fontId="2" type="noConversion"/>
  </si>
  <si>
    <t>[표2]</t>
    <phoneticPr fontId="2" type="noConversion"/>
  </si>
  <si>
    <t>김영길</t>
    <phoneticPr fontId="2" type="noConversion"/>
  </si>
  <si>
    <t>김라진</t>
    <phoneticPr fontId="2" type="noConversion"/>
  </si>
  <si>
    <t>영어</t>
    <phoneticPr fontId="2" type="noConversion"/>
  </si>
  <si>
    <t>실험</t>
    <phoneticPr fontId="2" type="noConversion"/>
  </si>
  <si>
    <t>과학</t>
    <phoneticPr fontId="2" type="noConversion"/>
  </si>
  <si>
    <t>일반의료비</t>
    <phoneticPr fontId="2" type="noConversion"/>
  </si>
  <si>
    <t>국어</t>
    <phoneticPr fontId="2" type="noConversion"/>
  </si>
  <si>
    <t>사회</t>
    <phoneticPr fontId="2" type="noConversion"/>
  </si>
  <si>
    <t>보험료</t>
    <phoneticPr fontId="2" type="noConversion"/>
  </si>
  <si>
    <t>김라희</t>
    <phoneticPr fontId="2" type="noConversion"/>
  </si>
  <si>
    <t>발표</t>
    <phoneticPr fontId="2" type="noConversion"/>
  </si>
  <si>
    <t>이효인</t>
    <phoneticPr fontId="2" type="noConversion"/>
  </si>
  <si>
    <t>한우규</t>
    <phoneticPr fontId="4" type="noConversion"/>
  </si>
  <si>
    <t>기말고사</t>
    <phoneticPr fontId="2" type="noConversion"/>
  </si>
  <si>
    <t>김석진</t>
    <phoneticPr fontId="2" type="noConversion"/>
  </si>
  <si>
    <t>중간고사</t>
    <phoneticPr fontId="2" type="noConversion"/>
  </si>
  <si>
    <t>강숙희</t>
    <phoneticPr fontId="2" type="noConversion"/>
  </si>
  <si>
    <t>강호민</t>
    <phoneticPr fontId="2" type="noConversion"/>
  </si>
  <si>
    <t>식비</t>
    <phoneticPr fontId="2" type="noConversion"/>
  </si>
  <si>
    <t>수학</t>
    <phoneticPr fontId="2" type="noConversion"/>
  </si>
  <si>
    <t>이민정</t>
    <phoneticPr fontId="2" type="noConversion"/>
  </si>
  <si>
    <t>포트폴리오</t>
    <phoneticPr fontId="2" type="noConversion"/>
  </si>
  <si>
    <t>교육비</t>
    <phoneticPr fontId="2" type="noConversion"/>
  </si>
  <si>
    <t>비고</t>
    <phoneticPr fontId="2" type="noConversion"/>
  </si>
  <si>
    <t>수강인원</t>
    <phoneticPr fontId="2" type="noConversion"/>
  </si>
  <si>
    <t>과목</t>
    <phoneticPr fontId="2" type="noConversion"/>
  </si>
  <si>
    <t>기타</t>
    <phoneticPr fontId="2" type="noConversion"/>
  </si>
  <si>
    <t>반영점수</t>
    <phoneticPr fontId="2" type="noConversion"/>
  </si>
  <si>
    <t>받은점수</t>
    <phoneticPr fontId="2" type="noConversion"/>
  </si>
  <si>
    <t>이름</t>
    <phoneticPr fontId="2" type="noConversion"/>
  </si>
  <si>
    <t>할인금액</t>
    <phoneticPr fontId="2" type="noConversion"/>
  </si>
  <si>
    <t>금액</t>
    <phoneticPr fontId="2" type="noConversion"/>
  </si>
  <si>
    <t>관계</t>
    <phoneticPr fontId="2" type="noConversion"/>
  </si>
  <si>
    <t>[표6]</t>
    <phoneticPr fontId="2" type="noConversion"/>
  </si>
  <si>
    <t>[표4]</t>
    <phoneticPr fontId="2" type="noConversion"/>
  </si>
  <si>
    <t>SW</t>
    <phoneticPr fontId="2" type="noConversion"/>
  </si>
  <si>
    <t>비회원</t>
    <phoneticPr fontId="2" type="noConversion"/>
  </si>
  <si>
    <t>SA-04</t>
    <phoneticPr fontId="2" type="noConversion"/>
  </si>
  <si>
    <t>V006</t>
    <phoneticPr fontId="2" type="noConversion"/>
  </si>
  <si>
    <t>SM</t>
    <phoneticPr fontId="2" type="noConversion"/>
  </si>
  <si>
    <t>준회원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</si>
</sst>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  <numFmt numFmtId="185" formatCode="0&quot;㎡&quot;"/>
    <numFmt numFmtId="186" formatCode="0&quot;㎡ 이상&quot;"/>
    <numFmt numFmtId="187" formatCode="General&quot; 이상&quot;"/>
    <numFmt numFmtId="188" formatCode="General&quot; 미만&quot;"/>
    <numFmt numFmtId="189" formatCode="General\ &quot;미만&quot;"/>
    <numFmt numFmtId="190" formatCode="#&quot;년&quot;"/>
    <numFmt numFmtId="191" formatCode="#,##0_ "/>
    <numFmt numFmtId="192" formatCode="m&quot;월&quot;\ d&quot;일&quot;;@"/>
    <numFmt numFmtId="193" formatCode="0.0_ "/>
    <numFmt numFmtId="194" formatCode="0\ \~"/>
    <numFmt numFmtId="195" formatCode="General&quot;월&quot;"/>
    <numFmt numFmtId="196" formatCode="General&quot; ~&quot;"/>
    <numFmt numFmtId="197" formatCode="0\ &quot;세&quot;"/>
    <numFmt numFmtId="198" formatCode="General&quot;개&quot;&quot;월&quot;"/>
    <numFmt numFmtId="199" formatCode="0.00_ "/>
    <numFmt numFmtId="200" formatCode="0&quot;세 미만&quot;"/>
    <numFmt numFmtId="201" formatCode="0&quot;세 이상&quot;"/>
    <numFmt numFmtId="202" formatCode="\ 0&quot;세&quot;"/>
    <numFmt numFmtId="203" formatCode="0&quot;세 ~&quot;"/>
  </numFmts>
  <fonts count="1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1"/>
      <color rgb="FF454545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  <xf numFmtId="42" fontId="1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0" fontId="7" fillId="0" borderId="0">
      <alignment vertical="center"/>
    </xf>
  </cellStyleXfs>
  <cellXfs count="297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6" fillId="0" borderId="0" xfId="0" applyFont="1" applyFill="1" applyAlignment="1"/>
    <xf numFmtId="0" fontId="3" fillId="0" borderId="0" xfId="0" applyFont="1" applyFill="1" applyAlignment="1"/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2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9" fontId="12" fillId="0" borderId="1" xfId="3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10" fillId="2" borderId="1" xfId="10" applyFont="1" applyFill="1" applyBorder="1" applyAlignment="1">
      <alignment horizontal="center" vertical="center"/>
    </xf>
    <xf numFmtId="0" fontId="10" fillId="0" borderId="1" xfId="11" applyFont="1" applyFill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9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85" fontId="3" fillId="0" borderId="1" xfId="0" applyNumberFormat="1" applyFont="1" applyBorder="1" applyAlignment="1">
      <alignment vertical="center"/>
    </xf>
    <xf numFmtId="0" fontId="10" fillId="0" borderId="1" xfId="11" applyFont="1" applyFill="1" applyBorder="1" applyAlignment="1">
      <alignment horizontal="center" vertical="center" wrapText="1"/>
    </xf>
    <xf numFmtId="0" fontId="10" fillId="0" borderId="1" xfId="11" applyFont="1" applyFill="1" applyBorder="1" applyAlignment="1">
      <alignment horizontal="right" vertical="center" wrapText="1"/>
    </xf>
    <xf numFmtId="0" fontId="10" fillId="0" borderId="1" xfId="1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>
      <alignment vertical="center"/>
    </xf>
    <xf numFmtId="9" fontId="3" fillId="0" borderId="1" xfId="0" applyNumberFormat="1" applyFont="1" applyBorder="1" applyAlignment="1">
      <alignment horizontal="center" vertical="center"/>
    </xf>
    <xf numFmtId="186" fontId="3" fillId="0" borderId="1" xfId="0" applyNumberFormat="1" applyFont="1" applyBorder="1" applyAlignment="1">
      <alignment vertical="center"/>
    </xf>
    <xf numFmtId="186" fontId="3" fillId="0" borderId="1" xfId="0" applyNumberFormat="1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10" fillId="0" borderId="0" xfId="10" applyFont="1" applyFill="1" applyBorder="1" applyAlignment="1">
      <alignment horizontal="center" vertical="center" wrapText="1"/>
    </xf>
    <xf numFmtId="0" fontId="10" fillId="0" borderId="0" xfId="10" applyFont="1" applyFill="1" applyBorder="1" applyAlignment="1">
      <alignment horizontal="right" vertical="center" wrapText="1"/>
    </xf>
    <xf numFmtId="0" fontId="3" fillId="0" borderId="1" xfId="0" quotePrefix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quotePrefix="1" applyBorder="1" applyAlignment="1">
      <alignment horizontal="center" vertical="center"/>
    </xf>
    <xf numFmtId="187" fontId="0" fillId="0" borderId="1" xfId="0" applyNumberFormat="1" applyFill="1" applyBorder="1" applyAlignment="1">
      <alignment horizontal="center" vertical="center"/>
    </xf>
    <xf numFmtId="188" fontId="0" fillId="0" borderId="1" xfId="0" applyNumberForma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187" fontId="0" fillId="0" borderId="3" xfId="0" applyNumberFormat="1" applyBorder="1" applyAlignment="1">
      <alignment horizontal="center" vertical="center"/>
    </xf>
    <xf numFmtId="189" fontId="0" fillId="0" borderId="4" xfId="0" applyNumberForma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6" fontId="3" fillId="3" borderId="1" xfId="0" applyNumberFormat="1" applyFont="1" applyFill="1" applyBorder="1" applyAlignment="1">
      <alignment vertical="center"/>
    </xf>
    <xf numFmtId="41" fontId="5" fillId="0" borderId="1" xfId="1" applyFont="1" applyBorder="1" applyAlignment="1">
      <alignment vertical="center"/>
    </xf>
    <xf numFmtId="190" fontId="3" fillId="0" borderId="1" xfId="0" applyNumberFormat="1" applyFont="1" applyBorder="1" applyAlignment="1">
      <alignment vertical="center"/>
    </xf>
    <xf numFmtId="176" fontId="3" fillId="0" borderId="1" xfId="0" applyNumberFormat="1" applyFont="1" applyBorder="1" applyAlignment="1">
      <alignment vertical="center"/>
    </xf>
    <xf numFmtId="0" fontId="11" fillId="0" borderId="0" xfId="0" applyFont="1" applyFill="1" applyAlignment="1">
      <alignment vertical="center"/>
    </xf>
    <xf numFmtId="6" fontId="5" fillId="0" borderId="1" xfId="1" applyNumberFormat="1" applyFont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42" fontId="3" fillId="0" borderId="1" xfId="9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13" fillId="5" borderId="1" xfId="0" applyFont="1" applyFill="1" applyBorder="1" applyAlignment="1">
      <alignment vertical="center" wrapText="1"/>
    </xf>
    <xf numFmtId="9" fontId="13" fillId="6" borderId="1" xfId="0" applyNumberFormat="1" applyFont="1" applyFill="1" applyBorder="1" applyAlignment="1">
      <alignment vertical="center" wrapText="1"/>
    </xf>
    <xf numFmtId="14" fontId="13" fillId="5" borderId="1" xfId="0" applyNumberFormat="1" applyFont="1" applyFill="1" applyBorder="1" applyAlignment="1">
      <alignment vertical="center" wrapText="1"/>
    </xf>
    <xf numFmtId="14" fontId="13" fillId="6" borderId="1" xfId="0" applyNumberFormat="1" applyFont="1" applyFill="1" applyBorder="1" applyAlignment="1">
      <alignment vertical="center" wrapText="1"/>
    </xf>
    <xf numFmtId="176" fontId="0" fillId="0" borderId="1" xfId="2" applyNumberFormat="1" applyFont="1" applyBorder="1" applyAlignment="1">
      <alignment horizontal="center" vertical="center"/>
    </xf>
    <xf numFmtId="42" fontId="0" fillId="0" borderId="1" xfId="9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2" fontId="0" fillId="0" borderId="1" xfId="9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6" fontId="0" fillId="0" borderId="1" xfId="0" applyNumberFormat="1" applyBorder="1">
      <alignment vertical="center"/>
    </xf>
    <xf numFmtId="0" fontId="0" fillId="0" borderId="0" xfId="0" applyFill="1" applyBorder="1" applyAlignment="1">
      <alignment horizontal="left" vertical="center"/>
    </xf>
    <xf numFmtId="42" fontId="3" fillId="0" borderId="1" xfId="9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9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191" fontId="5" fillId="0" borderId="1" xfId="12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191" fontId="5" fillId="4" borderId="1" xfId="12" applyNumberFormat="1" applyFont="1" applyFill="1" applyBorder="1" applyAlignment="1">
      <alignment horizontal="center" vertical="center"/>
    </xf>
    <xf numFmtId="0" fontId="5" fillId="0" borderId="0" xfId="12" applyFont="1" applyFill="1" applyAlignment="1">
      <alignment horizontal="center" vertical="center" shrinkToFit="1"/>
    </xf>
    <xf numFmtId="191" fontId="11" fillId="0" borderId="0" xfId="12" applyNumberFormat="1" applyFont="1" applyAlignment="1">
      <alignment vertical="center" shrinkToFit="1"/>
    </xf>
    <xf numFmtId="0" fontId="11" fillId="0" borderId="0" xfId="12" applyFont="1" applyFill="1" applyAlignment="1">
      <alignment vertical="center" shrinkToFit="1"/>
    </xf>
    <xf numFmtId="0" fontId="5" fillId="0" borderId="0" xfId="12" applyFont="1" applyFill="1" applyAlignment="1">
      <alignment vertical="center"/>
    </xf>
    <xf numFmtId="0" fontId="5" fillId="0" borderId="0" xfId="0" applyFont="1" applyAlignment="1">
      <alignment vertical="center"/>
    </xf>
    <xf numFmtId="3" fontId="10" fillId="0" borderId="15" xfId="0" applyNumberFormat="1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192" fontId="0" fillId="0" borderId="1" xfId="0" applyNumberFormat="1" applyBorder="1" applyAlignment="1">
      <alignment horizontal="center" vertical="center"/>
    </xf>
    <xf numFmtId="193" fontId="0" fillId="0" borderId="1" xfId="2" applyNumberFormat="1" applyFont="1" applyBorder="1">
      <alignment vertical="center"/>
    </xf>
    <xf numFmtId="0" fontId="0" fillId="0" borderId="1" xfId="0" applyNumberFormat="1" applyBorder="1" applyAlignment="1">
      <alignment horizontal="center" vertical="center"/>
    </xf>
    <xf numFmtId="194" fontId="0" fillId="0" borderId="1" xfId="0" applyNumberFormat="1" applyBorder="1" applyAlignment="1">
      <alignment horizontal="center" vertical="center"/>
    </xf>
    <xf numFmtId="0" fontId="6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185" fontId="6" fillId="2" borderId="1" xfId="0" applyNumberFormat="1" applyFont="1" applyFill="1" applyBorder="1" applyAlignment="1">
      <alignment horizontal="center" vertical="center"/>
    </xf>
    <xf numFmtId="185" fontId="0" fillId="0" borderId="1" xfId="0" applyNumberFormat="1" applyBorder="1">
      <alignment vertical="center"/>
    </xf>
    <xf numFmtId="41" fontId="0" fillId="0" borderId="0" xfId="0" applyNumberFormat="1">
      <alignment vertical="center"/>
    </xf>
    <xf numFmtId="195" fontId="0" fillId="0" borderId="1" xfId="0" applyNumberFormat="1" applyFill="1" applyBorder="1" applyAlignment="1">
      <alignment horizontal="center" vertical="center"/>
    </xf>
    <xf numFmtId="196" fontId="0" fillId="0" borderId="1" xfId="0" applyNumberForma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97" fontId="3" fillId="0" borderId="1" xfId="0" applyNumberFormat="1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0" fontId="0" fillId="0" borderId="0" xfId="0" quotePrefix="1">
      <alignment vertical="center"/>
    </xf>
    <xf numFmtId="0" fontId="6" fillId="0" borderId="0" xfId="0" applyFont="1">
      <alignment vertical="center"/>
    </xf>
    <xf numFmtId="198" fontId="0" fillId="0" borderId="1" xfId="0" applyNumberFormat="1" applyFill="1" applyBorder="1" applyAlignment="1">
      <alignment horizontal="center" vertical="center"/>
    </xf>
    <xf numFmtId="9" fontId="0" fillId="0" borderId="0" xfId="0" applyNumberFormat="1">
      <alignment vertical="center"/>
    </xf>
    <xf numFmtId="199" fontId="3" fillId="0" borderId="1" xfId="0" applyNumberFormat="1" applyFont="1" applyFill="1" applyBorder="1" applyAlignment="1">
      <alignment vertical="center"/>
    </xf>
    <xf numFmtId="0" fontId="14" fillId="0" borderId="3" xfId="0" applyFont="1" applyFill="1" applyBorder="1" applyAlignment="1">
      <alignment horizontal="center" vertical="center" wrapText="1"/>
    </xf>
    <xf numFmtId="200" fontId="15" fillId="2" borderId="1" xfId="0" applyNumberFormat="1" applyFont="1" applyFill="1" applyBorder="1" applyAlignment="1">
      <alignment horizontal="center" vertical="center" wrapText="1"/>
    </xf>
    <xf numFmtId="201" fontId="15" fillId="2" borderId="1" xfId="0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left" vertical="center"/>
    </xf>
    <xf numFmtId="0" fontId="14" fillId="0" borderId="7" xfId="0" applyFont="1" applyFill="1" applyBorder="1" applyAlignment="1">
      <alignment horizontal="center" vertical="center" wrapText="1"/>
    </xf>
    <xf numFmtId="202" fontId="14" fillId="0" borderId="4" xfId="0" applyNumberFormat="1" applyFont="1" applyFill="1" applyBorder="1" applyAlignment="1">
      <alignment horizontal="left" vertical="center" wrapText="1"/>
    </xf>
    <xf numFmtId="203" fontId="14" fillId="0" borderId="3" xfId="0" applyNumberFormat="1" applyFont="1" applyFill="1" applyBorder="1" applyAlignment="1">
      <alignment horizontal="right" vertical="center" wrapText="1"/>
    </xf>
    <xf numFmtId="0" fontId="15" fillId="2" borderId="1" xfId="0" applyFont="1" applyFill="1" applyBorder="1" applyAlignment="1">
      <alignment horizontal="center" vertical="center" wrapText="1"/>
    </xf>
    <xf numFmtId="197" fontId="3" fillId="0" borderId="7" xfId="0" applyNumberFormat="1" applyFont="1" applyFill="1" applyBorder="1" applyAlignment="1">
      <alignment horizontal="center" vertical="center"/>
    </xf>
    <xf numFmtId="14" fontId="3" fillId="0" borderId="0" xfId="1" applyNumberFormat="1" applyFont="1" applyFill="1">
      <alignment vertical="center"/>
    </xf>
    <xf numFmtId="0" fontId="0" fillId="0" borderId="1" xfId="0" applyBorder="1" applyAlignment="1">
      <alignment vertical="center"/>
    </xf>
    <xf numFmtId="0" fontId="0" fillId="0" borderId="1" xfId="0" applyFill="1" applyBorder="1">
      <alignment vertical="center"/>
    </xf>
    <xf numFmtId="0" fontId="0" fillId="0" borderId="1" xfId="2" applyNumberFormat="1" applyFont="1" applyFill="1" applyBorder="1" applyAlignment="1">
      <alignment horizontal="center" vertical="center"/>
    </xf>
    <xf numFmtId="0" fontId="12" fillId="0" borderId="1" xfId="3" applyFont="1" applyFill="1" applyBorder="1" applyAlignment="1">
      <alignment horizontal="center"/>
    </xf>
    <xf numFmtId="0" fontId="12" fillId="0" borderId="1" xfId="3" applyFont="1" applyBorder="1" applyAlignment="1">
      <alignment horizontal="center"/>
    </xf>
    <xf numFmtId="41" fontId="6" fillId="2" borderId="1" xfId="1" applyFont="1" applyFill="1" applyBorder="1" applyAlignment="1">
      <alignment horizontal="center" vertical="center"/>
    </xf>
    <xf numFmtId="0" fontId="3" fillId="0" borderId="7" xfId="0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0" fillId="2" borderId="3" xfId="10" applyFont="1" applyFill="1" applyBorder="1" applyAlignment="1">
      <alignment horizontal="center" vertical="center"/>
    </xf>
    <xf numFmtId="0" fontId="10" fillId="2" borderId="4" xfId="1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</cellXfs>
  <cellStyles count="13">
    <cellStyle name="백분율" xfId="2" builtinId="5"/>
    <cellStyle name="쉼표 [0]" xfId="1" builtinId="6"/>
    <cellStyle name="쉼표 [0] 2 2" xfId="4"/>
    <cellStyle name="통화 [0]" xfId="9" builtinId="7"/>
    <cellStyle name="표준" xfId="0" builtinId="0"/>
    <cellStyle name="표준 2 2" xfId="3"/>
    <cellStyle name="표준_2005년 국제인구이동 통계표" xfId="12"/>
    <cellStyle name="표준_Sheet1" xfId="10"/>
    <cellStyle name="표준_계산작업" xfId="11"/>
    <cellStyle name="표준_기본작업-2" xfId="7"/>
    <cellStyle name="표준_기본작업-3" xfId="8"/>
    <cellStyle name="표준_레미콘_어음" xfId="5"/>
    <cellStyle name="표준_소책자(1급)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980;&#51221;\6,000&#50896;&#49884;&#47532;&#51592;(&#50689;&#51652;)\&#49440;&#49373;&#45784;\Part2\CA%20&#48512;&#49436;%20&#51312;&#51649;_&#50756;&#4945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980;&#51221;\&#49436;&#50872;&#44368;&#50977;&#50672;&#49688;&#50896;\&#49772;&#50868;&#50641;&#49472;\&#50641;&#49472;&#51088;&#47308;\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9"/>
  <sheetViews>
    <sheetView tabSelected="1" workbookViewId="0"/>
  </sheetViews>
  <sheetFormatPr defaultColWidth="9" defaultRowHeight="17"/>
  <cols>
    <col min="1" max="2" width="9" style="8"/>
    <col min="3" max="3" width="10.83203125" style="8" bestFit="1" customWidth="1"/>
    <col min="4" max="4" width="11.58203125" style="8" bestFit="1" customWidth="1"/>
    <col min="5" max="7" width="9" style="8"/>
    <col min="8" max="8" width="11.08203125" style="8" customWidth="1"/>
    <col min="9" max="16384" width="9" style="8"/>
  </cols>
  <sheetData>
    <row r="1" spans="1:9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>
      <c r="A2" s="85" t="s">
        <v>4</v>
      </c>
      <c r="B2" s="85" t="s">
        <v>5</v>
      </c>
      <c r="C2" s="85" t="s">
        <v>6</v>
      </c>
      <c r="D2" s="90" t="s">
        <v>7</v>
      </c>
      <c r="E2" s="7"/>
      <c r="F2" s="5" t="s">
        <v>8</v>
      </c>
      <c r="G2" s="5" t="s">
        <v>9</v>
      </c>
      <c r="H2" s="85" t="s">
        <v>10</v>
      </c>
      <c r="I2" s="90" t="s">
        <v>11</v>
      </c>
    </row>
    <row r="3" spans="1:9">
      <c r="A3" s="85" t="s">
        <v>12</v>
      </c>
      <c r="B3" s="85">
        <v>327</v>
      </c>
      <c r="C3" s="9">
        <f>B3*3000</f>
        <v>981000</v>
      </c>
      <c r="D3" s="9"/>
      <c r="E3" s="7"/>
      <c r="F3" s="5" t="s">
        <v>13</v>
      </c>
      <c r="G3" s="6">
        <v>5</v>
      </c>
      <c r="H3" s="10">
        <v>5</v>
      </c>
      <c r="I3" s="11"/>
    </row>
    <row r="4" spans="1:9">
      <c r="A4" s="85" t="s">
        <v>14</v>
      </c>
      <c r="B4" s="85">
        <v>370</v>
      </c>
      <c r="C4" s="9">
        <f>B4*350</f>
        <v>129500</v>
      </c>
      <c r="D4" s="9"/>
      <c r="E4" s="7"/>
      <c r="F4" s="5" t="s">
        <v>15</v>
      </c>
      <c r="G4" s="6">
        <v>20</v>
      </c>
      <c r="H4" s="10">
        <v>25</v>
      </c>
      <c r="I4" s="11"/>
    </row>
    <row r="5" spans="1:9">
      <c r="A5" s="85" t="s">
        <v>16</v>
      </c>
      <c r="B5" s="85">
        <v>450</v>
      </c>
      <c r="C5" s="9">
        <f>B5*6500</f>
        <v>2925000</v>
      </c>
      <c r="D5" s="9"/>
      <c r="E5" s="7"/>
      <c r="F5" s="5" t="s">
        <v>17</v>
      </c>
      <c r="G5" s="6">
        <v>15</v>
      </c>
      <c r="H5" s="10">
        <v>40</v>
      </c>
      <c r="I5" s="11"/>
    </row>
    <row r="6" spans="1:9">
      <c r="A6" s="85" t="s">
        <v>18</v>
      </c>
      <c r="B6" s="85">
        <v>900</v>
      </c>
      <c r="C6" s="9">
        <f>B6*340</f>
        <v>306000</v>
      </c>
      <c r="D6" s="9"/>
      <c r="E6" s="7"/>
      <c r="F6" s="5" t="s">
        <v>19</v>
      </c>
      <c r="G6" s="6">
        <v>7</v>
      </c>
      <c r="H6" s="10">
        <v>47</v>
      </c>
      <c r="I6" s="11"/>
    </row>
    <row r="7" spans="1:9">
      <c r="A7" s="85" t="s">
        <v>20</v>
      </c>
      <c r="B7" s="85">
        <v>789</v>
      </c>
      <c r="C7" s="9">
        <f>B7*220</f>
        <v>173580</v>
      </c>
      <c r="D7" s="9"/>
      <c r="E7" s="7"/>
      <c r="F7" s="5" t="s">
        <v>21</v>
      </c>
      <c r="G7" s="6">
        <v>3</v>
      </c>
      <c r="H7" s="10">
        <v>50</v>
      </c>
      <c r="I7" s="11"/>
    </row>
    <row r="8" spans="1:9">
      <c r="A8" s="85" t="s">
        <v>22</v>
      </c>
      <c r="B8" s="85">
        <v>670</v>
      </c>
      <c r="C8" s="9">
        <f>B8*550</f>
        <v>368500</v>
      </c>
      <c r="D8" s="9"/>
      <c r="E8" s="7"/>
      <c r="F8" s="5" t="s">
        <v>23</v>
      </c>
      <c r="G8" s="12">
        <f>SUM(G3:G7)</f>
        <v>50</v>
      </c>
      <c r="H8" s="13"/>
      <c r="I8" s="13"/>
    </row>
    <row r="9" spans="1:9">
      <c r="A9" s="14"/>
      <c r="B9" s="85" t="s">
        <v>24</v>
      </c>
      <c r="C9" s="15">
        <v>0.25</v>
      </c>
      <c r="D9" s="16"/>
      <c r="E9" s="7"/>
      <c r="F9" s="7"/>
      <c r="G9" s="7"/>
      <c r="H9" s="7"/>
      <c r="I9" s="7"/>
    </row>
    <row r="10" spans="1:9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>
      <c r="A11" s="17" t="s">
        <v>27</v>
      </c>
      <c r="B11" s="17" t="s">
        <v>28</v>
      </c>
      <c r="C11" s="7"/>
      <c r="D11" s="7"/>
      <c r="E11" s="7"/>
      <c r="F11" s="7"/>
      <c r="G11" s="85" t="s">
        <v>29</v>
      </c>
      <c r="H11" s="85" t="s">
        <v>30</v>
      </c>
      <c r="I11" s="90" t="s">
        <v>31</v>
      </c>
    </row>
    <row r="12" spans="1:9">
      <c r="A12" s="85" t="s">
        <v>32</v>
      </c>
      <c r="B12" s="85" t="s">
        <v>33</v>
      </c>
      <c r="C12" s="85" t="s">
        <v>34</v>
      </c>
      <c r="D12" s="85" t="s">
        <v>35</v>
      </c>
      <c r="E12" s="90" t="s">
        <v>36</v>
      </c>
      <c r="F12" s="7"/>
      <c r="G12" s="85" t="s">
        <v>37</v>
      </c>
      <c r="H12" s="10">
        <v>75</v>
      </c>
      <c r="I12" s="18"/>
    </row>
    <row r="13" spans="1:9">
      <c r="A13" s="85" t="s">
        <v>38</v>
      </c>
      <c r="B13" s="19">
        <v>15</v>
      </c>
      <c r="C13" s="10">
        <v>2550000</v>
      </c>
      <c r="D13" s="20">
        <v>0.15</v>
      </c>
      <c r="E13" s="10"/>
      <c r="F13" s="7"/>
      <c r="G13" s="85" t="s">
        <v>39</v>
      </c>
      <c r="H13" s="10">
        <v>65</v>
      </c>
      <c r="I13" s="18"/>
    </row>
    <row r="14" spans="1:9">
      <c r="A14" s="85" t="s">
        <v>40</v>
      </c>
      <c r="B14" s="19">
        <v>9</v>
      </c>
      <c r="C14" s="10">
        <v>1500000</v>
      </c>
      <c r="D14" s="20">
        <v>0.1</v>
      </c>
      <c r="E14" s="10"/>
      <c r="F14" s="7"/>
      <c r="G14" s="85" t="s">
        <v>41</v>
      </c>
      <c r="H14" s="10">
        <v>56</v>
      </c>
      <c r="I14" s="18"/>
    </row>
    <row r="15" spans="1:9">
      <c r="A15" s="85" t="s">
        <v>42</v>
      </c>
      <c r="B15" s="19">
        <v>10</v>
      </c>
      <c r="C15" s="10">
        <v>2000000</v>
      </c>
      <c r="D15" s="20">
        <v>0.12</v>
      </c>
      <c r="E15" s="10"/>
      <c r="F15" s="7"/>
      <c r="G15" s="85" t="s">
        <v>43</v>
      </c>
      <c r="H15" s="10">
        <v>76</v>
      </c>
      <c r="I15" s="18"/>
    </row>
    <row r="16" spans="1:9">
      <c r="A16" s="85" t="s">
        <v>44</v>
      </c>
      <c r="B16" s="19">
        <v>8</v>
      </c>
      <c r="C16" s="10">
        <v>2200000</v>
      </c>
      <c r="D16" s="20">
        <v>0.1</v>
      </c>
      <c r="E16" s="10"/>
      <c r="F16" s="7"/>
      <c r="G16" s="85" t="s">
        <v>45</v>
      </c>
      <c r="H16" s="10">
        <v>56</v>
      </c>
      <c r="I16" s="18"/>
    </row>
    <row r="17" spans="1:9">
      <c r="A17" s="85" t="s">
        <v>46</v>
      </c>
      <c r="B17" s="19">
        <v>4</v>
      </c>
      <c r="C17" s="10">
        <v>1300000</v>
      </c>
      <c r="D17" s="20">
        <v>7.0000000000000007E-2</v>
      </c>
      <c r="E17" s="10"/>
      <c r="F17" s="7"/>
      <c r="G17" s="85" t="s">
        <v>47</v>
      </c>
      <c r="H17" s="10">
        <v>85</v>
      </c>
      <c r="I17" s="18"/>
    </row>
    <row r="18" spans="1:9">
      <c r="A18" s="250" t="s">
        <v>48</v>
      </c>
      <c r="B18" s="250"/>
      <c r="C18" s="21">
        <v>0.06</v>
      </c>
      <c r="D18" s="7"/>
      <c r="E18" s="7"/>
      <c r="F18" s="7"/>
      <c r="G18" s="7"/>
      <c r="H18" s="7"/>
      <c r="I18" s="7"/>
    </row>
    <row r="19" spans="1:9">
      <c r="A19" s="7"/>
      <c r="B19" s="7"/>
      <c r="C19" s="7"/>
      <c r="D19" s="7"/>
      <c r="E19" s="7"/>
      <c r="F19" s="7"/>
      <c r="G19" s="85" t="s">
        <v>49</v>
      </c>
      <c r="H19" s="85" t="s">
        <v>50</v>
      </c>
      <c r="I19" s="7"/>
    </row>
    <row r="20" spans="1:9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>
      <c r="A21" s="85" t="s">
        <v>53</v>
      </c>
      <c r="B21" s="85" t="s">
        <v>54</v>
      </c>
      <c r="C21" s="85" t="s">
        <v>55</v>
      </c>
      <c r="D21" s="90" t="s">
        <v>56</v>
      </c>
      <c r="E21" s="7"/>
      <c r="F21" s="7"/>
      <c r="G21" s="7"/>
      <c r="H21" s="7"/>
      <c r="I21" s="7"/>
    </row>
    <row r="22" spans="1:9">
      <c r="A22" s="85" t="s">
        <v>57</v>
      </c>
      <c r="B22" s="23">
        <v>50</v>
      </c>
      <c r="C22" s="23">
        <v>23</v>
      </c>
      <c r="D22" s="23"/>
      <c r="E22" s="7"/>
      <c r="F22" s="7"/>
      <c r="G22" s="7"/>
      <c r="H22" s="7"/>
      <c r="I22" s="7"/>
    </row>
    <row r="23" spans="1:9">
      <c r="A23" s="85" t="s">
        <v>58</v>
      </c>
      <c r="B23" s="23">
        <v>72</v>
      </c>
      <c r="C23" s="23">
        <v>14</v>
      </c>
      <c r="D23" s="23"/>
      <c r="E23" s="7"/>
      <c r="F23" s="7"/>
      <c r="G23" s="7"/>
      <c r="H23" s="7"/>
      <c r="I23" s="7"/>
    </row>
    <row r="24" spans="1:9">
      <c r="A24" s="85" t="s">
        <v>59</v>
      </c>
      <c r="B24" s="23">
        <v>85</v>
      </c>
      <c r="C24" s="23">
        <v>29</v>
      </c>
      <c r="D24" s="23"/>
      <c r="E24" s="7"/>
      <c r="F24" s="7"/>
      <c r="G24" s="7"/>
      <c r="H24" s="7"/>
      <c r="I24" s="7"/>
    </row>
    <row r="25" spans="1:9">
      <c r="A25" s="85" t="s">
        <v>60</v>
      </c>
      <c r="B25" s="23">
        <v>15</v>
      </c>
      <c r="C25" s="23">
        <v>2</v>
      </c>
      <c r="D25" s="23"/>
      <c r="E25" s="7"/>
      <c r="F25" s="7"/>
      <c r="G25" s="7"/>
      <c r="H25" s="7"/>
      <c r="I25" s="7"/>
    </row>
    <row r="26" spans="1:9">
      <c r="A26" s="85" t="s">
        <v>61</v>
      </c>
      <c r="B26" s="23">
        <v>78</v>
      </c>
      <c r="C26" s="23">
        <v>7</v>
      </c>
      <c r="D26" s="23"/>
      <c r="E26" s="7"/>
      <c r="F26" s="7"/>
      <c r="G26" s="7"/>
      <c r="H26" s="7"/>
      <c r="I26" s="7"/>
    </row>
    <row r="27" spans="1:9">
      <c r="A27" s="85" t="s">
        <v>62</v>
      </c>
      <c r="B27" s="23">
        <v>56</v>
      </c>
      <c r="C27" s="23">
        <v>5</v>
      </c>
      <c r="D27" s="23"/>
      <c r="E27" s="7"/>
      <c r="F27" s="7"/>
      <c r="G27" s="7"/>
      <c r="H27" s="7"/>
      <c r="I27" s="7"/>
    </row>
    <row r="28" spans="1:9">
      <c r="A28" s="251" t="s">
        <v>63</v>
      </c>
      <c r="B28" s="252"/>
      <c r="C28" s="24">
        <v>0.11</v>
      </c>
      <c r="D28" s="25"/>
      <c r="E28" s="7"/>
      <c r="F28" s="7"/>
      <c r="G28" s="7"/>
      <c r="H28" s="7"/>
      <c r="I28" s="7"/>
    </row>
    <row r="29" spans="1:9">
      <c r="A29" s="251" t="s">
        <v>64</v>
      </c>
      <c r="B29" s="25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9"/>
  <sheetViews>
    <sheetView workbookViewId="0"/>
  </sheetViews>
  <sheetFormatPr defaultColWidth="9" defaultRowHeight="17"/>
  <cols>
    <col min="1" max="2" width="9" style="8"/>
    <col min="3" max="3" width="10.83203125" style="8" bestFit="1" customWidth="1"/>
    <col min="4" max="4" width="11.58203125" style="8" bestFit="1" customWidth="1"/>
    <col min="5" max="5" width="10.58203125" style="8" bestFit="1" customWidth="1"/>
    <col min="6" max="7" width="9" style="8"/>
    <col min="8" max="8" width="11.08203125" style="8" customWidth="1"/>
    <col min="9" max="9" width="11.6640625" style="8" bestFit="1" customWidth="1"/>
    <col min="10" max="16384" width="9" style="8"/>
  </cols>
  <sheetData>
    <row r="1" spans="1:9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>
      <c r="A2" s="2" t="s">
        <v>4</v>
      </c>
      <c r="B2" s="2" t="s">
        <v>5</v>
      </c>
      <c r="C2" s="2" t="s">
        <v>6</v>
      </c>
      <c r="D2" s="89" t="s">
        <v>7</v>
      </c>
      <c r="E2" s="7"/>
      <c r="F2" s="5" t="s">
        <v>8</v>
      </c>
      <c r="G2" s="5" t="s">
        <v>9</v>
      </c>
      <c r="H2" s="2" t="s">
        <v>10</v>
      </c>
      <c r="I2" s="89" t="s">
        <v>11</v>
      </c>
    </row>
    <row r="3" spans="1:9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9" t="s">
        <v>31</v>
      </c>
    </row>
    <row r="12" spans="1:9">
      <c r="A12" s="2" t="s">
        <v>32</v>
      </c>
      <c r="B12" s="2" t="s">
        <v>33</v>
      </c>
      <c r="C12" s="2" t="s">
        <v>34</v>
      </c>
      <c r="D12" s="2" t="s">
        <v>35</v>
      </c>
      <c r="E12" s="89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>
      <c r="A18" s="250" t="s">
        <v>48</v>
      </c>
      <c r="B18" s="250"/>
      <c r="C18" s="21">
        <v>0.06</v>
      </c>
      <c r="D18" s="7"/>
      <c r="E18" s="7"/>
      <c r="F18" s="7"/>
      <c r="G18" s="7"/>
      <c r="H18" s="7"/>
      <c r="I18" s="7"/>
    </row>
    <row r="19" spans="1:9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>
      <c r="A21" s="2" t="s">
        <v>53</v>
      </c>
      <c r="B21" s="2" t="s">
        <v>54</v>
      </c>
      <c r="C21" s="2" t="s">
        <v>55</v>
      </c>
      <c r="D21" s="89" t="s">
        <v>56</v>
      </c>
      <c r="E21" s="7"/>
      <c r="F21" s="7"/>
      <c r="G21" s="7"/>
      <c r="H21" s="7"/>
      <c r="I21" s="7"/>
    </row>
    <row r="22" spans="1:9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>
      <c r="A28" s="251" t="s">
        <v>63</v>
      </c>
      <c r="B28" s="252"/>
      <c r="C28" s="24">
        <v>0.11</v>
      </c>
      <c r="D28" s="25"/>
      <c r="E28" s="7"/>
      <c r="F28" s="7"/>
      <c r="G28" s="7"/>
      <c r="H28" s="7"/>
      <c r="I28" s="7"/>
    </row>
    <row r="29" spans="1:9">
      <c r="A29" s="251" t="s">
        <v>64</v>
      </c>
      <c r="B29" s="25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40"/>
  <sheetViews>
    <sheetView workbookViewId="0"/>
  </sheetViews>
  <sheetFormatPr defaultRowHeight="17"/>
  <cols>
    <col min="6" max="6" width="1.58203125" customWidth="1"/>
    <col min="8" max="8" width="1.58203125" customWidth="1"/>
    <col min="12" max="12" width="11.83203125" bestFit="1" customWidth="1"/>
    <col min="13" max="14" width="11.83203125" customWidth="1"/>
  </cols>
  <sheetData>
    <row r="1" spans="1:14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>
      <c r="A2" s="85" t="s">
        <v>69</v>
      </c>
      <c r="B2" s="85" t="s">
        <v>70</v>
      </c>
      <c r="C2" s="85" t="s">
        <v>71</v>
      </c>
      <c r="D2" s="85" t="s">
        <v>72</v>
      </c>
      <c r="E2" s="85" t="s">
        <v>73</v>
      </c>
      <c r="F2" s="26"/>
      <c r="G2" s="26"/>
      <c r="H2" s="26"/>
      <c r="I2" s="85" t="s">
        <v>74</v>
      </c>
      <c r="J2" s="85" t="s">
        <v>75</v>
      </c>
      <c r="K2" s="85" t="s">
        <v>76</v>
      </c>
      <c r="L2" s="85" t="s">
        <v>77</v>
      </c>
      <c r="M2" s="26"/>
      <c r="N2" s="26"/>
    </row>
    <row r="3" spans="1:14">
      <c r="A3" s="85" t="s">
        <v>78</v>
      </c>
      <c r="B3" s="85" t="s">
        <v>79</v>
      </c>
      <c r="C3" s="85" t="s">
        <v>80</v>
      </c>
      <c r="D3" s="28">
        <v>28500</v>
      </c>
      <c r="E3" s="28">
        <v>1124</v>
      </c>
      <c r="F3" s="26"/>
      <c r="G3" s="26"/>
      <c r="H3" s="26"/>
      <c r="I3" s="85" t="s">
        <v>81</v>
      </c>
      <c r="J3" s="85" t="s">
        <v>82</v>
      </c>
      <c r="K3" s="28">
        <v>585</v>
      </c>
      <c r="L3" s="87">
        <f t="shared" ref="L3:L10" si="0">K3*12000</f>
        <v>7020000</v>
      </c>
      <c r="M3" s="26"/>
      <c r="N3" s="26"/>
    </row>
    <row r="4" spans="1:14">
      <c r="A4" s="85" t="s">
        <v>83</v>
      </c>
      <c r="B4" s="85" t="s">
        <v>84</v>
      </c>
      <c r="C4" s="85" t="s">
        <v>85</v>
      </c>
      <c r="D4" s="28">
        <v>39000</v>
      </c>
      <c r="E4" s="28">
        <v>1351</v>
      </c>
      <c r="F4" s="26"/>
      <c r="G4" s="26"/>
      <c r="H4" s="26"/>
      <c r="I4" s="85" t="s">
        <v>81</v>
      </c>
      <c r="J4" s="85" t="s">
        <v>87</v>
      </c>
      <c r="K4" s="28">
        <v>594</v>
      </c>
      <c r="L4" s="87">
        <f t="shared" si="0"/>
        <v>7128000</v>
      </c>
      <c r="M4" s="26"/>
      <c r="N4" s="26"/>
    </row>
    <row r="5" spans="1:14">
      <c r="A5" s="85" t="s">
        <v>78</v>
      </c>
      <c r="B5" s="85" t="s">
        <v>88</v>
      </c>
      <c r="C5" s="85" t="s">
        <v>89</v>
      </c>
      <c r="D5" s="28">
        <v>30000</v>
      </c>
      <c r="E5" s="28">
        <v>1122</v>
      </c>
      <c r="F5" s="26"/>
      <c r="G5" s="26"/>
      <c r="H5" s="26"/>
      <c r="I5" s="85" t="s">
        <v>81</v>
      </c>
      <c r="J5" s="85" t="s">
        <v>90</v>
      </c>
      <c r="K5" s="28">
        <v>696</v>
      </c>
      <c r="L5" s="87">
        <f t="shared" si="0"/>
        <v>8352000</v>
      </c>
      <c r="M5" s="26"/>
      <c r="N5" s="26"/>
    </row>
    <row r="6" spans="1:14">
      <c r="A6" s="85" t="s">
        <v>91</v>
      </c>
      <c r="B6" s="85" t="s">
        <v>92</v>
      </c>
      <c r="C6" s="85" t="s">
        <v>93</v>
      </c>
      <c r="D6" s="28">
        <v>40000</v>
      </c>
      <c r="E6" s="28">
        <v>1452</v>
      </c>
      <c r="F6" s="26"/>
      <c r="G6" s="26"/>
      <c r="H6" s="26"/>
      <c r="I6" s="85" t="s">
        <v>81</v>
      </c>
      <c r="J6" s="85" t="s">
        <v>94</v>
      </c>
      <c r="K6" s="28">
        <v>857</v>
      </c>
      <c r="L6" s="87">
        <f t="shared" si="0"/>
        <v>10284000</v>
      </c>
      <c r="M6" s="26"/>
      <c r="N6" s="26"/>
    </row>
    <row r="7" spans="1:14">
      <c r="A7" s="85" t="s">
        <v>83</v>
      </c>
      <c r="B7" s="85" t="s">
        <v>95</v>
      </c>
      <c r="C7" s="85" t="s">
        <v>96</v>
      </c>
      <c r="D7" s="28">
        <v>45500</v>
      </c>
      <c r="E7" s="28">
        <v>1753</v>
      </c>
      <c r="F7" s="26"/>
      <c r="G7" s="26"/>
      <c r="H7" s="26"/>
      <c r="I7" s="85" t="s">
        <v>97</v>
      </c>
      <c r="J7" s="85" t="s">
        <v>98</v>
      </c>
      <c r="K7" s="28">
        <v>584</v>
      </c>
      <c r="L7" s="87">
        <f t="shared" si="0"/>
        <v>7008000</v>
      </c>
      <c r="M7" s="26"/>
      <c r="N7" s="26"/>
    </row>
    <row r="8" spans="1:14">
      <c r="A8" s="85" t="s">
        <v>78</v>
      </c>
      <c r="B8" s="85" t="s">
        <v>99</v>
      </c>
      <c r="C8" s="85" t="s">
        <v>100</v>
      </c>
      <c r="D8" s="28">
        <v>24500</v>
      </c>
      <c r="E8" s="28">
        <v>1654</v>
      </c>
      <c r="F8" s="26"/>
      <c r="G8" s="85" t="s">
        <v>101</v>
      </c>
      <c r="H8" s="26"/>
      <c r="I8" s="85" t="s">
        <v>97</v>
      </c>
      <c r="J8" s="85" t="s">
        <v>102</v>
      </c>
      <c r="K8" s="28">
        <v>429</v>
      </c>
      <c r="L8" s="87">
        <f t="shared" si="0"/>
        <v>5148000</v>
      </c>
      <c r="M8" s="26"/>
      <c r="N8" s="26"/>
    </row>
    <row r="9" spans="1:14">
      <c r="A9" s="85" t="s">
        <v>91</v>
      </c>
      <c r="B9" s="85" t="s">
        <v>103</v>
      </c>
      <c r="C9" s="85" t="s">
        <v>104</v>
      </c>
      <c r="D9" s="28">
        <v>35800</v>
      </c>
      <c r="E9" s="28">
        <v>1324</v>
      </c>
      <c r="F9" s="26"/>
      <c r="G9" s="85"/>
      <c r="H9" s="26"/>
      <c r="I9" s="85" t="s">
        <v>97</v>
      </c>
      <c r="J9" s="85" t="s">
        <v>105</v>
      </c>
      <c r="K9" s="28">
        <v>826</v>
      </c>
      <c r="L9" s="87">
        <f t="shared" si="0"/>
        <v>9912000</v>
      </c>
      <c r="M9" s="85"/>
      <c r="N9" s="85"/>
    </row>
    <row r="10" spans="1:14">
      <c r="A10" s="85" t="s">
        <v>83</v>
      </c>
      <c r="B10" s="85" t="s">
        <v>107</v>
      </c>
      <c r="C10" s="85" t="s">
        <v>108</v>
      </c>
      <c r="D10" s="28">
        <v>50000</v>
      </c>
      <c r="E10" s="28">
        <v>1647</v>
      </c>
      <c r="F10" s="26"/>
      <c r="G10" s="85"/>
      <c r="H10" s="26"/>
      <c r="I10" s="85" t="s">
        <v>97</v>
      </c>
      <c r="J10" s="85" t="s">
        <v>109</v>
      </c>
      <c r="K10" s="28">
        <v>701</v>
      </c>
      <c r="L10" s="87">
        <f t="shared" si="0"/>
        <v>8412000</v>
      </c>
      <c r="M10" s="85"/>
      <c r="N10" s="85"/>
    </row>
    <row r="11" spans="1:14">
      <c r="A11" s="256" t="s">
        <v>110</v>
      </c>
      <c r="B11" s="257"/>
      <c r="C11" s="257"/>
      <c r="D11" s="258"/>
      <c r="E11" s="30"/>
      <c r="F11" s="26"/>
      <c r="G11" s="26"/>
      <c r="H11" s="26"/>
      <c r="I11" s="259" t="s">
        <v>111</v>
      </c>
      <c r="J11" s="259"/>
      <c r="K11" s="259"/>
      <c r="L11" s="28"/>
      <c r="M11" s="26"/>
      <c r="N11" s="26"/>
    </row>
    <row r="12" spans="1:14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>
      <c r="A14" s="85" t="s">
        <v>75</v>
      </c>
      <c r="B14" s="85" t="s">
        <v>116</v>
      </c>
      <c r="C14" s="85" t="s">
        <v>117</v>
      </c>
      <c r="D14" s="85" t="s">
        <v>118</v>
      </c>
      <c r="E14" s="85" t="s">
        <v>119</v>
      </c>
      <c r="F14" s="26"/>
      <c r="G14" s="26"/>
      <c r="H14" s="26"/>
      <c r="I14" s="85" t="s">
        <v>120</v>
      </c>
      <c r="J14" s="85" t="s">
        <v>121</v>
      </c>
      <c r="K14" s="85" t="s">
        <v>122</v>
      </c>
      <c r="L14" s="85" t="s">
        <v>123</v>
      </c>
      <c r="M14" s="26"/>
      <c r="N14" s="26"/>
    </row>
    <row r="15" spans="1:14">
      <c r="A15" s="85" t="s">
        <v>124</v>
      </c>
      <c r="B15" s="85" t="s">
        <v>125</v>
      </c>
      <c r="C15" s="85" t="s">
        <v>126</v>
      </c>
      <c r="D15" s="85"/>
      <c r="E15" s="85" t="s">
        <v>126</v>
      </c>
      <c r="F15" s="26"/>
      <c r="G15" s="26"/>
      <c r="H15" s="26"/>
      <c r="I15" s="85" t="s">
        <v>128</v>
      </c>
      <c r="J15" s="85" t="s">
        <v>129</v>
      </c>
      <c r="K15" s="85" t="s">
        <v>130</v>
      </c>
      <c r="L15" s="87">
        <v>945000</v>
      </c>
      <c r="M15" s="26"/>
      <c r="N15" s="26"/>
    </row>
    <row r="16" spans="1:14">
      <c r="A16" s="85" t="s">
        <v>131</v>
      </c>
      <c r="B16" s="85" t="s">
        <v>132</v>
      </c>
      <c r="C16" s="85" t="s">
        <v>126</v>
      </c>
      <c r="D16" s="85" t="s">
        <v>126</v>
      </c>
      <c r="E16" s="85"/>
      <c r="F16" s="26"/>
      <c r="G16" s="26"/>
      <c r="H16" s="26"/>
      <c r="I16" s="85" t="s">
        <v>133</v>
      </c>
      <c r="J16" s="85" t="s">
        <v>134</v>
      </c>
      <c r="K16" s="85" t="s">
        <v>135</v>
      </c>
      <c r="L16" s="87">
        <v>895000</v>
      </c>
      <c r="M16" s="26"/>
      <c r="N16" s="26"/>
    </row>
    <row r="17" spans="1:14">
      <c r="A17" s="85" t="s">
        <v>136</v>
      </c>
      <c r="B17" s="85" t="s">
        <v>137</v>
      </c>
      <c r="C17" s="85"/>
      <c r="D17" s="85" t="s">
        <v>126</v>
      </c>
      <c r="E17" s="85" t="s">
        <v>126</v>
      </c>
      <c r="F17" s="26"/>
      <c r="G17" s="26"/>
      <c r="H17" s="26"/>
      <c r="I17" s="85" t="s">
        <v>139</v>
      </c>
      <c r="J17" s="85" t="s">
        <v>140</v>
      </c>
      <c r="K17" s="85" t="s">
        <v>130</v>
      </c>
      <c r="L17" s="87">
        <v>920000</v>
      </c>
      <c r="M17" s="26"/>
      <c r="N17" s="26"/>
    </row>
    <row r="18" spans="1:14">
      <c r="A18" s="85" t="s">
        <v>141</v>
      </c>
      <c r="B18" s="85" t="s">
        <v>137</v>
      </c>
      <c r="C18" s="85" t="s">
        <v>126</v>
      </c>
      <c r="D18" s="85"/>
      <c r="E18" s="85"/>
      <c r="F18" s="26"/>
      <c r="G18" s="26"/>
      <c r="H18" s="26"/>
      <c r="I18" s="85" t="s">
        <v>142</v>
      </c>
      <c r="J18" s="85" t="s">
        <v>134</v>
      </c>
      <c r="K18" s="85" t="s">
        <v>144</v>
      </c>
      <c r="L18" s="87">
        <v>1150000</v>
      </c>
      <c r="M18" s="26"/>
      <c r="N18" s="26"/>
    </row>
    <row r="19" spans="1:14">
      <c r="A19" s="85" t="s">
        <v>145</v>
      </c>
      <c r="B19" s="85" t="s">
        <v>125</v>
      </c>
      <c r="C19" s="85" t="s">
        <v>126</v>
      </c>
      <c r="D19" s="85" t="s">
        <v>126</v>
      </c>
      <c r="E19" s="85" t="s">
        <v>126</v>
      </c>
      <c r="F19" s="26"/>
      <c r="G19" s="26"/>
      <c r="H19" s="26"/>
      <c r="I19" s="85" t="s">
        <v>147</v>
      </c>
      <c r="J19" s="85" t="s">
        <v>129</v>
      </c>
      <c r="K19" s="85" t="s">
        <v>130</v>
      </c>
      <c r="L19" s="87">
        <v>980000</v>
      </c>
      <c r="M19" s="26"/>
      <c r="N19" s="26"/>
    </row>
    <row r="20" spans="1:14">
      <c r="A20" s="85" t="s">
        <v>149</v>
      </c>
      <c r="B20" s="85" t="s">
        <v>132</v>
      </c>
      <c r="C20" s="85"/>
      <c r="D20" s="85" t="s">
        <v>126</v>
      </c>
      <c r="E20" s="85"/>
      <c r="F20" s="26"/>
      <c r="G20" s="26"/>
      <c r="H20" s="26"/>
      <c r="I20" s="85" t="s">
        <v>151</v>
      </c>
      <c r="J20" s="85" t="s">
        <v>134</v>
      </c>
      <c r="K20" s="85" t="s">
        <v>130</v>
      </c>
      <c r="L20" s="87">
        <v>900000</v>
      </c>
      <c r="M20" s="26"/>
      <c r="N20" s="26"/>
    </row>
    <row r="21" spans="1:14">
      <c r="A21" s="85" t="s">
        <v>153</v>
      </c>
      <c r="B21" s="85" t="s">
        <v>132</v>
      </c>
      <c r="C21" s="85" t="s">
        <v>126</v>
      </c>
      <c r="D21" s="85"/>
      <c r="E21" s="85" t="s">
        <v>126</v>
      </c>
      <c r="F21" s="26"/>
      <c r="G21" s="26"/>
      <c r="H21" s="26"/>
      <c r="I21" s="85" t="s">
        <v>155</v>
      </c>
      <c r="J21" s="85" t="s">
        <v>140</v>
      </c>
      <c r="K21" s="85" t="s">
        <v>135</v>
      </c>
      <c r="L21" s="87">
        <v>885000</v>
      </c>
      <c r="M21" s="26"/>
      <c r="N21" s="26"/>
    </row>
    <row r="22" spans="1:14">
      <c r="A22" s="85" t="s">
        <v>158</v>
      </c>
      <c r="B22" s="85" t="s">
        <v>137</v>
      </c>
      <c r="C22" s="85" t="s">
        <v>126</v>
      </c>
      <c r="D22" s="85"/>
      <c r="E22" s="85"/>
      <c r="F22" s="26"/>
      <c r="G22" s="26"/>
      <c r="H22" s="26"/>
      <c r="I22" s="85" t="s">
        <v>159</v>
      </c>
      <c r="J22" s="85" t="s">
        <v>134</v>
      </c>
      <c r="K22" s="85" t="s">
        <v>130</v>
      </c>
      <c r="L22" s="87">
        <v>985000</v>
      </c>
      <c r="M22" s="26"/>
      <c r="N22" s="26"/>
    </row>
    <row r="23" spans="1:14">
      <c r="A23" s="85" t="s">
        <v>161</v>
      </c>
      <c r="B23" s="85" t="s">
        <v>132</v>
      </c>
      <c r="C23" s="85"/>
      <c r="D23" s="85" t="s">
        <v>126</v>
      </c>
      <c r="E23" s="85" t="s">
        <v>126</v>
      </c>
      <c r="F23" s="26"/>
      <c r="G23" s="26"/>
      <c r="H23" s="26"/>
      <c r="I23" s="85" t="s">
        <v>162</v>
      </c>
      <c r="J23" s="85" t="s">
        <v>129</v>
      </c>
      <c r="K23" s="85" t="s">
        <v>144</v>
      </c>
      <c r="L23" s="87">
        <v>1200000</v>
      </c>
      <c r="M23" s="26"/>
      <c r="N23" s="26"/>
    </row>
    <row r="24" spans="1:14">
      <c r="A24" s="85" t="s">
        <v>164</v>
      </c>
      <c r="B24" s="85" t="s">
        <v>125</v>
      </c>
      <c r="C24" s="85" t="s">
        <v>126</v>
      </c>
      <c r="D24" s="85"/>
      <c r="E24" s="85" t="s">
        <v>126</v>
      </c>
      <c r="F24" s="26"/>
      <c r="G24" s="85"/>
      <c r="H24" s="26"/>
      <c r="I24" s="85" t="s">
        <v>165</v>
      </c>
      <c r="J24" s="85" t="s">
        <v>140</v>
      </c>
      <c r="K24" s="85" t="s">
        <v>144</v>
      </c>
      <c r="L24" s="87">
        <v>1100000</v>
      </c>
      <c r="M24" s="259" t="s">
        <v>166</v>
      </c>
      <c r="N24" s="259"/>
    </row>
    <row r="25" spans="1:14">
      <c r="A25" s="259" t="s">
        <v>167</v>
      </c>
      <c r="B25" s="259"/>
      <c r="C25" s="259"/>
      <c r="D25" s="259"/>
      <c r="E25" s="85"/>
      <c r="F25" s="26"/>
      <c r="G25" s="85"/>
      <c r="H25" s="26"/>
      <c r="I25" s="85" t="s">
        <v>168</v>
      </c>
      <c r="J25" s="85" t="s">
        <v>129</v>
      </c>
      <c r="K25" s="85" t="s">
        <v>135</v>
      </c>
      <c r="L25" s="87">
        <v>900000</v>
      </c>
      <c r="M25" s="260"/>
      <c r="N25" s="260"/>
    </row>
    <row r="26" spans="1:14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>
      <c r="A28" s="85" t="s">
        <v>173</v>
      </c>
      <c r="B28" s="85" t="s">
        <v>174</v>
      </c>
      <c r="C28" s="85" t="s">
        <v>175</v>
      </c>
      <c r="D28" s="85" t="s">
        <v>176</v>
      </c>
      <c r="E28" s="26"/>
      <c r="F28" s="26"/>
      <c r="G28" s="26"/>
      <c r="H28" s="26"/>
      <c r="I28" s="85" t="s">
        <v>177</v>
      </c>
      <c r="J28" s="85" t="s">
        <v>174</v>
      </c>
      <c r="K28" s="85" t="s">
        <v>178</v>
      </c>
      <c r="L28" s="85" t="s">
        <v>179</v>
      </c>
      <c r="M28" s="85" t="s">
        <v>180</v>
      </c>
      <c r="N28" s="85" t="s">
        <v>181</v>
      </c>
    </row>
    <row r="29" spans="1:14">
      <c r="A29" s="5" t="s">
        <v>182</v>
      </c>
      <c r="B29" s="5" t="s">
        <v>183</v>
      </c>
      <c r="C29" s="5" t="s">
        <v>184</v>
      </c>
      <c r="D29" s="85">
        <v>2018</v>
      </c>
      <c r="E29" s="26"/>
      <c r="F29" s="26"/>
      <c r="G29" s="26"/>
      <c r="H29" s="26"/>
      <c r="I29" s="85" t="s">
        <v>185</v>
      </c>
      <c r="J29" s="85" t="s">
        <v>183</v>
      </c>
      <c r="K29" s="85">
        <v>88</v>
      </c>
      <c r="L29" s="85">
        <v>89</v>
      </c>
      <c r="M29" s="85">
        <v>90</v>
      </c>
      <c r="N29" s="85">
        <f t="shared" ref="N29:N37" si="1">SUM(K29:M29)</f>
        <v>267</v>
      </c>
    </row>
    <row r="30" spans="1:14">
      <c r="A30" s="5" t="s">
        <v>187</v>
      </c>
      <c r="B30" s="5" t="s">
        <v>188</v>
      </c>
      <c r="C30" s="5" t="s">
        <v>189</v>
      </c>
      <c r="D30" s="85">
        <v>2015</v>
      </c>
      <c r="E30" s="26"/>
      <c r="F30" s="26"/>
      <c r="G30" s="26"/>
      <c r="H30" s="26"/>
      <c r="I30" s="85" t="s">
        <v>190</v>
      </c>
      <c r="J30" s="85" t="s">
        <v>188</v>
      </c>
      <c r="K30" s="85">
        <v>79</v>
      </c>
      <c r="L30" s="85">
        <v>85</v>
      </c>
      <c r="M30" s="85">
        <v>69</v>
      </c>
      <c r="N30" s="85">
        <f t="shared" si="1"/>
        <v>233</v>
      </c>
    </row>
    <row r="31" spans="1:14">
      <c r="A31" s="5" t="s">
        <v>191</v>
      </c>
      <c r="B31" s="5" t="s">
        <v>183</v>
      </c>
      <c r="C31" s="5" t="s">
        <v>189</v>
      </c>
      <c r="D31" s="85">
        <v>2015</v>
      </c>
      <c r="E31" s="26"/>
      <c r="F31" s="26"/>
      <c r="G31" s="26"/>
      <c r="H31" s="26"/>
      <c r="I31" s="85" t="s">
        <v>192</v>
      </c>
      <c r="J31" s="85" t="s">
        <v>183</v>
      </c>
      <c r="K31" s="85">
        <v>92</v>
      </c>
      <c r="L31" s="85">
        <v>90</v>
      </c>
      <c r="M31" s="85">
        <v>89</v>
      </c>
      <c r="N31" s="85">
        <f t="shared" si="1"/>
        <v>271</v>
      </c>
    </row>
    <row r="32" spans="1:14">
      <c r="A32" s="5" t="s">
        <v>193</v>
      </c>
      <c r="B32" s="5" t="s">
        <v>183</v>
      </c>
      <c r="C32" s="5" t="s">
        <v>194</v>
      </c>
      <c r="D32" s="85">
        <v>2016</v>
      </c>
      <c r="E32" s="26"/>
      <c r="F32" s="26"/>
      <c r="G32" s="26"/>
      <c r="H32" s="26"/>
      <c r="I32" s="85" t="s">
        <v>195</v>
      </c>
      <c r="J32" s="85" t="s">
        <v>188</v>
      </c>
      <c r="K32" s="85">
        <v>94</v>
      </c>
      <c r="L32" s="85">
        <v>95</v>
      </c>
      <c r="M32" s="85">
        <v>89</v>
      </c>
      <c r="N32" s="85">
        <f t="shared" si="1"/>
        <v>278</v>
      </c>
    </row>
    <row r="33" spans="1:14">
      <c r="A33" s="5" t="s">
        <v>197</v>
      </c>
      <c r="B33" s="5" t="s">
        <v>188</v>
      </c>
      <c r="C33" s="5" t="s">
        <v>184</v>
      </c>
      <c r="D33" s="85">
        <v>2015</v>
      </c>
      <c r="E33" s="26"/>
      <c r="F33" s="26"/>
      <c r="G33" s="26"/>
      <c r="H33" s="26"/>
      <c r="I33" s="85" t="s">
        <v>198</v>
      </c>
      <c r="J33" s="85" t="s">
        <v>188</v>
      </c>
      <c r="K33" s="85">
        <v>86</v>
      </c>
      <c r="L33" s="85">
        <v>92</v>
      </c>
      <c r="M33" s="85">
        <v>90</v>
      </c>
      <c r="N33" s="85">
        <f t="shared" si="1"/>
        <v>268</v>
      </c>
    </row>
    <row r="34" spans="1:14">
      <c r="A34" s="5" t="s">
        <v>199</v>
      </c>
      <c r="B34" s="5" t="s">
        <v>188</v>
      </c>
      <c r="C34" s="5" t="s">
        <v>201</v>
      </c>
      <c r="D34" s="85">
        <v>2018</v>
      </c>
      <c r="E34" s="26"/>
      <c r="F34" s="26"/>
      <c r="G34" s="26"/>
      <c r="H34" s="26"/>
      <c r="I34" s="85" t="s">
        <v>202</v>
      </c>
      <c r="J34" s="85" t="s">
        <v>183</v>
      </c>
      <c r="K34" s="85">
        <v>90</v>
      </c>
      <c r="L34" s="85">
        <v>95</v>
      </c>
      <c r="M34" s="85">
        <v>92</v>
      </c>
      <c r="N34" s="85">
        <f t="shared" si="1"/>
        <v>277</v>
      </c>
    </row>
    <row r="35" spans="1:14">
      <c r="A35" s="5" t="s">
        <v>203</v>
      </c>
      <c r="B35" s="5" t="s">
        <v>183</v>
      </c>
      <c r="C35" s="5" t="s">
        <v>204</v>
      </c>
      <c r="D35" s="85">
        <v>2015</v>
      </c>
      <c r="E35" s="26"/>
      <c r="F35" s="26"/>
      <c r="G35" s="26"/>
      <c r="H35" s="26"/>
      <c r="I35" s="85" t="s">
        <v>205</v>
      </c>
      <c r="J35" s="85" t="s">
        <v>183</v>
      </c>
      <c r="K35" s="85">
        <v>88</v>
      </c>
      <c r="L35" s="85">
        <v>84</v>
      </c>
      <c r="M35" s="85">
        <v>80</v>
      </c>
      <c r="N35" s="85">
        <f t="shared" si="1"/>
        <v>252</v>
      </c>
    </row>
    <row r="36" spans="1:14">
      <c r="A36" s="5" t="s">
        <v>206</v>
      </c>
      <c r="B36" s="5" t="s">
        <v>188</v>
      </c>
      <c r="C36" s="5" t="s">
        <v>184</v>
      </c>
      <c r="D36" s="85">
        <v>2018</v>
      </c>
      <c r="E36" s="26"/>
      <c r="F36" s="26"/>
      <c r="G36" s="26"/>
      <c r="H36" s="26"/>
      <c r="I36" s="85" t="s">
        <v>207</v>
      </c>
      <c r="J36" s="85" t="s">
        <v>188</v>
      </c>
      <c r="K36" s="85">
        <v>77</v>
      </c>
      <c r="L36" s="85">
        <v>80</v>
      </c>
      <c r="M36" s="85">
        <v>79</v>
      </c>
      <c r="N36" s="85">
        <f t="shared" si="1"/>
        <v>236</v>
      </c>
    </row>
    <row r="37" spans="1:14">
      <c r="A37" s="5" t="s">
        <v>208</v>
      </c>
      <c r="B37" s="5" t="s">
        <v>188</v>
      </c>
      <c r="C37" s="5" t="s">
        <v>201</v>
      </c>
      <c r="D37" s="85">
        <v>2017</v>
      </c>
      <c r="E37" s="26"/>
      <c r="F37" s="26"/>
      <c r="G37" s="26"/>
      <c r="H37" s="26"/>
      <c r="I37" s="85" t="s">
        <v>209</v>
      </c>
      <c r="J37" s="85" t="s">
        <v>188</v>
      </c>
      <c r="K37" s="85">
        <v>80</v>
      </c>
      <c r="L37" s="85">
        <v>85</v>
      </c>
      <c r="M37" s="85">
        <v>90</v>
      </c>
      <c r="N37" s="85">
        <f t="shared" si="1"/>
        <v>255</v>
      </c>
    </row>
    <row r="38" spans="1:14">
      <c r="A38" s="5" t="s">
        <v>210</v>
      </c>
      <c r="B38" s="5" t="s">
        <v>183</v>
      </c>
      <c r="C38" s="5" t="s">
        <v>189</v>
      </c>
      <c r="D38" s="85">
        <v>2018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>
      <c r="A39" s="256" t="s">
        <v>212</v>
      </c>
      <c r="B39" s="257"/>
      <c r="C39" s="258"/>
      <c r="D39" s="85"/>
      <c r="E39" s="26"/>
      <c r="F39" s="26"/>
      <c r="G39" s="26"/>
      <c r="H39" s="26"/>
      <c r="I39" s="26"/>
      <c r="J39" s="26"/>
      <c r="K39" s="26"/>
      <c r="L39" s="256" t="s">
        <v>213</v>
      </c>
      <c r="M39" s="257"/>
      <c r="N39" s="258"/>
    </row>
    <row r="40" spans="1:14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53"/>
      <c r="M40" s="254"/>
      <c r="N40" s="255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41"/>
  <sheetViews>
    <sheetView workbookViewId="0"/>
  </sheetViews>
  <sheetFormatPr defaultRowHeight="17"/>
  <cols>
    <col min="6" max="6" width="1.58203125" customWidth="1"/>
    <col min="8" max="8" width="1.58203125" customWidth="1"/>
    <col min="12" max="12" width="11.83203125" bestFit="1" customWidth="1"/>
    <col min="13" max="14" width="11.83203125" customWidth="1"/>
  </cols>
  <sheetData>
    <row r="1" spans="1:14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5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5" t="s">
        <v>74</v>
      </c>
      <c r="N9" s="85" t="s">
        <v>76</v>
      </c>
    </row>
    <row r="10" spans="1:14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5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5" t="s">
        <v>97</v>
      </c>
      <c r="N10" s="2" t="s">
        <v>1142</v>
      </c>
    </row>
    <row r="11" spans="1:14">
      <c r="A11" s="256" t="s">
        <v>110</v>
      </c>
      <c r="B11" s="257"/>
      <c r="C11" s="257"/>
      <c r="D11" s="258"/>
      <c r="E11" s="30" t="str">
        <f>DSUM(A2:E10,E2,G9:G10)&amp;"매"</f>
        <v>4751매</v>
      </c>
      <c r="F11" s="26"/>
      <c r="G11" s="26"/>
      <c r="H11" s="26"/>
      <c r="I11" s="259" t="s">
        <v>111</v>
      </c>
      <c r="J11" s="259"/>
      <c r="K11" s="259"/>
      <c r="L11" s="28">
        <f>DAVERAGE(I2:L10,L2,M9:N10)</f>
        <v>9162000</v>
      </c>
      <c r="M11" s="26"/>
    </row>
    <row r="12" spans="1:14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5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259" t="s">
        <v>166</v>
      </c>
      <c r="N24" s="259"/>
    </row>
    <row r="25" spans="1:14">
      <c r="A25" s="259" t="s">
        <v>167</v>
      </c>
      <c r="B25" s="259"/>
      <c r="C25" s="259"/>
      <c r="D25" s="259"/>
      <c r="E25" s="2" t="str">
        <f>DCOUNTA(A14:E24,3,G24:G25)&amp;"명"</f>
        <v>2명</v>
      </c>
      <c r="F25" s="26"/>
      <c r="G25" s="85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260">
        <f>DMAX(I14:L25,L14,J14:J15)-DMIN(I14:L25,L14,J14:J15)</f>
        <v>300000</v>
      </c>
      <c r="N25" s="260"/>
    </row>
    <row r="26" spans="1:14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>
      <c r="A29" s="5" t="s">
        <v>182</v>
      </c>
      <c r="B29" s="5" t="s">
        <v>183</v>
      </c>
      <c r="C29" s="5" t="s">
        <v>184</v>
      </c>
      <c r="D29" s="2">
        <v>2018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>
      <c r="A30" s="5" t="s">
        <v>187</v>
      </c>
      <c r="B30" s="5" t="s">
        <v>188</v>
      </c>
      <c r="C30" s="5" t="s">
        <v>189</v>
      </c>
      <c r="D30" s="2">
        <v>2015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>
      <c r="A31" s="5" t="s">
        <v>191</v>
      </c>
      <c r="B31" s="5" t="s">
        <v>186</v>
      </c>
      <c r="C31" s="5" t="s">
        <v>189</v>
      </c>
      <c r="D31" s="2">
        <v>2015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>
      <c r="A32" s="5" t="s">
        <v>193</v>
      </c>
      <c r="B32" s="5" t="s">
        <v>186</v>
      </c>
      <c r="C32" s="5" t="s">
        <v>194</v>
      </c>
      <c r="D32" s="2">
        <v>2016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>
      <c r="A33" s="5" t="s">
        <v>197</v>
      </c>
      <c r="B33" s="5" t="s">
        <v>188</v>
      </c>
      <c r="C33" s="5" t="s">
        <v>184</v>
      </c>
      <c r="D33" s="2">
        <v>2015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>
      <c r="A34" s="5" t="s">
        <v>199</v>
      </c>
      <c r="B34" s="5" t="s">
        <v>200</v>
      </c>
      <c r="C34" s="5" t="s">
        <v>201</v>
      </c>
      <c r="D34" s="2">
        <v>2018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>
      <c r="A35" s="5" t="s">
        <v>203</v>
      </c>
      <c r="B35" s="5" t="s">
        <v>186</v>
      </c>
      <c r="C35" s="5" t="s">
        <v>204</v>
      </c>
      <c r="D35" s="2">
        <v>2015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>
      <c r="A36" s="5" t="s">
        <v>206</v>
      </c>
      <c r="B36" s="5" t="s">
        <v>196</v>
      </c>
      <c r="C36" s="5" t="s">
        <v>184</v>
      </c>
      <c r="D36" s="2">
        <v>2018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>
      <c r="A37" s="5" t="s">
        <v>208</v>
      </c>
      <c r="B37" s="5" t="s">
        <v>196</v>
      </c>
      <c r="C37" s="5" t="s">
        <v>201</v>
      </c>
      <c r="D37" s="2">
        <v>2017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>
      <c r="A38" s="5" t="s">
        <v>210</v>
      </c>
      <c r="B38" s="5" t="s">
        <v>186</v>
      </c>
      <c r="C38" s="5" t="s">
        <v>211</v>
      </c>
      <c r="D38" s="2">
        <v>2018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>
      <c r="A39" s="256" t="s">
        <v>212</v>
      </c>
      <c r="B39" s="257"/>
      <c r="C39" s="258"/>
      <c r="D39" s="2" t="str">
        <f>DCOUNT(A28:D38,4,C28:C29)&amp;"명"</f>
        <v>3명</v>
      </c>
      <c r="E39" s="26"/>
      <c r="F39" s="26"/>
      <c r="G39" s="26"/>
      <c r="H39" s="26"/>
      <c r="I39" s="85" t="s">
        <v>174</v>
      </c>
      <c r="J39" s="85" t="s">
        <v>179</v>
      </c>
      <c r="K39" s="85" t="s">
        <v>180</v>
      </c>
      <c r="L39" s="256" t="s">
        <v>213</v>
      </c>
      <c r="M39" s="257"/>
      <c r="N39" s="258"/>
    </row>
    <row r="40" spans="1:14">
      <c r="A40" s="26"/>
      <c r="B40" s="26"/>
      <c r="C40" s="26"/>
      <c r="D40" s="26"/>
      <c r="E40" s="26"/>
      <c r="F40" s="26"/>
      <c r="G40" s="26"/>
      <c r="H40" s="26"/>
      <c r="I40" s="85" t="s">
        <v>188</v>
      </c>
      <c r="J40" s="14" t="s">
        <v>1143</v>
      </c>
      <c r="K40" s="26"/>
      <c r="L40" s="253">
        <f>DAVERAGE(I28:N37,6,I39:K41)</f>
        <v>272.5</v>
      </c>
      <c r="M40" s="254"/>
      <c r="N40" s="255"/>
    </row>
    <row r="41" spans="1:14">
      <c r="I41" s="85" t="s">
        <v>183</v>
      </c>
      <c r="K41" t="s">
        <v>1144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5"/>
  <sheetViews>
    <sheetView workbookViewId="0"/>
  </sheetViews>
  <sheetFormatPr defaultColWidth="9" defaultRowHeight="17"/>
  <cols>
    <col min="1" max="3" width="9" style="32"/>
    <col min="4" max="5" width="10.83203125" style="32" bestFit="1" customWidth="1"/>
    <col min="6" max="6" width="1.58203125" style="32" customWidth="1"/>
    <col min="7" max="7" width="13.75" style="32" bestFit="1" customWidth="1"/>
    <col min="8" max="8" width="10.08203125" style="32" customWidth="1"/>
    <col min="9" max="9" width="12.75" style="32" customWidth="1"/>
    <col min="10" max="10" width="11.58203125" style="32" bestFit="1" customWidth="1"/>
    <col min="11" max="16384" width="9" style="32"/>
  </cols>
  <sheetData>
    <row r="1" spans="1:14">
      <c r="A1" s="7" t="s">
        <v>65</v>
      </c>
      <c r="B1" s="31" t="s">
        <v>215</v>
      </c>
      <c r="C1" s="7"/>
      <c r="D1" s="7"/>
      <c r="E1" s="7"/>
      <c r="F1" s="7"/>
      <c r="G1" s="7" t="s">
        <v>67</v>
      </c>
      <c r="H1" s="31" t="s">
        <v>217</v>
      </c>
      <c r="I1" s="7"/>
      <c r="J1" s="7"/>
      <c r="K1" s="7"/>
      <c r="L1" s="7"/>
      <c r="M1" s="7"/>
      <c r="N1" s="7"/>
    </row>
    <row r="2" spans="1:14">
      <c r="A2" s="85" t="s">
        <v>75</v>
      </c>
      <c r="B2" s="85" t="s">
        <v>219</v>
      </c>
      <c r="C2" s="85" t="s">
        <v>220</v>
      </c>
      <c r="D2" s="85" t="s">
        <v>221</v>
      </c>
      <c r="E2" s="90" t="s">
        <v>222</v>
      </c>
      <c r="F2" s="7"/>
      <c r="G2" s="85" t="s">
        <v>69</v>
      </c>
      <c r="H2" s="85" t="s">
        <v>224</v>
      </c>
      <c r="I2" s="85" t="s">
        <v>123</v>
      </c>
      <c r="J2" s="85" t="s">
        <v>76</v>
      </c>
      <c r="K2" s="85" t="s">
        <v>77</v>
      </c>
      <c r="L2" s="7"/>
      <c r="M2" s="7"/>
      <c r="N2" s="7"/>
    </row>
    <row r="3" spans="1:14">
      <c r="A3" s="85" t="s">
        <v>227</v>
      </c>
      <c r="B3" s="85" t="s">
        <v>228</v>
      </c>
      <c r="C3" s="85">
        <v>6</v>
      </c>
      <c r="D3" s="33">
        <v>2500000</v>
      </c>
      <c r="E3" s="33"/>
      <c r="F3" s="7"/>
      <c r="G3" s="85" t="s">
        <v>229</v>
      </c>
      <c r="H3" s="85" t="s">
        <v>230</v>
      </c>
      <c r="I3" s="87">
        <v>2800</v>
      </c>
      <c r="J3" s="87">
        <v>62</v>
      </c>
      <c r="K3" s="87">
        <f>I3*J3</f>
        <v>173600</v>
      </c>
      <c r="L3" s="7"/>
      <c r="M3" s="7"/>
      <c r="N3" s="7"/>
    </row>
    <row r="4" spans="1:14">
      <c r="A4" s="85" t="s">
        <v>231</v>
      </c>
      <c r="B4" s="85" t="s">
        <v>228</v>
      </c>
      <c r="C4" s="85">
        <v>7</v>
      </c>
      <c r="D4" s="33">
        <v>2600000</v>
      </c>
      <c r="E4" s="33"/>
      <c r="F4" s="7"/>
      <c r="G4" s="85" t="s">
        <v>233</v>
      </c>
      <c r="H4" s="85" t="s">
        <v>234</v>
      </c>
      <c r="I4" s="87">
        <v>15600</v>
      </c>
      <c r="J4" s="87">
        <v>28</v>
      </c>
      <c r="K4" s="87">
        <f t="shared" ref="K4:K11" si="0">I4*J4</f>
        <v>436800</v>
      </c>
      <c r="L4" s="7"/>
      <c r="M4" s="7"/>
      <c r="N4" s="7"/>
    </row>
    <row r="5" spans="1:14">
      <c r="A5" s="85" t="s">
        <v>235</v>
      </c>
      <c r="B5" s="85" t="s">
        <v>228</v>
      </c>
      <c r="C5" s="85">
        <v>5</v>
      </c>
      <c r="D5" s="33">
        <v>2400000</v>
      </c>
      <c r="E5" s="33"/>
      <c r="F5" s="7"/>
      <c r="G5" s="85" t="s">
        <v>236</v>
      </c>
      <c r="H5" s="85" t="s">
        <v>237</v>
      </c>
      <c r="I5" s="87">
        <v>4500</v>
      </c>
      <c r="J5" s="87">
        <v>57</v>
      </c>
      <c r="K5" s="87">
        <f t="shared" si="0"/>
        <v>256500</v>
      </c>
      <c r="L5" s="7"/>
      <c r="M5" s="7"/>
      <c r="N5" s="7"/>
    </row>
    <row r="6" spans="1:14">
      <c r="A6" s="85" t="s">
        <v>238</v>
      </c>
      <c r="B6" s="85" t="s">
        <v>239</v>
      </c>
      <c r="C6" s="85">
        <v>2</v>
      </c>
      <c r="D6" s="33">
        <v>1800000</v>
      </c>
      <c r="E6" s="33"/>
      <c r="F6" s="7"/>
      <c r="G6" s="85" t="s">
        <v>233</v>
      </c>
      <c r="H6" s="85" t="s">
        <v>241</v>
      </c>
      <c r="I6" s="87">
        <v>5600</v>
      </c>
      <c r="J6" s="87">
        <v>65</v>
      </c>
      <c r="K6" s="87">
        <f t="shared" si="0"/>
        <v>364000</v>
      </c>
      <c r="L6" s="7"/>
      <c r="M6" s="7"/>
      <c r="N6" s="7"/>
    </row>
    <row r="7" spans="1:14">
      <c r="A7" s="85" t="s">
        <v>242</v>
      </c>
      <c r="B7" s="85" t="s">
        <v>239</v>
      </c>
      <c r="C7" s="85">
        <v>4</v>
      </c>
      <c r="D7" s="33">
        <v>2000000</v>
      </c>
      <c r="E7" s="33"/>
      <c r="F7" s="7"/>
      <c r="G7" s="85" t="s">
        <v>229</v>
      </c>
      <c r="H7" s="85" t="s">
        <v>243</v>
      </c>
      <c r="I7" s="87">
        <v>6500</v>
      </c>
      <c r="J7" s="87">
        <v>48</v>
      </c>
      <c r="K7" s="87">
        <f t="shared" si="0"/>
        <v>312000</v>
      </c>
      <c r="L7" s="7"/>
      <c r="M7" s="7"/>
      <c r="N7" s="7"/>
    </row>
    <row r="8" spans="1:14">
      <c r="A8" s="85" t="s">
        <v>244</v>
      </c>
      <c r="B8" s="85" t="s">
        <v>239</v>
      </c>
      <c r="C8" s="85">
        <v>3</v>
      </c>
      <c r="D8" s="33">
        <v>1900000</v>
      </c>
      <c r="E8" s="33"/>
      <c r="F8" s="7"/>
      <c r="G8" s="85" t="s">
        <v>236</v>
      </c>
      <c r="H8" s="85" t="s">
        <v>246</v>
      </c>
      <c r="I8" s="87">
        <v>12500</v>
      </c>
      <c r="J8" s="87">
        <v>65</v>
      </c>
      <c r="K8" s="87">
        <f t="shared" si="0"/>
        <v>812500</v>
      </c>
      <c r="L8" s="7"/>
      <c r="M8" s="7"/>
      <c r="N8" s="7"/>
    </row>
    <row r="9" spans="1:14">
      <c r="A9" s="85" t="s">
        <v>247</v>
      </c>
      <c r="B9" s="85" t="s">
        <v>248</v>
      </c>
      <c r="C9" s="85">
        <v>4</v>
      </c>
      <c r="D9" s="33">
        <v>1600000</v>
      </c>
      <c r="E9" s="33"/>
      <c r="F9" s="7"/>
      <c r="G9" s="85" t="s">
        <v>233</v>
      </c>
      <c r="H9" s="85" t="s">
        <v>249</v>
      </c>
      <c r="I9" s="87">
        <v>8300</v>
      </c>
      <c r="J9" s="87">
        <v>27</v>
      </c>
      <c r="K9" s="87">
        <f t="shared" si="0"/>
        <v>224100</v>
      </c>
      <c r="L9" s="7"/>
      <c r="M9" s="7"/>
      <c r="N9" s="7"/>
    </row>
    <row r="10" spans="1:14">
      <c r="A10" s="85" t="s">
        <v>250</v>
      </c>
      <c r="B10" s="85" t="s">
        <v>248</v>
      </c>
      <c r="C10" s="85">
        <v>2</v>
      </c>
      <c r="D10" s="33">
        <v>1400000</v>
      </c>
      <c r="E10" s="33"/>
      <c r="F10" s="7"/>
      <c r="G10" s="85" t="s">
        <v>236</v>
      </c>
      <c r="H10" s="85" t="s">
        <v>252</v>
      </c>
      <c r="I10" s="87">
        <v>7200</v>
      </c>
      <c r="J10" s="87">
        <v>65</v>
      </c>
      <c r="K10" s="87">
        <f t="shared" si="0"/>
        <v>468000</v>
      </c>
      <c r="L10" s="7"/>
      <c r="M10" s="7"/>
      <c r="N10" s="7"/>
    </row>
    <row r="11" spans="1:14">
      <c r="A11" s="85" t="s">
        <v>253</v>
      </c>
      <c r="B11" s="85" t="s">
        <v>248</v>
      </c>
      <c r="C11" s="85">
        <v>3</v>
      </c>
      <c r="D11" s="33">
        <v>1500000</v>
      </c>
      <c r="E11" s="33"/>
      <c r="F11" s="7"/>
      <c r="G11" s="85" t="s">
        <v>229</v>
      </c>
      <c r="H11" s="85" t="s">
        <v>256</v>
      </c>
      <c r="I11" s="87">
        <v>6300</v>
      </c>
      <c r="J11" s="87">
        <v>45</v>
      </c>
      <c r="K11" s="87">
        <f t="shared" si="0"/>
        <v>283500</v>
      </c>
      <c r="L11" s="7"/>
      <c r="M11" s="7"/>
      <c r="N11" s="7"/>
    </row>
    <row r="12" spans="1:14">
      <c r="A12" s="85" t="s">
        <v>257</v>
      </c>
      <c r="B12" s="85" t="s">
        <v>248</v>
      </c>
      <c r="C12" s="85">
        <v>1</v>
      </c>
      <c r="D12" s="33">
        <v>1300000</v>
      </c>
      <c r="E12" s="33"/>
      <c r="F12" s="7"/>
      <c r="G12" s="259" t="s">
        <v>259</v>
      </c>
      <c r="H12" s="259"/>
      <c r="I12" s="259"/>
      <c r="J12" s="259"/>
      <c r="K12" s="33"/>
      <c r="L12" s="7"/>
      <c r="M12" s="7"/>
      <c r="N12" s="7"/>
    </row>
    <row r="13" spans="1:14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>
      <c r="A14" s="7" t="s">
        <v>112</v>
      </c>
      <c r="B14" s="31" t="s">
        <v>261</v>
      </c>
      <c r="C14" s="7"/>
      <c r="D14" s="7"/>
      <c r="E14" s="7"/>
      <c r="F14" s="7"/>
      <c r="G14" s="7" t="s">
        <v>114</v>
      </c>
      <c r="H14" s="31" t="s">
        <v>263</v>
      </c>
      <c r="I14" s="7"/>
      <c r="J14" s="7"/>
      <c r="K14" s="7"/>
      <c r="L14" s="7"/>
      <c r="M14" s="7"/>
      <c r="N14" s="7"/>
    </row>
    <row r="15" spans="1:14">
      <c r="A15" s="85" t="s">
        <v>264</v>
      </c>
      <c r="B15" s="85" t="s">
        <v>174</v>
      </c>
      <c r="C15" s="85" t="s">
        <v>266</v>
      </c>
      <c r="D15" s="85" t="s">
        <v>267</v>
      </c>
      <c r="E15" s="85" t="s">
        <v>268</v>
      </c>
      <c r="F15" s="7"/>
      <c r="G15" s="85" t="s">
        <v>269</v>
      </c>
      <c r="H15" s="85" t="s">
        <v>270</v>
      </c>
      <c r="I15" s="85" t="s">
        <v>271</v>
      </c>
      <c r="J15" s="85" t="s">
        <v>272</v>
      </c>
      <c r="K15" s="85" t="s">
        <v>273</v>
      </c>
      <c r="L15" s="7"/>
      <c r="M15" s="7"/>
      <c r="N15" s="7"/>
    </row>
    <row r="16" spans="1:14">
      <c r="A16" s="85" t="s">
        <v>274</v>
      </c>
      <c r="B16" s="85" t="s">
        <v>188</v>
      </c>
      <c r="C16" s="85" t="s">
        <v>276</v>
      </c>
      <c r="D16" s="33">
        <v>4</v>
      </c>
      <c r="E16" s="33">
        <v>1208000</v>
      </c>
      <c r="F16" s="7"/>
      <c r="G16" s="85" t="s">
        <v>277</v>
      </c>
      <c r="H16" s="85" t="s">
        <v>278</v>
      </c>
      <c r="I16" s="85" t="s">
        <v>279</v>
      </c>
      <c r="J16" s="87">
        <v>414603</v>
      </c>
      <c r="K16" s="87">
        <v>39139</v>
      </c>
      <c r="L16" s="7"/>
      <c r="M16" s="7"/>
      <c r="N16" s="7"/>
    </row>
    <row r="17" spans="1:14">
      <c r="A17" s="85" t="s">
        <v>280</v>
      </c>
      <c r="B17" s="85" t="s">
        <v>183</v>
      </c>
      <c r="C17" s="85" t="s">
        <v>282</v>
      </c>
      <c r="D17" s="33">
        <v>9</v>
      </c>
      <c r="E17" s="33">
        <v>2214000</v>
      </c>
      <c r="F17" s="7"/>
      <c r="G17" s="85" t="s">
        <v>283</v>
      </c>
      <c r="H17" s="85" t="s">
        <v>284</v>
      </c>
      <c r="I17" s="85" t="s">
        <v>285</v>
      </c>
      <c r="J17" s="87">
        <v>529541</v>
      </c>
      <c r="K17" s="87">
        <v>28880</v>
      </c>
      <c r="L17" s="7"/>
      <c r="M17" s="7"/>
      <c r="N17" s="7"/>
    </row>
    <row r="18" spans="1:14">
      <c r="A18" s="85" t="s">
        <v>286</v>
      </c>
      <c r="B18" s="85" t="s">
        <v>188</v>
      </c>
      <c r="C18" s="85" t="s">
        <v>276</v>
      </c>
      <c r="D18" s="33">
        <v>5</v>
      </c>
      <c r="E18" s="33">
        <v>1425000</v>
      </c>
      <c r="F18" s="7"/>
      <c r="G18" s="85" t="s">
        <v>288</v>
      </c>
      <c r="H18" s="85" t="s">
        <v>289</v>
      </c>
      <c r="I18" s="85" t="s">
        <v>290</v>
      </c>
      <c r="J18" s="87">
        <v>3144537</v>
      </c>
      <c r="K18" s="87">
        <v>27171</v>
      </c>
      <c r="L18" s="7"/>
      <c r="M18" s="7"/>
      <c r="N18" s="7"/>
    </row>
    <row r="19" spans="1:14">
      <c r="A19" s="85" t="s">
        <v>291</v>
      </c>
      <c r="B19" s="85" t="s">
        <v>183</v>
      </c>
      <c r="C19" s="85" t="s">
        <v>276</v>
      </c>
      <c r="D19" s="33">
        <v>1</v>
      </c>
      <c r="E19" s="33">
        <v>265000</v>
      </c>
      <c r="F19" s="7"/>
      <c r="G19" s="85" t="s">
        <v>293</v>
      </c>
      <c r="H19" s="85" t="s">
        <v>294</v>
      </c>
      <c r="I19" s="85" t="s">
        <v>290</v>
      </c>
      <c r="J19" s="87">
        <v>1363686</v>
      </c>
      <c r="K19" s="87">
        <v>19120</v>
      </c>
      <c r="L19" s="7"/>
      <c r="M19" s="7"/>
      <c r="N19" s="7"/>
    </row>
    <row r="20" spans="1:14">
      <c r="A20" s="85" t="s">
        <v>295</v>
      </c>
      <c r="B20" s="85" t="s">
        <v>188</v>
      </c>
      <c r="C20" s="85" t="s">
        <v>296</v>
      </c>
      <c r="D20" s="33">
        <v>4</v>
      </c>
      <c r="E20" s="33">
        <v>1168000</v>
      </c>
      <c r="F20" s="7"/>
      <c r="G20" s="85" t="s">
        <v>297</v>
      </c>
      <c r="H20" s="85" t="s">
        <v>298</v>
      </c>
      <c r="I20" s="85" t="s">
        <v>285</v>
      </c>
      <c r="J20" s="87">
        <v>328043</v>
      </c>
      <c r="K20" s="87">
        <v>9255</v>
      </c>
      <c r="L20" s="7"/>
      <c r="M20" s="7"/>
      <c r="N20" s="7"/>
    </row>
    <row r="21" spans="1:14">
      <c r="A21" s="85" t="s">
        <v>300</v>
      </c>
      <c r="B21" s="85" t="s">
        <v>183</v>
      </c>
      <c r="C21" s="85" t="s">
        <v>282</v>
      </c>
      <c r="D21" s="33">
        <v>5</v>
      </c>
      <c r="E21" s="33">
        <v>1500000</v>
      </c>
      <c r="F21" s="7"/>
      <c r="G21" s="85" t="s">
        <v>302</v>
      </c>
      <c r="H21" s="85" t="s">
        <v>303</v>
      </c>
      <c r="I21" s="85" t="s">
        <v>285</v>
      </c>
      <c r="J21" s="87">
        <v>5656789</v>
      </c>
      <c r="K21" s="87">
        <v>6842</v>
      </c>
      <c r="L21" s="7"/>
      <c r="M21" s="7"/>
      <c r="N21" s="7"/>
    </row>
    <row r="22" spans="1:14">
      <c r="A22" s="85" t="s">
        <v>304</v>
      </c>
      <c r="B22" s="85" t="s">
        <v>183</v>
      </c>
      <c r="C22" s="85" t="s">
        <v>282</v>
      </c>
      <c r="D22" s="33">
        <v>9</v>
      </c>
      <c r="E22" s="33">
        <v>2493000</v>
      </c>
      <c r="F22" s="7"/>
      <c r="G22" s="85" t="s">
        <v>305</v>
      </c>
      <c r="H22" s="85" t="s">
        <v>278</v>
      </c>
      <c r="I22" s="85" t="s">
        <v>290</v>
      </c>
      <c r="J22" s="87">
        <v>1578</v>
      </c>
      <c r="K22" s="87">
        <v>128</v>
      </c>
      <c r="L22" s="7"/>
      <c r="M22" s="7"/>
      <c r="N22" s="7"/>
    </row>
    <row r="23" spans="1:14">
      <c r="A23" s="85" t="s">
        <v>307</v>
      </c>
      <c r="B23" s="85" t="s">
        <v>188</v>
      </c>
      <c r="C23" s="85" t="s">
        <v>282</v>
      </c>
      <c r="D23" s="33">
        <v>4</v>
      </c>
      <c r="E23" s="33">
        <v>1020000</v>
      </c>
      <c r="F23" s="7"/>
      <c r="G23" s="85" t="s">
        <v>308</v>
      </c>
      <c r="H23" s="85" t="s">
        <v>284</v>
      </c>
      <c r="I23" s="85" t="s">
        <v>279</v>
      </c>
      <c r="J23" s="87">
        <v>298095</v>
      </c>
      <c r="K23" s="87">
        <v>1842</v>
      </c>
      <c r="L23" s="7"/>
      <c r="M23" s="7"/>
      <c r="N23" s="7"/>
    </row>
    <row r="24" spans="1:14">
      <c r="A24" s="85" t="s">
        <v>311</v>
      </c>
      <c r="B24" s="85" t="s">
        <v>183</v>
      </c>
      <c r="C24" s="85" t="s">
        <v>296</v>
      </c>
      <c r="D24" s="33">
        <v>7</v>
      </c>
      <c r="E24" s="33">
        <v>1967000</v>
      </c>
      <c r="F24" s="7"/>
      <c r="G24" s="85" t="s">
        <v>312</v>
      </c>
      <c r="H24" s="85" t="s">
        <v>278</v>
      </c>
      <c r="I24" s="85" t="s">
        <v>290</v>
      </c>
      <c r="J24" s="87">
        <v>983</v>
      </c>
      <c r="K24" s="87">
        <v>151</v>
      </c>
      <c r="L24" s="256" t="s">
        <v>314</v>
      </c>
      <c r="M24" s="257"/>
      <c r="N24" s="258"/>
    </row>
    <row r="25" spans="1:14">
      <c r="A25" s="256" t="s">
        <v>315</v>
      </c>
      <c r="B25" s="257"/>
      <c r="C25" s="257"/>
      <c r="D25" s="258"/>
      <c r="E25" s="33"/>
      <c r="F25" s="7"/>
      <c r="G25" s="85" t="s">
        <v>316</v>
      </c>
      <c r="H25" s="85" t="s">
        <v>278</v>
      </c>
      <c r="I25" s="85" t="s">
        <v>290</v>
      </c>
      <c r="J25" s="87">
        <v>36253</v>
      </c>
      <c r="K25" s="87">
        <v>1029</v>
      </c>
      <c r="L25" s="251"/>
      <c r="M25" s="261"/>
      <c r="N25" s="252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25"/>
  <sheetViews>
    <sheetView workbookViewId="0"/>
  </sheetViews>
  <sheetFormatPr defaultColWidth="9" defaultRowHeight="17"/>
  <cols>
    <col min="1" max="3" width="9" style="32"/>
    <col min="4" max="5" width="10.83203125" style="32" bestFit="1" customWidth="1"/>
    <col min="6" max="6" width="1.58203125" style="32" customWidth="1"/>
    <col min="7" max="7" width="13.75" style="32" bestFit="1" customWidth="1"/>
    <col min="8" max="8" width="10.08203125" style="32" customWidth="1"/>
    <col min="9" max="9" width="12.75" style="32" customWidth="1"/>
    <col min="10" max="10" width="11.58203125" style="32" bestFit="1" customWidth="1"/>
    <col min="11" max="11" width="10.58203125" style="32" bestFit="1" customWidth="1"/>
    <col min="12" max="16384" width="9" style="32"/>
  </cols>
  <sheetData>
    <row r="1" spans="1:14">
      <c r="A1" s="7" t="s">
        <v>214</v>
      </c>
      <c r="B1" s="31" t="s">
        <v>215</v>
      </c>
      <c r="C1" s="7"/>
      <c r="D1" s="7"/>
      <c r="E1" s="7"/>
      <c r="F1" s="7"/>
      <c r="G1" s="7" t="s">
        <v>216</v>
      </c>
      <c r="H1" s="31" t="s">
        <v>217</v>
      </c>
      <c r="I1" s="7"/>
      <c r="J1" s="7"/>
      <c r="K1" s="7"/>
      <c r="L1" s="7"/>
      <c r="M1" s="7"/>
      <c r="N1" s="7"/>
    </row>
    <row r="2" spans="1:14">
      <c r="A2" s="2" t="s">
        <v>218</v>
      </c>
      <c r="B2" s="2" t="s">
        <v>219</v>
      </c>
      <c r="C2" s="2" t="s">
        <v>220</v>
      </c>
      <c r="D2" s="2" t="s">
        <v>221</v>
      </c>
      <c r="E2" s="89" t="s">
        <v>222</v>
      </c>
      <c r="F2" s="7"/>
      <c r="G2" s="2" t="s">
        <v>223</v>
      </c>
      <c r="H2" s="2" t="s">
        <v>224</v>
      </c>
      <c r="I2" s="2" t="s">
        <v>225</v>
      </c>
      <c r="J2" s="2" t="s">
        <v>76</v>
      </c>
      <c r="K2" s="2" t="s">
        <v>226</v>
      </c>
      <c r="L2" s="7"/>
      <c r="M2" s="7"/>
      <c r="N2" s="7"/>
    </row>
    <row r="3" spans="1:14">
      <c r="A3" s="2" t="s">
        <v>227</v>
      </c>
      <c r="B3" s="2" t="s">
        <v>228</v>
      </c>
      <c r="C3" s="2">
        <v>6</v>
      </c>
      <c r="D3" s="33">
        <v>2500000</v>
      </c>
      <c r="E3" s="33">
        <f>TRUNC(SQRT(C3)*D3)</f>
        <v>6123724</v>
      </c>
      <c r="F3" s="7"/>
      <c r="G3" s="2" t="s">
        <v>229</v>
      </c>
      <c r="H3" s="2" t="s">
        <v>230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>
      <c r="A4" s="2" t="s">
        <v>231</v>
      </c>
      <c r="B4" s="2" t="s">
        <v>232</v>
      </c>
      <c r="C4" s="2">
        <v>7</v>
      </c>
      <c r="D4" s="33">
        <v>2600000</v>
      </c>
      <c r="E4" s="33">
        <f t="shared" ref="E4:E12" si="0">TRUNC(SQRT(C4)*D4)</f>
        <v>6878953</v>
      </c>
      <c r="F4" s="7"/>
      <c r="G4" s="2" t="s">
        <v>233</v>
      </c>
      <c r="H4" s="2" t="s">
        <v>234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>
      <c r="A5" s="2" t="s">
        <v>235</v>
      </c>
      <c r="B5" s="2" t="s">
        <v>232</v>
      </c>
      <c r="C5" s="2">
        <v>5</v>
      </c>
      <c r="D5" s="33">
        <v>2400000</v>
      </c>
      <c r="E5" s="33">
        <f t="shared" si="0"/>
        <v>5366563</v>
      </c>
      <c r="F5" s="7"/>
      <c r="G5" s="2" t="s">
        <v>236</v>
      </c>
      <c r="H5" s="2" t="s">
        <v>237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>
      <c r="A6" s="2" t="s">
        <v>238</v>
      </c>
      <c r="B6" s="2" t="s">
        <v>239</v>
      </c>
      <c r="C6" s="2">
        <v>2</v>
      </c>
      <c r="D6" s="33">
        <v>1800000</v>
      </c>
      <c r="E6" s="33">
        <f t="shared" si="0"/>
        <v>2545584</v>
      </c>
      <c r="F6" s="7"/>
      <c r="G6" s="2" t="s">
        <v>240</v>
      </c>
      <c r="H6" s="2" t="s">
        <v>241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>
      <c r="A7" s="2" t="s">
        <v>242</v>
      </c>
      <c r="B7" s="2" t="s">
        <v>239</v>
      </c>
      <c r="C7" s="2">
        <v>4</v>
      </c>
      <c r="D7" s="33">
        <v>2000000</v>
      </c>
      <c r="E7" s="33">
        <f t="shared" si="0"/>
        <v>4000000</v>
      </c>
      <c r="F7" s="7"/>
      <c r="G7" s="2" t="s">
        <v>229</v>
      </c>
      <c r="H7" s="2" t="s">
        <v>243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>
      <c r="A8" s="2" t="s">
        <v>244</v>
      </c>
      <c r="B8" s="2" t="s">
        <v>245</v>
      </c>
      <c r="C8" s="2">
        <v>3</v>
      </c>
      <c r="D8" s="33">
        <v>1900000</v>
      </c>
      <c r="E8" s="33">
        <f t="shared" si="0"/>
        <v>3290896</v>
      </c>
      <c r="F8" s="7"/>
      <c r="G8" s="2" t="s">
        <v>236</v>
      </c>
      <c r="H8" s="2" t="s">
        <v>246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>
      <c r="A9" s="2" t="s">
        <v>247</v>
      </c>
      <c r="B9" s="2" t="s">
        <v>248</v>
      </c>
      <c r="C9" s="2">
        <v>4</v>
      </c>
      <c r="D9" s="33">
        <v>1600000</v>
      </c>
      <c r="E9" s="33">
        <f t="shared" si="0"/>
        <v>3200000</v>
      </c>
      <c r="F9" s="7"/>
      <c r="G9" s="2" t="s">
        <v>240</v>
      </c>
      <c r="H9" s="2" t="s">
        <v>249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>
      <c r="A10" s="2" t="s">
        <v>250</v>
      </c>
      <c r="B10" s="2" t="s">
        <v>248</v>
      </c>
      <c r="C10" s="2">
        <v>2</v>
      </c>
      <c r="D10" s="33">
        <v>1400000</v>
      </c>
      <c r="E10" s="33">
        <f t="shared" si="0"/>
        <v>1979898</v>
      </c>
      <c r="F10" s="7"/>
      <c r="G10" s="2" t="s">
        <v>251</v>
      </c>
      <c r="H10" s="2" t="s">
        <v>252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>
      <c r="A11" s="2" t="s">
        <v>253</v>
      </c>
      <c r="B11" s="2" t="s">
        <v>254</v>
      </c>
      <c r="C11" s="2">
        <v>3</v>
      </c>
      <c r="D11" s="33">
        <v>1500000</v>
      </c>
      <c r="E11" s="33">
        <f t="shared" si="0"/>
        <v>2598076</v>
      </c>
      <c r="F11" s="7"/>
      <c r="G11" s="2" t="s">
        <v>255</v>
      </c>
      <c r="H11" s="2" t="s">
        <v>256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>
      <c r="A12" s="2" t="s">
        <v>257</v>
      </c>
      <c r="B12" s="2" t="s">
        <v>258</v>
      </c>
      <c r="C12" s="2">
        <v>1</v>
      </c>
      <c r="D12" s="33">
        <v>1300000</v>
      </c>
      <c r="E12" s="33">
        <f t="shared" si="0"/>
        <v>1300000</v>
      </c>
      <c r="F12" s="7"/>
      <c r="G12" s="259" t="s">
        <v>259</v>
      </c>
      <c r="H12" s="259"/>
      <c r="I12" s="259"/>
      <c r="J12" s="259"/>
      <c r="K12" s="33">
        <f>ROUNDUP(SUMIF(G3:G11,"음악",K3:K11),-3)</f>
        <v>1025000</v>
      </c>
      <c r="L12" s="7"/>
      <c r="M12" s="7"/>
      <c r="N12" s="7"/>
    </row>
    <row r="13" spans="1:14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>
      <c r="A14" s="7" t="s">
        <v>260</v>
      </c>
      <c r="B14" s="31" t="s">
        <v>261</v>
      </c>
      <c r="C14" s="7"/>
      <c r="D14" s="7"/>
      <c r="E14" s="7"/>
      <c r="F14" s="7"/>
      <c r="G14" s="7" t="s">
        <v>262</v>
      </c>
      <c r="H14" s="31" t="s">
        <v>263</v>
      </c>
      <c r="I14" s="7"/>
      <c r="J14" s="7"/>
      <c r="K14" s="7"/>
      <c r="L14" s="7"/>
      <c r="M14" s="7"/>
      <c r="N14" s="7"/>
    </row>
    <row r="15" spans="1:14">
      <c r="A15" s="2" t="s">
        <v>264</v>
      </c>
      <c r="B15" s="2" t="s">
        <v>265</v>
      </c>
      <c r="C15" s="2" t="s">
        <v>266</v>
      </c>
      <c r="D15" s="2" t="s">
        <v>267</v>
      </c>
      <c r="E15" s="2" t="s">
        <v>268</v>
      </c>
      <c r="F15" s="7"/>
      <c r="G15" s="2" t="s">
        <v>269</v>
      </c>
      <c r="H15" s="2" t="s">
        <v>270</v>
      </c>
      <c r="I15" s="2" t="s">
        <v>271</v>
      </c>
      <c r="J15" s="2" t="s">
        <v>272</v>
      </c>
      <c r="K15" s="2" t="s">
        <v>273</v>
      </c>
      <c r="L15" s="7"/>
      <c r="M15" s="7"/>
      <c r="N15" s="7"/>
    </row>
    <row r="16" spans="1:14">
      <c r="A16" s="2" t="s">
        <v>274</v>
      </c>
      <c r="B16" s="2" t="s">
        <v>275</v>
      </c>
      <c r="C16" s="2" t="s">
        <v>276</v>
      </c>
      <c r="D16" s="33">
        <v>4</v>
      </c>
      <c r="E16" s="33">
        <v>1208000</v>
      </c>
      <c r="F16" s="7"/>
      <c r="G16" s="2" t="s">
        <v>277</v>
      </c>
      <c r="H16" s="2" t="s">
        <v>278</v>
      </c>
      <c r="I16" s="2" t="s">
        <v>279</v>
      </c>
      <c r="J16" s="29">
        <v>414603</v>
      </c>
      <c r="K16" s="29">
        <v>39139</v>
      </c>
      <c r="L16" s="7"/>
      <c r="M16" s="7"/>
      <c r="N16" s="7"/>
    </row>
    <row r="17" spans="1:14">
      <c r="A17" s="2" t="s">
        <v>280</v>
      </c>
      <c r="B17" s="2" t="s">
        <v>281</v>
      </c>
      <c r="C17" s="2" t="s">
        <v>282</v>
      </c>
      <c r="D17" s="33">
        <v>9</v>
      </c>
      <c r="E17" s="33">
        <v>2214000</v>
      </c>
      <c r="F17" s="7"/>
      <c r="G17" s="2" t="s">
        <v>283</v>
      </c>
      <c r="H17" s="2" t="s">
        <v>284</v>
      </c>
      <c r="I17" s="2" t="s">
        <v>285</v>
      </c>
      <c r="J17" s="29">
        <v>529541</v>
      </c>
      <c r="K17" s="29">
        <v>28880</v>
      </c>
      <c r="L17" s="7"/>
      <c r="M17" s="7"/>
      <c r="N17" s="7"/>
    </row>
    <row r="18" spans="1:14">
      <c r="A18" s="2" t="s">
        <v>286</v>
      </c>
      <c r="B18" s="2" t="s">
        <v>275</v>
      </c>
      <c r="C18" s="2" t="s">
        <v>287</v>
      </c>
      <c r="D18" s="33">
        <v>5</v>
      </c>
      <c r="E18" s="33">
        <v>1425000</v>
      </c>
      <c r="F18" s="7"/>
      <c r="G18" s="2" t="s">
        <v>288</v>
      </c>
      <c r="H18" s="2" t="s">
        <v>289</v>
      </c>
      <c r="I18" s="2" t="s">
        <v>290</v>
      </c>
      <c r="J18" s="29">
        <v>3144537</v>
      </c>
      <c r="K18" s="29">
        <v>27171</v>
      </c>
      <c r="L18" s="7"/>
      <c r="M18" s="7"/>
      <c r="N18" s="7"/>
    </row>
    <row r="19" spans="1:14">
      <c r="A19" s="2" t="s">
        <v>291</v>
      </c>
      <c r="B19" s="2" t="s">
        <v>186</v>
      </c>
      <c r="C19" s="2" t="s">
        <v>292</v>
      </c>
      <c r="D19" s="33">
        <v>1</v>
      </c>
      <c r="E19" s="33">
        <v>265000</v>
      </c>
      <c r="F19" s="7"/>
      <c r="G19" s="2" t="s">
        <v>293</v>
      </c>
      <c r="H19" s="2" t="s">
        <v>294</v>
      </c>
      <c r="I19" s="2" t="s">
        <v>290</v>
      </c>
      <c r="J19" s="29">
        <v>1363686</v>
      </c>
      <c r="K19" s="29">
        <v>19120</v>
      </c>
      <c r="L19" s="7"/>
      <c r="M19" s="7"/>
      <c r="N19" s="7"/>
    </row>
    <row r="20" spans="1:14">
      <c r="A20" s="2" t="s">
        <v>295</v>
      </c>
      <c r="B20" s="2" t="s">
        <v>275</v>
      </c>
      <c r="C20" s="2" t="s">
        <v>296</v>
      </c>
      <c r="D20" s="33">
        <v>4</v>
      </c>
      <c r="E20" s="33">
        <v>1168000</v>
      </c>
      <c r="F20" s="7"/>
      <c r="G20" s="2" t="s">
        <v>297</v>
      </c>
      <c r="H20" s="2" t="s">
        <v>298</v>
      </c>
      <c r="I20" s="2" t="s">
        <v>299</v>
      </c>
      <c r="J20" s="29">
        <v>328043</v>
      </c>
      <c r="K20" s="29">
        <v>9255</v>
      </c>
      <c r="L20" s="7"/>
      <c r="M20" s="7"/>
      <c r="N20" s="7"/>
    </row>
    <row r="21" spans="1:14">
      <c r="A21" s="2" t="s">
        <v>300</v>
      </c>
      <c r="B21" s="2" t="s">
        <v>281</v>
      </c>
      <c r="C21" s="2" t="s">
        <v>301</v>
      </c>
      <c r="D21" s="33">
        <v>5</v>
      </c>
      <c r="E21" s="33">
        <v>1500000</v>
      </c>
      <c r="F21" s="7"/>
      <c r="G21" s="2" t="s">
        <v>302</v>
      </c>
      <c r="H21" s="2" t="s">
        <v>303</v>
      </c>
      <c r="I21" s="2" t="s">
        <v>299</v>
      </c>
      <c r="J21" s="29">
        <v>5656789</v>
      </c>
      <c r="K21" s="29">
        <v>6842</v>
      </c>
      <c r="L21" s="7"/>
      <c r="M21" s="7"/>
      <c r="N21" s="7"/>
    </row>
    <row r="22" spans="1:14">
      <c r="A22" s="2" t="s">
        <v>304</v>
      </c>
      <c r="B22" s="2" t="s">
        <v>281</v>
      </c>
      <c r="C22" s="2" t="s">
        <v>282</v>
      </c>
      <c r="D22" s="33">
        <v>9</v>
      </c>
      <c r="E22" s="33">
        <v>2493000</v>
      </c>
      <c r="F22" s="7"/>
      <c r="G22" s="2" t="s">
        <v>305</v>
      </c>
      <c r="H22" s="2" t="s">
        <v>278</v>
      </c>
      <c r="I22" s="2" t="s">
        <v>306</v>
      </c>
      <c r="J22" s="29">
        <v>1578</v>
      </c>
      <c r="K22" s="29">
        <v>128</v>
      </c>
      <c r="L22" s="7"/>
      <c r="M22" s="7"/>
      <c r="N22" s="7"/>
    </row>
    <row r="23" spans="1:14">
      <c r="A23" s="2" t="s">
        <v>307</v>
      </c>
      <c r="B23" s="2" t="s">
        <v>275</v>
      </c>
      <c r="C23" s="2" t="s">
        <v>282</v>
      </c>
      <c r="D23" s="33">
        <v>4</v>
      </c>
      <c r="E23" s="33">
        <v>1020000</v>
      </c>
      <c r="F23" s="7"/>
      <c r="G23" s="2" t="s">
        <v>308</v>
      </c>
      <c r="H23" s="2" t="s">
        <v>309</v>
      </c>
      <c r="I23" s="2" t="s">
        <v>310</v>
      </c>
      <c r="J23" s="29">
        <v>298095</v>
      </c>
      <c r="K23" s="29">
        <v>1842</v>
      </c>
      <c r="L23" s="7"/>
      <c r="M23" s="7"/>
      <c r="N23" s="7"/>
    </row>
    <row r="24" spans="1:14">
      <c r="A24" s="2" t="s">
        <v>311</v>
      </c>
      <c r="B24" s="2" t="s">
        <v>281</v>
      </c>
      <c r="C24" s="2" t="s">
        <v>296</v>
      </c>
      <c r="D24" s="33">
        <v>7</v>
      </c>
      <c r="E24" s="33">
        <v>1967000</v>
      </c>
      <c r="F24" s="7"/>
      <c r="G24" s="2" t="s">
        <v>312</v>
      </c>
      <c r="H24" s="2" t="s">
        <v>313</v>
      </c>
      <c r="I24" s="2" t="s">
        <v>290</v>
      </c>
      <c r="J24" s="29">
        <v>983</v>
      </c>
      <c r="K24" s="29">
        <v>151</v>
      </c>
      <c r="L24" s="256" t="s">
        <v>314</v>
      </c>
      <c r="M24" s="257"/>
      <c r="N24" s="258"/>
    </row>
    <row r="25" spans="1:14">
      <c r="A25" s="256" t="s">
        <v>315</v>
      </c>
      <c r="B25" s="257"/>
      <c r="C25" s="257"/>
      <c r="D25" s="258"/>
      <c r="E25" s="33">
        <f>SUMIF(D16:D24,MODE(D16:D24),E16:E24)</f>
        <v>3396000</v>
      </c>
      <c r="F25" s="7"/>
      <c r="G25" s="2" t="s">
        <v>316</v>
      </c>
      <c r="H25" s="2" t="s">
        <v>278</v>
      </c>
      <c r="I25" s="2" t="s">
        <v>290</v>
      </c>
      <c r="J25" s="29">
        <v>36253</v>
      </c>
      <c r="K25" s="29">
        <v>1029</v>
      </c>
      <c r="L25" s="251" t="str">
        <f>SUMIFS(K16:K25,H16:H25,"드라마",I16:I25,"15세이상")&amp;"만원"</f>
        <v>1308만원</v>
      </c>
      <c r="M25" s="261"/>
      <c r="N25" s="252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0"/>
  <sheetViews>
    <sheetView workbookViewId="0"/>
  </sheetViews>
  <sheetFormatPr defaultRowHeight="17"/>
  <cols>
    <col min="1" max="1" width="11" bestFit="1" customWidth="1"/>
    <col min="3" max="3" width="11.08203125" bestFit="1" customWidth="1"/>
    <col min="5" max="5" width="11" bestFit="1" customWidth="1"/>
    <col min="6" max="6" width="1.58203125" customWidth="1"/>
    <col min="9" max="9" width="11" bestFit="1" customWidth="1"/>
    <col min="10" max="10" width="12.33203125" bestFit="1" customWidth="1"/>
  </cols>
  <sheetData>
    <row r="1" spans="1:10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317</v>
      </c>
      <c r="I1" s="26"/>
      <c r="J1" s="26"/>
    </row>
    <row r="2" spans="1:10">
      <c r="A2" s="35" t="s">
        <v>318</v>
      </c>
      <c r="B2" s="35" t="s">
        <v>177</v>
      </c>
      <c r="C2" s="35" t="s">
        <v>320</v>
      </c>
      <c r="D2" s="35" t="s">
        <v>321</v>
      </c>
      <c r="E2" s="26"/>
      <c r="F2" s="26"/>
      <c r="G2" s="5" t="s">
        <v>322</v>
      </c>
      <c r="H2" s="5" t="s">
        <v>323</v>
      </c>
      <c r="I2" s="5" t="s">
        <v>324</v>
      </c>
      <c r="J2" s="90" t="s">
        <v>325</v>
      </c>
    </row>
    <row r="3" spans="1:10">
      <c r="A3" s="35" t="s">
        <v>326</v>
      </c>
      <c r="B3" s="35" t="s">
        <v>327</v>
      </c>
      <c r="C3" s="36">
        <v>36819</v>
      </c>
      <c r="D3" s="37">
        <v>3.45</v>
      </c>
      <c r="E3" s="26"/>
      <c r="F3" s="26"/>
      <c r="G3" s="5" t="s">
        <v>328</v>
      </c>
      <c r="H3" s="5">
        <v>329</v>
      </c>
      <c r="I3" s="30">
        <v>25</v>
      </c>
      <c r="J3" s="38"/>
    </row>
    <row r="4" spans="1:10">
      <c r="A4" s="35" t="s">
        <v>329</v>
      </c>
      <c r="B4" s="35" t="s">
        <v>330</v>
      </c>
      <c r="C4" s="36">
        <v>36221</v>
      </c>
      <c r="D4" s="37">
        <v>4.0199999999999996</v>
      </c>
      <c r="E4" s="26"/>
      <c r="F4" s="26"/>
      <c r="G4" s="5" t="s">
        <v>331</v>
      </c>
      <c r="H4" s="5">
        <v>574</v>
      </c>
      <c r="I4" s="30">
        <v>45</v>
      </c>
      <c r="J4" s="38"/>
    </row>
    <row r="5" spans="1:10">
      <c r="A5" s="35" t="s">
        <v>329</v>
      </c>
      <c r="B5" s="35" t="s">
        <v>332</v>
      </c>
      <c r="C5" s="36">
        <v>36029</v>
      </c>
      <c r="D5" s="37">
        <v>3.67</v>
      </c>
      <c r="E5" s="26"/>
      <c r="F5" s="26"/>
      <c r="G5" s="5" t="s">
        <v>333</v>
      </c>
      <c r="H5" s="5">
        <v>346</v>
      </c>
      <c r="I5" s="30">
        <v>30</v>
      </c>
      <c r="J5" s="38"/>
    </row>
    <row r="6" spans="1:10">
      <c r="A6" s="35" t="s">
        <v>326</v>
      </c>
      <c r="B6" s="35" t="s">
        <v>334</v>
      </c>
      <c r="C6" s="36">
        <v>36548</v>
      </c>
      <c r="D6" s="37">
        <v>3.89</v>
      </c>
      <c r="E6" s="26"/>
      <c r="F6" s="26"/>
      <c r="G6" s="5" t="s">
        <v>335</v>
      </c>
      <c r="H6" s="5">
        <v>618</v>
      </c>
      <c r="I6" s="30">
        <v>50</v>
      </c>
      <c r="J6" s="38"/>
    </row>
    <row r="7" spans="1:10">
      <c r="A7" s="35" t="s">
        <v>336</v>
      </c>
      <c r="B7" s="35" t="s">
        <v>337</v>
      </c>
      <c r="C7" s="36">
        <v>37023</v>
      </c>
      <c r="D7" s="37">
        <v>3.12</v>
      </c>
      <c r="E7" s="26"/>
      <c r="F7" s="26"/>
      <c r="G7" s="5" t="s">
        <v>338</v>
      </c>
      <c r="H7" s="5">
        <v>485</v>
      </c>
      <c r="I7" s="5">
        <v>35</v>
      </c>
      <c r="J7" s="38"/>
    </row>
    <row r="8" spans="1:10">
      <c r="A8" s="35" t="s">
        <v>336</v>
      </c>
      <c r="B8" s="35" t="s">
        <v>339</v>
      </c>
      <c r="C8" s="36">
        <v>36346</v>
      </c>
      <c r="D8" s="37">
        <v>3.91</v>
      </c>
      <c r="E8" s="39" t="s">
        <v>101</v>
      </c>
      <c r="F8" s="26"/>
      <c r="G8" s="5" t="s">
        <v>341</v>
      </c>
      <c r="H8" s="5">
        <v>507</v>
      </c>
      <c r="I8" s="5">
        <v>35</v>
      </c>
      <c r="J8" s="38"/>
    </row>
    <row r="9" spans="1:10">
      <c r="A9" s="35" t="s">
        <v>326</v>
      </c>
      <c r="B9" s="35" t="s">
        <v>342</v>
      </c>
      <c r="C9" s="36">
        <v>36094</v>
      </c>
      <c r="D9" s="37">
        <v>4.1500000000000004</v>
      </c>
      <c r="E9" s="40"/>
      <c r="F9" s="26"/>
      <c r="G9" s="5" t="s">
        <v>343</v>
      </c>
      <c r="H9" s="5">
        <v>597</v>
      </c>
      <c r="I9" s="30">
        <v>40</v>
      </c>
      <c r="J9" s="38"/>
    </row>
    <row r="10" spans="1:10">
      <c r="A10" s="35" t="s">
        <v>329</v>
      </c>
      <c r="B10" s="35" t="s">
        <v>344</v>
      </c>
      <c r="C10" s="36">
        <v>36704</v>
      </c>
      <c r="D10" s="37">
        <v>3.52</v>
      </c>
      <c r="E10" s="41"/>
      <c r="F10" s="26"/>
      <c r="G10" s="5" t="s">
        <v>345</v>
      </c>
      <c r="H10" s="5">
        <v>605</v>
      </c>
      <c r="I10" s="30">
        <v>45</v>
      </c>
      <c r="J10" s="38"/>
    </row>
    <row r="11" spans="1:10">
      <c r="A11" s="259" t="s">
        <v>346</v>
      </c>
      <c r="B11" s="259"/>
      <c r="C11" s="259"/>
      <c r="D11" s="35"/>
      <c r="E11" s="26"/>
      <c r="F11" s="26"/>
      <c r="G11" s="5" t="s">
        <v>347</v>
      </c>
      <c r="H11" s="5">
        <v>535</v>
      </c>
      <c r="I11" s="30">
        <v>30</v>
      </c>
      <c r="J11" s="38"/>
    </row>
    <row r="12" spans="1:10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>
      <c r="A13" s="26" t="s">
        <v>112</v>
      </c>
      <c r="B13" s="27" t="s">
        <v>349</v>
      </c>
      <c r="C13" s="26"/>
      <c r="D13" s="26"/>
      <c r="E13" s="26"/>
      <c r="F13" s="26"/>
      <c r="G13" s="26" t="s">
        <v>114</v>
      </c>
      <c r="H13" s="27" t="s">
        <v>351</v>
      </c>
      <c r="I13" s="26"/>
      <c r="J13" s="26"/>
    </row>
    <row r="14" spans="1:10">
      <c r="A14" s="85" t="s">
        <v>352</v>
      </c>
      <c r="B14" s="85" t="s">
        <v>353</v>
      </c>
      <c r="C14" s="85" t="s">
        <v>354</v>
      </c>
      <c r="D14" s="85" t="s">
        <v>355</v>
      </c>
      <c r="E14" s="90" t="s">
        <v>356</v>
      </c>
      <c r="F14" s="26"/>
      <c r="G14" s="85" t="s">
        <v>357</v>
      </c>
      <c r="H14" s="85" t="s">
        <v>358</v>
      </c>
      <c r="I14" s="85" t="s">
        <v>359</v>
      </c>
      <c r="J14" s="90" t="s">
        <v>360</v>
      </c>
    </row>
    <row r="15" spans="1:10">
      <c r="A15" s="85" t="s">
        <v>58</v>
      </c>
      <c r="B15" s="85" t="s">
        <v>361</v>
      </c>
      <c r="C15" s="42">
        <v>35000</v>
      </c>
      <c r="D15" s="42">
        <v>150000</v>
      </c>
      <c r="E15" s="42"/>
      <c r="F15" s="26"/>
      <c r="G15" s="85">
        <v>14001</v>
      </c>
      <c r="H15" s="85">
        <v>94</v>
      </c>
      <c r="I15" s="85">
        <v>92</v>
      </c>
      <c r="J15" s="85"/>
    </row>
    <row r="16" spans="1:10">
      <c r="A16" s="85" t="s">
        <v>362</v>
      </c>
      <c r="B16" s="85" t="s">
        <v>363</v>
      </c>
      <c r="C16" s="42">
        <v>32000</v>
      </c>
      <c r="D16" s="42">
        <v>170000</v>
      </c>
      <c r="E16" s="42"/>
      <c r="F16" s="26"/>
      <c r="G16" s="85">
        <v>14002</v>
      </c>
      <c r="H16" s="85">
        <v>81</v>
      </c>
      <c r="I16" s="85">
        <v>76</v>
      </c>
      <c r="J16" s="85"/>
    </row>
    <row r="17" spans="1:10">
      <c r="A17" s="85" t="s">
        <v>364</v>
      </c>
      <c r="B17" s="85" t="s">
        <v>365</v>
      </c>
      <c r="C17" s="42">
        <v>39000</v>
      </c>
      <c r="D17" s="42">
        <v>120000</v>
      </c>
      <c r="E17" s="42"/>
      <c r="F17" s="26"/>
      <c r="G17" s="85">
        <v>14003</v>
      </c>
      <c r="H17" s="85">
        <v>82</v>
      </c>
      <c r="I17" s="85">
        <v>55</v>
      </c>
      <c r="J17" s="85"/>
    </row>
    <row r="18" spans="1:10">
      <c r="A18" s="85" t="s">
        <v>366</v>
      </c>
      <c r="B18" s="85" t="s">
        <v>367</v>
      </c>
      <c r="C18" s="42">
        <v>78000</v>
      </c>
      <c r="D18" s="42">
        <v>210000</v>
      </c>
      <c r="E18" s="42"/>
      <c r="F18" s="26"/>
      <c r="G18" s="85">
        <v>14004</v>
      </c>
      <c r="H18" s="85">
        <v>80</v>
      </c>
      <c r="I18" s="85">
        <v>86</v>
      </c>
      <c r="J18" s="85"/>
    </row>
    <row r="19" spans="1:10">
      <c r="A19" s="85" t="s">
        <v>368</v>
      </c>
      <c r="B19" s="85" t="s">
        <v>369</v>
      </c>
      <c r="C19" s="42">
        <v>72000</v>
      </c>
      <c r="D19" s="42">
        <v>110000</v>
      </c>
      <c r="E19" s="42"/>
      <c r="F19" s="26"/>
      <c r="G19" s="85">
        <v>14005</v>
      </c>
      <c r="H19" s="85">
        <v>75</v>
      </c>
      <c r="I19" s="85">
        <v>79</v>
      </c>
      <c r="J19" s="85"/>
    </row>
    <row r="20" spans="1:10">
      <c r="A20" s="85" t="s">
        <v>370</v>
      </c>
      <c r="B20" s="85" t="s">
        <v>371</v>
      </c>
      <c r="C20" s="42">
        <v>68000</v>
      </c>
      <c r="D20" s="42">
        <v>150000</v>
      </c>
      <c r="E20" s="42"/>
      <c r="F20" s="26"/>
      <c r="G20" s="85">
        <v>14006</v>
      </c>
      <c r="H20" s="85">
        <v>91</v>
      </c>
      <c r="I20" s="85">
        <v>88</v>
      </c>
      <c r="J20" s="85"/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0"/>
  <sheetViews>
    <sheetView workbookViewId="0"/>
  </sheetViews>
  <sheetFormatPr defaultRowHeight="17"/>
  <cols>
    <col min="1" max="1" width="11" bestFit="1" customWidth="1"/>
    <col min="3" max="3" width="11.08203125" bestFit="1" customWidth="1"/>
    <col min="5" max="5" width="11" bestFit="1" customWidth="1"/>
    <col min="6" max="6" width="1.58203125" customWidth="1"/>
    <col min="9" max="9" width="11" bestFit="1" customWidth="1"/>
    <col min="10" max="10" width="12.33203125" bestFit="1" customWidth="1"/>
  </cols>
  <sheetData>
    <row r="1" spans="1:10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317</v>
      </c>
      <c r="I1" s="26"/>
      <c r="J1" s="26"/>
    </row>
    <row r="2" spans="1:10">
      <c r="A2" s="35" t="s">
        <v>318</v>
      </c>
      <c r="B2" s="35" t="s">
        <v>319</v>
      </c>
      <c r="C2" s="35" t="s">
        <v>320</v>
      </c>
      <c r="D2" s="35" t="s">
        <v>321</v>
      </c>
      <c r="E2" s="26"/>
      <c r="F2" s="26"/>
      <c r="G2" s="5" t="s">
        <v>322</v>
      </c>
      <c r="H2" s="5" t="s">
        <v>323</v>
      </c>
      <c r="I2" s="5" t="s">
        <v>324</v>
      </c>
      <c r="J2" s="89" t="s">
        <v>325</v>
      </c>
    </row>
    <row r="3" spans="1:10">
      <c r="A3" s="35" t="s">
        <v>326</v>
      </c>
      <c r="B3" s="35" t="s">
        <v>327</v>
      </c>
      <c r="C3" s="36">
        <v>36819</v>
      </c>
      <c r="D3" s="37">
        <v>3.45</v>
      </c>
      <c r="E3" s="26"/>
      <c r="F3" s="26"/>
      <c r="G3" s="5" t="s">
        <v>328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>
      <c r="A4" s="35" t="s">
        <v>329</v>
      </c>
      <c r="B4" s="35" t="s">
        <v>330</v>
      </c>
      <c r="C4" s="36">
        <v>36221</v>
      </c>
      <c r="D4" s="37">
        <v>4.0199999999999996</v>
      </c>
      <c r="E4" s="26"/>
      <c r="F4" s="26"/>
      <c r="G4" s="5" t="s">
        <v>331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>
      <c r="A5" s="35" t="s">
        <v>329</v>
      </c>
      <c r="B5" s="35" t="s">
        <v>332</v>
      </c>
      <c r="C5" s="36">
        <v>36029</v>
      </c>
      <c r="D5" s="37">
        <v>3.67</v>
      </c>
      <c r="E5" s="26"/>
      <c r="F5" s="26"/>
      <c r="G5" s="5" t="s">
        <v>333</v>
      </c>
      <c r="H5" s="5">
        <v>346</v>
      </c>
      <c r="I5" s="30">
        <v>30</v>
      </c>
      <c r="J5" s="38" t="str">
        <f t="shared" si="0"/>
        <v>11(16)</v>
      </c>
    </row>
    <row r="6" spans="1:10">
      <c r="A6" s="35" t="s">
        <v>326</v>
      </c>
      <c r="B6" s="35" t="s">
        <v>334</v>
      </c>
      <c r="C6" s="36">
        <v>36548</v>
      </c>
      <c r="D6" s="37">
        <v>3.89</v>
      </c>
      <c r="E6" s="26"/>
      <c r="F6" s="26"/>
      <c r="G6" s="5" t="s">
        <v>335</v>
      </c>
      <c r="H6" s="5">
        <v>618</v>
      </c>
      <c r="I6" s="30">
        <v>50</v>
      </c>
      <c r="J6" s="38" t="str">
        <f t="shared" si="0"/>
        <v>12(18)</v>
      </c>
    </row>
    <row r="7" spans="1:10">
      <c r="A7" s="35" t="s">
        <v>336</v>
      </c>
      <c r="B7" s="35" t="s">
        <v>337</v>
      </c>
      <c r="C7" s="36">
        <v>37023</v>
      </c>
      <c r="D7" s="37">
        <v>3.12</v>
      </c>
      <c r="E7" s="26"/>
      <c r="F7" s="26"/>
      <c r="G7" s="5" t="s">
        <v>338</v>
      </c>
      <c r="H7" s="5">
        <v>485</v>
      </c>
      <c r="I7" s="5">
        <v>35</v>
      </c>
      <c r="J7" s="38" t="str">
        <f t="shared" si="0"/>
        <v>13(30)</v>
      </c>
    </row>
    <row r="8" spans="1:10">
      <c r="A8" s="35" t="s">
        <v>336</v>
      </c>
      <c r="B8" s="35" t="s">
        <v>339</v>
      </c>
      <c r="C8" s="36">
        <v>36346</v>
      </c>
      <c r="D8" s="37">
        <v>3.91</v>
      </c>
      <c r="E8" s="39" t="s">
        <v>340</v>
      </c>
      <c r="F8" s="26"/>
      <c r="G8" s="5" t="s">
        <v>341</v>
      </c>
      <c r="H8" s="5">
        <v>507</v>
      </c>
      <c r="I8" s="5">
        <v>35</v>
      </c>
      <c r="J8" s="38" t="str">
        <f t="shared" si="0"/>
        <v>14(17)</v>
      </c>
    </row>
    <row r="9" spans="1:10">
      <c r="A9" s="35" t="s">
        <v>326</v>
      </c>
      <c r="B9" s="35" t="s">
        <v>342</v>
      </c>
      <c r="C9" s="36">
        <v>36094</v>
      </c>
      <c r="D9" s="37">
        <v>4.1500000000000004</v>
      </c>
      <c r="E9" s="35" t="s">
        <v>318</v>
      </c>
      <c r="F9" s="26"/>
      <c r="G9" s="5" t="s">
        <v>343</v>
      </c>
      <c r="H9" s="5">
        <v>597</v>
      </c>
      <c r="I9" s="30">
        <v>40</v>
      </c>
      <c r="J9" s="38" t="str">
        <f t="shared" si="0"/>
        <v>14(37)</v>
      </c>
    </row>
    <row r="10" spans="1:10">
      <c r="A10" s="35" t="s">
        <v>329</v>
      </c>
      <c r="B10" s="35" t="s">
        <v>344</v>
      </c>
      <c r="C10" s="36">
        <v>36704</v>
      </c>
      <c r="D10" s="37">
        <v>3.52</v>
      </c>
      <c r="E10" s="35" t="s">
        <v>336</v>
      </c>
      <c r="F10" s="26"/>
      <c r="G10" s="5" t="s">
        <v>345</v>
      </c>
      <c r="H10" s="5">
        <v>605</v>
      </c>
      <c r="I10" s="30">
        <v>45</v>
      </c>
      <c r="J10" s="38" t="str">
        <f t="shared" si="0"/>
        <v>13(20)</v>
      </c>
    </row>
    <row r="11" spans="1:10">
      <c r="A11" s="259" t="s">
        <v>346</v>
      </c>
      <c r="B11" s="259"/>
      <c r="C11" s="259"/>
      <c r="D11" s="35">
        <f>ROUND(DAVERAGE(A2:D10,D2,E9:E10),2)</f>
        <v>3.52</v>
      </c>
      <c r="E11" s="26"/>
      <c r="F11" s="26"/>
      <c r="G11" s="5" t="s">
        <v>347</v>
      </c>
      <c r="H11" s="5">
        <v>535</v>
      </c>
      <c r="I11" s="30">
        <v>30</v>
      </c>
      <c r="J11" s="38" t="str">
        <f t="shared" si="0"/>
        <v>17(25)</v>
      </c>
    </row>
    <row r="12" spans="1:10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>
      <c r="A13" s="26" t="s">
        <v>348</v>
      </c>
      <c r="B13" s="27" t="s">
        <v>349</v>
      </c>
      <c r="C13" s="26"/>
      <c r="D13" s="26"/>
      <c r="E13" s="26"/>
      <c r="F13" s="26"/>
      <c r="G13" s="26" t="s">
        <v>350</v>
      </c>
      <c r="H13" s="27" t="s">
        <v>351</v>
      </c>
      <c r="I13" s="26"/>
      <c r="J13" s="26"/>
    </row>
    <row r="14" spans="1:10">
      <c r="A14" s="2" t="s">
        <v>352</v>
      </c>
      <c r="B14" s="2" t="s">
        <v>353</v>
      </c>
      <c r="C14" s="2" t="s">
        <v>354</v>
      </c>
      <c r="D14" s="2" t="s">
        <v>355</v>
      </c>
      <c r="E14" s="89" t="s">
        <v>356</v>
      </c>
      <c r="F14" s="26"/>
      <c r="G14" s="2" t="s">
        <v>357</v>
      </c>
      <c r="H14" s="2" t="s">
        <v>358</v>
      </c>
      <c r="I14" s="2" t="s">
        <v>359</v>
      </c>
      <c r="J14" s="89" t="s">
        <v>360</v>
      </c>
    </row>
    <row r="15" spans="1:10">
      <c r="A15" s="2" t="s">
        <v>58</v>
      </c>
      <c r="B15" s="2" t="s">
        <v>361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>
      <c r="A16" s="2" t="s">
        <v>362</v>
      </c>
      <c r="B16" s="2" t="s">
        <v>363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5">
        <f t="shared" ref="J16:J20" si="2">ABS(H16-I16)</f>
        <v>5</v>
      </c>
    </row>
    <row r="17" spans="1:10">
      <c r="A17" s="2" t="s">
        <v>364</v>
      </c>
      <c r="B17" s="2" t="s">
        <v>365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5">
        <f t="shared" si="2"/>
        <v>27</v>
      </c>
    </row>
    <row r="18" spans="1:10">
      <c r="A18" s="2" t="s">
        <v>366</v>
      </c>
      <c r="B18" s="2" t="s">
        <v>367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5">
        <f t="shared" si="2"/>
        <v>6</v>
      </c>
    </row>
    <row r="19" spans="1:10">
      <c r="A19" s="2" t="s">
        <v>368</v>
      </c>
      <c r="B19" s="2" t="s">
        <v>369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5">
        <f t="shared" si="2"/>
        <v>4</v>
      </c>
    </row>
    <row r="20" spans="1:10">
      <c r="A20" s="2" t="s">
        <v>370</v>
      </c>
      <c r="B20" s="2" t="s">
        <v>371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5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38"/>
  <sheetViews>
    <sheetView workbookViewId="0"/>
  </sheetViews>
  <sheetFormatPr defaultRowHeight="17"/>
  <cols>
    <col min="4" max="5" width="10.83203125" bestFit="1" customWidth="1"/>
    <col min="8" max="8" width="16.75" bestFit="1" customWidth="1"/>
    <col min="10" max="10" width="11.5" customWidth="1"/>
    <col min="11" max="11" width="10.58203125" customWidth="1"/>
  </cols>
  <sheetData>
    <row r="1" spans="1:11">
      <c r="A1" s="26" t="s">
        <v>65</v>
      </c>
      <c r="B1" s="27" t="s">
        <v>372</v>
      </c>
      <c r="C1" s="26"/>
      <c r="D1" s="26"/>
      <c r="E1" s="26"/>
      <c r="F1" s="26"/>
      <c r="G1" s="26" t="s">
        <v>67</v>
      </c>
      <c r="H1" s="27" t="s">
        <v>373</v>
      </c>
      <c r="I1" s="34"/>
      <c r="J1" s="43"/>
      <c r="K1" s="26"/>
    </row>
    <row r="2" spans="1:11">
      <c r="A2" s="85" t="s">
        <v>177</v>
      </c>
      <c r="B2" s="85" t="s">
        <v>116</v>
      </c>
      <c r="C2" s="85" t="s">
        <v>219</v>
      </c>
      <c r="D2" s="26"/>
      <c r="E2" s="26"/>
      <c r="F2" s="26"/>
      <c r="G2" s="35" t="s">
        <v>377</v>
      </c>
      <c r="H2" s="35" t="s">
        <v>378</v>
      </c>
      <c r="I2" s="35" t="s">
        <v>379</v>
      </c>
      <c r="J2" s="35" t="s">
        <v>380</v>
      </c>
      <c r="K2" s="26"/>
    </row>
    <row r="3" spans="1:11">
      <c r="A3" s="85" t="s">
        <v>381</v>
      </c>
      <c r="B3" s="85" t="s">
        <v>382</v>
      </c>
      <c r="C3" s="85" t="s">
        <v>383</v>
      </c>
      <c r="D3" s="26"/>
      <c r="E3" s="26"/>
      <c r="F3" s="26"/>
      <c r="G3" s="35" t="s">
        <v>327</v>
      </c>
      <c r="H3" s="28">
        <v>75</v>
      </c>
      <c r="I3" s="28">
        <v>85</v>
      </c>
      <c r="J3" s="28">
        <v>98</v>
      </c>
      <c r="K3" s="26"/>
    </row>
    <row r="4" spans="1:11">
      <c r="A4" s="85" t="s">
        <v>385</v>
      </c>
      <c r="B4" s="85" t="s">
        <v>382</v>
      </c>
      <c r="C4" s="85" t="s">
        <v>239</v>
      </c>
      <c r="D4" s="26"/>
      <c r="E4" s="26"/>
      <c r="F4" s="26"/>
      <c r="G4" s="35" t="s">
        <v>330</v>
      </c>
      <c r="H4" s="28">
        <v>68</v>
      </c>
      <c r="I4" s="28">
        <v>86</v>
      </c>
      <c r="J4" s="28">
        <v>88</v>
      </c>
      <c r="K4" s="26"/>
    </row>
    <row r="5" spans="1:11">
      <c r="A5" s="85" t="s">
        <v>389</v>
      </c>
      <c r="B5" s="85" t="s">
        <v>382</v>
      </c>
      <c r="C5" s="85" t="s">
        <v>248</v>
      </c>
      <c r="D5" s="26"/>
      <c r="E5" s="26"/>
      <c r="F5" s="26"/>
      <c r="G5" s="35" t="s">
        <v>332</v>
      </c>
      <c r="H5" s="28">
        <v>78</v>
      </c>
      <c r="I5" s="28">
        <v>80</v>
      </c>
      <c r="J5" s="28">
        <v>90</v>
      </c>
      <c r="K5" s="26"/>
    </row>
    <row r="6" spans="1:11">
      <c r="A6" s="85" t="s">
        <v>391</v>
      </c>
      <c r="B6" s="85" t="s">
        <v>392</v>
      </c>
      <c r="C6" s="85" t="s">
        <v>383</v>
      </c>
      <c r="D6" s="26"/>
      <c r="E6" s="26"/>
      <c r="F6" s="26"/>
      <c r="G6" s="35" t="s">
        <v>334</v>
      </c>
      <c r="H6" s="28">
        <v>63</v>
      </c>
      <c r="I6" s="28">
        <v>79</v>
      </c>
      <c r="J6" s="28">
        <v>99</v>
      </c>
      <c r="K6" s="26"/>
    </row>
    <row r="7" spans="1:11">
      <c r="A7" s="85" t="s">
        <v>394</v>
      </c>
      <c r="B7" s="85" t="s">
        <v>392</v>
      </c>
      <c r="C7" s="85" t="s">
        <v>239</v>
      </c>
      <c r="D7" s="26"/>
      <c r="E7" s="26"/>
      <c r="F7" s="26"/>
      <c r="G7" s="35" t="s">
        <v>337</v>
      </c>
      <c r="H7" s="28">
        <v>83</v>
      </c>
      <c r="I7" s="28">
        <v>85</v>
      </c>
      <c r="J7" s="28">
        <v>97</v>
      </c>
      <c r="K7" s="26"/>
    </row>
    <row r="8" spans="1:11">
      <c r="A8" s="85" t="s">
        <v>398</v>
      </c>
      <c r="B8" s="85" t="s">
        <v>392</v>
      </c>
      <c r="C8" s="85" t="s">
        <v>248</v>
      </c>
      <c r="D8" s="26"/>
      <c r="E8" s="26"/>
      <c r="F8" s="26"/>
      <c r="G8" s="35" t="s">
        <v>339</v>
      </c>
      <c r="H8" s="28">
        <v>65</v>
      </c>
      <c r="I8" s="28">
        <v>77</v>
      </c>
      <c r="J8" s="28">
        <v>98</v>
      </c>
      <c r="K8" s="26"/>
    </row>
    <row r="9" spans="1:11">
      <c r="A9" s="85" t="s">
        <v>401</v>
      </c>
      <c r="B9" s="85" t="s">
        <v>402</v>
      </c>
      <c r="C9" s="85" t="s">
        <v>228</v>
      </c>
      <c r="D9" s="26"/>
      <c r="E9" s="26"/>
      <c r="F9" s="26"/>
      <c r="G9" s="35" t="s">
        <v>342</v>
      </c>
      <c r="H9" s="28">
        <v>105</v>
      </c>
      <c r="I9" s="28">
        <v>99</v>
      </c>
      <c r="J9" s="28">
        <v>89</v>
      </c>
      <c r="K9" s="26"/>
    </row>
    <row r="10" spans="1:11">
      <c r="A10" s="85" t="s">
        <v>405</v>
      </c>
      <c r="B10" s="85" t="s">
        <v>402</v>
      </c>
      <c r="C10" s="85" t="s">
        <v>239</v>
      </c>
      <c r="D10" s="259" t="s">
        <v>407</v>
      </c>
      <c r="E10" s="259"/>
      <c r="F10" s="26"/>
      <c r="G10" s="26"/>
      <c r="H10" s="26"/>
      <c r="I10" s="26"/>
      <c r="J10" s="26"/>
      <c r="K10" s="26"/>
    </row>
    <row r="11" spans="1:11">
      <c r="A11" s="85" t="s">
        <v>408</v>
      </c>
      <c r="B11" s="85" t="s">
        <v>402</v>
      </c>
      <c r="C11" s="85" t="s">
        <v>248</v>
      </c>
      <c r="D11" s="250"/>
      <c r="E11" s="250"/>
      <c r="F11" s="26"/>
      <c r="G11" s="256" t="s">
        <v>411</v>
      </c>
      <c r="H11" s="257"/>
      <c r="I11" s="257"/>
      <c r="J11" s="44"/>
      <c r="K11" s="26"/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112</v>
      </c>
      <c r="B13" s="27" t="s">
        <v>412</v>
      </c>
      <c r="C13" s="45"/>
      <c r="D13" s="45"/>
      <c r="E13" s="45"/>
      <c r="F13" s="26"/>
      <c r="G13" s="26" t="s">
        <v>114</v>
      </c>
      <c r="H13" s="27" t="s">
        <v>413</v>
      </c>
      <c r="I13" s="26"/>
      <c r="J13" s="26"/>
      <c r="K13" s="26"/>
    </row>
    <row r="14" spans="1:11">
      <c r="A14" s="85" t="s">
        <v>414</v>
      </c>
      <c r="B14" s="85" t="s">
        <v>415</v>
      </c>
      <c r="C14" s="85" t="s">
        <v>416</v>
      </c>
      <c r="D14" s="85" t="s">
        <v>221</v>
      </c>
      <c r="E14" s="46" t="s">
        <v>418</v>
      </c>
      <c r="F14" s="26"/>
      <c r="G14" s="85" t="s">
        <v>419</v>
      </c>
      <c r="H14" s="85" t="s">
        <v>420</v>
      </c>
      <c r="I14" s="85" t="s">
        <v>421</v>
      </c>
      <c r="J14" s="85" t="s">
        <v>422</v>
      </c>
      <c r="K14" s="85" t="s">
        <v>423</v>
      </c>
    </row>
    <row r="15" spans="1:11">
      <c r="A15" s="85" t="s">
        <v>424</v>
      </c>
      <c r="B15" s="85" t="s">
        <v>425</v>
      </c>
      <c r="C15" s="85" t="s">
        <v>426</v>
      </c>
      <c r="D15" s="87">
        <v>3560000</v>
      </c>
      <c r="E15" s="28">
        <v>2812000</v>
      </c>
      <c r="F15" s="26"/>
      <c r="G15" s="85" t="s">
        <v>427</v>
      </c>
      <c r="H15" s="85">
        <v>165</v>
      </c>
      <c r="I15" s="85">
        <v>45</v>
      </c>
      <c r="J15" s="85">
        <v>9</v>
      </c>
      <c r="K15" s="85">
        <v>120</v>
      </c>
    </row>
    <row r="16" spans="1:11">
      <c r="A16" s="85" t="s">
        <v>428</v>
      </c>
      <c r="B16" s="85" t="s">
        <v>429</v>
      </c>
      <c r="C16" s="85" t="s">
        <v>430</v>
      </c>
      <c r="D16" s="87">
        <v>3256000</v>
      </c>
      <c r="E16" s="28">
        <v>2126000</v>
      </c>
      <c r="F16" s="26"/>
      <c r="G16" s="85" t="s">
        <v>431</v>
      </c>
      <c r="H16" s="85">
        <v>148</v>
      </c>
      <c r="I16" s="85">
        <v>12</v>
      </c>
      <c r="J16" s="85">
        <v>35</v>
      </c>
      <c r="K16" s="85">
        <v>94</v>
      </c>
    </row>
    <row r="17" spans="1:11">
      <c r="A17" s="85" t="s">
        <v>432</v>
      </c>
      <c r="B17" s="85" t="s">
        <v>433</v>
      </c>
      <c r="C17" s="85" t="s">
        <v>434</v>
      </c>
      <c r="D17" s="87">
        <v>2560000</v>
      </c>
      <c r="E17" s="28">
        <v>1582000</v>
      </c>
      <c r="F17" s="26"/>
      <c r="G17" s="85" t="s">
        <v>435</v>
      </c>
      <c r="H17" s="85">
        <v>117</v>
      </c>
      <c r="I17" s="85">
        <v>48</v>
      </c>
      <c r="J17" s="85">
        <v>12</v>
      </c>
      <c r="K17" s="85">
        <v>106</v>
      </c>
    </row>
    <row r="18" spans="1:11">
      <c r="A18" s="85" t="s">
        <v>436</v>
      </c>
      <c r="B18" s="85" t="s">
        <v>429</v>
      </c>
      <c r="C18" s="85" t="s">
        <v>437</v>
      </c>
      <c r="D18" s="87">
        <v>3075000</v>
      </c>
      <c r="E18" s="28">
        <v>1868000</v>
      </c>
      <c r="F18" s="26"/>
      <c r="G18" s="85" t="s">
        <v>438</v>
      </c>
      <c r="H18" s="85">
        <v>135</v>
      </c>
      <c r="I18" s="85">
        <v>19</v>
      </c>
      <c r="J18" s="85">
        <v>42</v>
      </c>
      <c r="K18" s="85">
        <v>97</v>
      </c>
    </row>
    <row r="19" spans="1:11">
      <c r="A19" s="85" t="s">
        <v>439</v>
      </c>
      <c r="B19" s="85" t="s">
        <v>429</v>
      </c>
      <c r="C19" s="85" t="s">
        <v>440</v>
      </c>
      <c r="D19" s="87">
        <v>2856000</v>
      </c>
      <c r="E19" s="28">
        <v>1540000</v>
      </c>
      <c r="F19" s="26"/>
      <c r="G19" s="85" t="s">
        <v>441</v>
      </c>
      <c r="H19" s="85">
        <v>142</v>
      </c>
      <c r="I19" s="85">
        <v>51</v>
      </c>
      <c r="J19" s="85">
        <v>11</v>
      </c>
      <c r="K19" s="85">
        <v>114</v>
      </c>
    </row>
    <row r="20" spans="1:11">
      <c r="A20" s="85" t="s">
        <v>442</v>
      </c>
      <c r="B20" s="85" t="s">
        <v>425</v>
      </c>
      <c r="C20" s="85" t="s">
        <v>434</v>
      </c>
      <c r="D20" s="87">
        <v>2473000</v>
      </c>
      <c r="E20" s="28">
        <v>1495000</v>
      </c>
      <c r="F20" s="26"/>
      <c r="G20" s="85" t="s">
        <v>443</v>
      </c>
      <c r="H20" s="85">
        <v>135</v>
      </c>
      <c r="I20" s="85">
        <v>49</v>
      </c>
      <c r="J20" s="85">
        <v>16</v>
      </c>
      <c r="K20" s="85">
        <v>108</v>
      </c>
    </row>
    <row r="21" spans="1:11">
      <c r="A21" s="85" t="s">
        <v>444</v>
      </c>
      <c r="B21" s="85" t="s">
        <v>433</v>
      </c>
      <c r="C21" s="85" t="s">
        <v>434</v>
      </c>
      <c r="D21" s="87">
        <v>2372000</v>
      </c>
      <c r="E21" s="28">
        <v>1453000</v>
      </c>
      <c r="F21" s="26"/>
      <c r="G21" s="85" t="s">
        <v>445</v>
      </c>
      <c r="H21" s="85">
        <v>145</v>
      </c>
      <c r="I21" s="85">
        <v>29</v>
      </c>
      <c r="J21" s="85">
        <v>21</v>
      </c>
      <c r="K21" s="85">
        <v>84</v>
      </c>
    </row>
    <row r="22" spans="1:11">
      <c r="A22" s="85" t="s">
        <v>446</v>
      </c>
      <c r="B22" s="85" t="s">
        <v>425</v>
      </c>
      <c r="C22" s="85" t="s">
        <v>440</v>
      </c>
      <c r="D22" s="87">
        <v>2903000</v>
      </c>
      <c r="E22" s="28">
        <v>1500000</v>
      </c>
      <c r="F22" s="26"/>
      <c r="G22" s="85" t="s">
        <v>447</v>
      </c>
      <c r="H22" s="85">
        <v>135</v>
      </c>
      <c r="I22" s="85">
        <v>22</v>
      </c>
      <c r="J22" s="85">
        <v>10</v>
      </c>
      <c r="K22" s="85">
        <v>106</v>
      </c>
    </row>
    <row r="23" spans="1:11">
      <c r="A23" s="45"/>
      <c r="B23" s="45"/>
      <c r="C23" s="45"/>
      <c r="D23" s="45"/>
      <c r="E23" s="45"/>
      <c r="F23" s="26"/>
      <c r="G23" s="85" t="s">
        <v>448</v>
      </c>
      <c r="H23" s="85">
        <v>185</v>
      </c>
      <c r="I23" s="85">
        <v>16</v>
      </c>
      <c r="J23" s="85">
        <v>24</v>
      </c>
      <c r="K23" s="85">
        <v>113</v>
      </c>
    </row>
    <row r="24" spans="1:11">
      <c r="A24" s="264" t="s">
        <v>449</v>
      </c>
      <c r="B24" s="265"/>
      <c r="C24" s="265"/>
      <c r="D24" s="266"/>
      <c r="E24" s="270"/>
      <c r="F24" s="26"/>
      <c r="G24" s="256" t="s">
        <v>450</v>
      </c>
      <c r="H24" s="257"/>
      <c r="I24" s="257"/>
      <c r="J24" s="258"/>
      <c r="K24" s="85"/>
    </row>
    <row r="25" spans="1:11">
      <c r="A25" s="267"/>
      <c r="B25" s="268"/>
      <c r="C25" s="268"/>
      <c r="D25" s="269"/>
      <c r="E25" s="270"/>
      <c r="F25" s="26"/>
      <c r="G25" s="26"/>
      <c r="H25" s="26"/>
      <c r="I25" s="26"/>
      <c r="J25" s="26"/>
      <c r="K25" s="26"/>
    </row>
    <row r="26" spans="1:1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>
      <c r="A27" s="26" t="s">
        <v>169</v>
      </c>
      <c r="B27" s="27" t="s">
        <v>452</v>
      </c>
      <c r="C27" s="26"/>
      <c r="D27" s="26"/>
      <c r="E27" s="26"/>
      <c r="F27" s="26"/>
      <c r="G27" s="47" t="s">
        <v>171</v>
      </c>
      <c r="H27" s="48" t="s">
        <v>454</v>
      </c>
      <c r="I27" s="48"/>
      <c r="J27" s="47"/>
      <c r="K27" s="26"/>
    </row>
    <row r="28" spans="1:11">
      <c r="A28" s="85" t="s">
        <v>455</v>
      </c>
      <c r="B28" s="85" t="s">
        <v>456</v>
      </c>
      <c r="C28" s="85" t="s">
        <v>457</v>
      </c>
      <c r="D28" s="85" t="s">
        <v>458</v>
      </c>
      <c r="E28" s="262" t="s">
        <v>459</v>
      </c>
      <c r="F28" s="26"/>
      <c r="G28" s="5" t="s">
        <v>177</v>
      </c>
      <c r="H28" s="5" t="s">
        <v>174</v>
      </c>
      <c r="I28" s="5" t="s">
        <v>461</v>
      </c>
      <c r="J28" s="91" t="s">
        <v>462</v>
      </c>
      <c r="K28" s="26"/>
    </row>
    <row r="29" spans="1:11">
      <c r="A29" s="85" t="s">
        <v>463</v>
      </c>
      <c r="B29" s="85">
        <v>5535</v>
      </c>
      <c r="C29" s="85">
        <v>6021</v>
      </c>
      <c r="D29" s="85">
        <v>4831</v>
      </c>
      <c r="E29" s="263"/>
      <c r="F29" s="26"/>
      <c r="G29" s="5" t="s">
        <v>464</v>
      </c>
      <c r="H29" s="5" t="s">
        <v>188</v>
      </c>
      <c r="I29" s="5">
        <v>87</v>
      </c>
      <c r="J29" s="5"/>
      <c r="K29" s="26"/>
    </row>
    <row r="30" spans="1:11">
      <c r="A30" s="85" t="s">
        <v>466</v>
      </c>
      <c r="B30" s="85">
        <v>5468</v>
      </c>
      <c r="C30" s="85">
        <v>6871</v>
      </c>
      <c r="D30" s="85">
        <v>5001</v>
      </c>
      <c r="E30" s="44"/>
      <c r="F30" s="26"/>
      <c r="G30" s="5" t="s">
        <v>467</v>
      </c>
      <c r="H30" s="5" t="s">
        <v>183</v>
      </c>
      <c r="I30" s="5">
        <v>95</v>
      </c>
      <c r="J30" s="47"/>
      <c r="K30" s="26"/>
    </row>
    <row r="31" spans="1:11">
      <c r="A31" s="85" t="s">
        <v>469</v>
      </c>
      <c r="B31" s="85">
        <v>5724</v>
      </c>
      <c r="C31" s="85">
        <v>6278</v>
      </c>
      <c r="D31" s="85">
        <v>4835</v>
      </c>
      <c r="E31" s="26"/>
      <c r="F31" s="26"/>
      <c r="G31" s="5" t="s">
        <v>470</v>
      </c>
      <c r="H31" s="5" t="s">
        <v>183</v>
      </c>
      <c r="I31" s="5">
        <v>87</v>
      </c>
      <c r="J31" s="47"/>
      <c r="K31" s="26"/>
    </row>
    <row r="32" spans="1:11">
      <c r="A32" s="85" t="s">
        <v>471</v>
      </c>
      <c r="B32" s="85">
        <v>5689</v>
      </c>
      <c r="C32" s="85">
        <v>6389</v>
      </c>
      <c r="D32" s="85">
        <v>4297</v>
      </c>
      <c r="E32" s="26"/>
      <c r="F32" s="26"/>
      <c r="G32" s="5" t="s">
        <v>472</v>
      </c>
      <c r="H32" s="5" t="s">
        <v>188</v>
      </c>
      <c r="I32" s="5">
        <v>99</v>
      </c>
      <c r="J32" s="47"/>
      <c r="K32" s="26"/>
    </row>
    <row r="33" spans="1:11">
      <c r="A33" s="85" t="s">
        <v>473</v>
      </c>
      <c r="B33" s="85">
        <v>5179</v>
      </c>
      <c r="C33" s="85">
        <v>6172</v>
      </c>
      <c r="D33" s="85">
        <v>5017</v>
      </c>
      <c r="E33" s="26"/>
      <c r="F33" s="26"/>
      <c r="G33" s="5" t="s">
        <v>474</v>
      </c>
      <c r="H33" s="5" t="s">
        <v>183</v>
      </c>
      <c r="I33" s="5">
        <v>84</v>
      </c>
      <c r="J33" s="47"/>
      <c r="K33" s="26"/>
    </row>
    <row r="34" spans="1:11">
      <c r="A34" s="85" t="s">
        <v>476</v>
      </c>
      <c r="B34" s="85">
        <v>5348</v>
      </c>
      <c r="C34" s="85">
        <v>6008</v>
      </c>
      <c r="D34" s="85">
        <v>4983</v>
      </c>
      <c r="E34" s="26"/>
      <c r="F34" s="26"/>
      <c r="G34" s="5" t="s">
        <v>477</v>
      </c>
      <c r="H34" s="5" t="s">
        <v>188</v>
      </c>
      <c r="I34" s="5">
        <v>95</v>
      </c>
      <c r="J34" s="47"/>
      <c r="K34" s="26"/>
    </row>
    <row r="35" spans="1:11">
      <c r="A35" s="85" t="s">
        <v>478</v>
      </c>
      <c r="B35" s="85">
        <v>5493</v>
      </c>
      <c r="C35" s="85">
        <v>6217</v>
      </c>
      <c r="D35" s="85">
        <v>4998</v>
      </c>
      <c r="E35" s="26"/>
      <c r="F35" s="26"/>
      <c r="G35" s="5" t="s">
        <v>479</v>
      </c>
      <c r="H35" s="5" t="s">
        <v>183</v>
      </c>
      <c r="I35" s="5">
        <v>68</v>
      </c>
      <c r="J35" s="47"/>
      <c r="K35" s="26"/>
    </row>
    <row r="36" spans="1:11">
      <c r="A36" s="85" t="s">
        <v>481</v>
      </c>
      <c r="B36" s="85">
        <v>5157</v>
      </c>
      <c r="C36" s="85">
        <v>6397</v>
      </c>
      <c r="D36" s="85">
        <v>4328</v>
      </c>
      <c r="E36" s="26"/>
      <c r="F36" s="26"/>
      <c r="G36" s="5" t="s">
        <v>344</v>
      </c>
      <c r="H36" s="5" t="s">
        <v>188</v>
      </c>
      <c r="I36" s="5">
        <v>78</v>
      </c>
      <c r="J36" s="47"/>
      <c r="K36" s="26"/>
    </row>
    <row r="37" spans="1:11">
      <c r="A37" s="85" t="s">
        <v>483</v>
      </c>
      <c r="B37" s="85">
        <v>5537</v>
      </c>
      <c r="C37" s="85">
        <v>6284</v>
      </c>
      <c r="D37" s="85">
        <v>4682</v>
      </c>
      <c r="E37" s="26"/>
      <c r="F37" s="26"/>
      <c r="G37" s="5" t="s">
        <v>484</v>
      </c>
      <c r="H37" s="5" t="s">
        <v>188</v>
      </c>
      <c r="I37" s="5">
        <v>82</v>
      </c>
      <c r="J37" s="47"/>
      <c r="K37" s="26"/>
    </row>
    <row r="38" spans="1:11">
      <c r="A38" s="85" t="s">
        <v>485</v>
      </c>
      <c r="B38" s="85">
        <v>5399</v>
      </c>
      <c r="C38" s="85">
        <v>6316</v>
      </c>
      <c r="D38" s="85">
        <v>4179</v>
      </c>
      <c r="E38" s="26"/>
      <c r="F38" s="26"/>
      <c r="G38" s="5" t="s">
        <v>486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8"/>
  <sheetViews>
    <sheetView workbookViewId="0"/>
  </sheetViews>
  <sheetFormatPr defaultRowHeight="17"/>
  <cols>
    <col min="4" max="5" width="10.83203125" bestFit="1" customWidth="1"/>
    <col min="8" max="8" width="16.75" bestFit="1" customWidth="1"/>
    <col min="10" max="10" width="11.5" customWidth="1"/>
    <col min="11" max="11" width="10.58203125" customWidth="1"/>
  </cols>
  <sheetData>
    <row r="1" spans="1:11">
      <c r="A1" s="26" t="s">
        <v>214</v>
      </c>
      <c r="B1" s="27" t="s">
        <v>372</v>
      </c>
      <c r="C1" s="26"/>
      <c r="D1" s="26"/>
      <c r="E1" s="26"/>
      <c r="F1" s="26"/>
      <c r="G1" s="26" t="s">
        <v>67</v>
      </c>
      <c r="H1" s="27" t="s">
        <v>373</v>
      </c>
      <c r="I1" s="34"/>
      <c r="J1" s="43"/>
      <c r="K1" s="26"/>
    </row>
    <row r="2" spans="1:11">
      <c r="A2" s="2" t="s">
        <v>374</v>
      </c>
      <c r="B2" s="2" t="s">
        <v>375</v>
      </c>
      <c r="C2" s="2" t="s">
        <v>376</v>
      </c>
      <c r="D2" s="26"/>
      <c r="E2" s="26"/>
      <c r="F2" s="26"/>
      <c r="G2" s="35" t="s">
        <v>377</v>
      </c>
      <c r="H2" s="35" t="s">
        <v>378</v>
      </c>
      <c r="I2" s="35" t="s">
        <v>379</v>
      </c>
      <c r="J2" s="35" t="s">
        <v>380</v>
      </c>
      <c r="K2" s="26"/>
    </row>
    <row r="3" spans="1:11">
      <c r="A3" s="2" t="s">
        <v>381</v>
      </c>
      <c r="B3" s="2" t="s">
        <v>382</v>
      </c>
      <c r="C3" s="2" t="s">
        <v>383</v>
      </c>
      <c r="D3" s="26"/>
      <c r="E3" s="26"/>
      <c r="F3" s="26"/>
      <c r="G3" s="35" t="s">
        <v>384</v>
      </c>
      <c r="H3" s="28">
        <v>75</v>
      </c>
      <c r="I3" s="28">
        <v>85</v>
      </c>
      <c r="J3" s="28">
        <v>98</v>
      </c>
      <c r="K3" s="26"/>
    </row>
    <row r="4" spans="1:11">
      <c r="A4" s="2" t="s">
        <v>385</v>
      </c>
      <c r="B4" s="2" t="s">
        <v>386</v>
      </c>
      <c r="C4" s="2" t="s">
        <v>387</v>
      </c>
      <c r="D4" s="26"/>
      <c r="E4" s="26"/>
      <c r="F4" s="26"/>
      <c r="G4" s="35" t="s">
        <v>388</v>
      </c>
      <c r="H4" s="28">
        <v>68</v>
      </c>
      <c r="I4" s="28">
        <v>86</v>
      </c>
      <c r="J4" s="28">
        <v>88</v>
      </c>
      <c r="K4" s="26"/>
    </row>
    <row r="5" spans="1:11">
      <c r="A5" s="2" t="s">
        <v>389</v>
      </c>
      <c r="B5" s="2" t="s">
        <v>386</v>
      </c>
      <c r="C5" s="2" t="s">
        <v>258</v>
      </c>
      <c r="D5" s="26"/>
      <c r="E5" s="26"/>
      <c r="F5" s="26"/>
      <c r="G5" s="35" t="s">
        <v>390</v>
      </c>
      <c r="H5" s="28">
        <v>78</v>
      </c>
      <c r="I5" s="28">
        <v>80</v>
      </c>
      <c r="J5" s="28">
        <v>90</v>
      </c>
      <c r="K5" s="26"/>
    </row>
    <row r="6" spans="1:11">
      <c r="A6" s="2" t="s">
        <v>391</v>
      </c>
      <c r="B6" s="2" t="s">
        <v>392</v>
      </c>
      <c r="C6" s="2" t="s">
        <v>383</v>
      </c>
      <c r="D6" s="26"/>
      <c r="E6" s="26"/>
      <c r="F6" s="26"/>
      <c r="G6" s="35" t="s">
        <v>393</v>
      </c>
      <c r="H6" s="28">
        <v>63</v>
      </c>
      <c r="I6" s="28">
        <v>79</v>
      </c>
      <c r="J6" s="28">
        <v>99</v>
      </c>
      <c r="K6" s="26"/>
    </row>
    <row r="7" spans="1:11">
      <c r="A7" s="2" t="s">
        <v>394</v>
      </c>
      <c r="B7" s="2" t="s">
        <v>395</v>
      </c>
      <c r="C7" s="2" t="s">
        <v>396</v>
      </c>
      <c r="D7" s="26"/>
      <c r="E7" s="26"/>
      <c r="F7" s="26"/>
      <c r="G7" s="35" t="s">
        <v>397</v>
      </c>
      <c r="H7" s="28">
        <v>83</v>
      </c>
      <c r="I7" s="28">
        <v>85</v>
      </c>
      <c r="J7" s="28">
        <v>97</v>
      </c>
      <c r="K7" s="26"/>
    </row>
    <row r="8" spans="1:11">
      <c r="A8" s="2" t="s">
        <v>398</v>
      </c>
      <c r="B8" s="2" t="s">
        <v>399</v>
      </c>
      <c r="C8" s="2" t="s">
        <v>258</v>
      </c>
      <c r="D8" s="26"/>
      <c r="E8" s="26"/>
      <c r="F8" s="26"/>
      <c r="G8" s="35" t="s">
        <v>400</v>
      </c>
      <c r="H8" s="28">
        <v>65</v>
      </c>
      <c r="I8" s="28">
        <v>77</v>
      </c>
      <c r="J8" s="28">
        <v>98</v>
      </c>
      <c r="K8" s="26"/>
    </row>
    <row r="9" spans="1:11">
      <c r="A9" s="2" t="s">
        <v>401</v>
      </c>
      <c r="B9" s="2" t="s">
        <v>402</v>
      </c>
      <c r="C9" s="2" t="s">
        <v>403</v>
      </c>
      <c r="D9" s="26"/>
      <c r="E9" s="26"/>
      <c r="F9" s="26"/>
      <c r="G9" s="35" t="s">
        <v>404</v>
      </c>
      <c r="H9" s="28">
        <v>105</v>
      </c>
      <c r="I9" s="28">
        <v>99</v>
      </c>
      <c r="J9" s="28">
        <v>89</v>
      </c>
      <c r="K9" s="26"/>
    </row>
    <row r="10" spans="1:11">
      <c r="A10" s="2" t="s">
        <v>405</v>
      </c>
      <c r="B10" s="2" t="s">
        <v>406</v>
      </c>
      <c r="C10" s="2" t="s">
        <v>245</v>
      </c>
      <c r="D10" s="259" t="s">
        <v>407</v>
      </c>
      <c r="E10" s="259"/>
      <c r="F10" s="26"/>
      <c r="G10" s="26"/>
      <c r="H10" s="26"/>
      <c r="I10" s="26"/>
      <c r="J10" s="26"/>
      <c r="K10" s="26"/>
    </row>
    <row r="11" spans="1:11">
      <c r="A11" s="2" t="s">
        <v>408</v>
      </c>
      <c r="B11" s="2" t="s">
        <v>409</v>
      </c>
      <c r="C11" s="2" t="s">
        <v>410</v>
      </c>
      <c r="D11" s="250" t="str">
        <f>COUNTIF(C3:C11,"&lt;&gt;대리")&amp;"명"</f>
        <v>6명</v>
      </c>
      <c r="E11" s="250"/>
      <c r="F11" s="26"/>
      <c r="G11" s="256" t="s">
        <v>411</v>
      </c>
      <c r="H11" s="257"/>
      <c r="I11" s="257"/>
      <c r="J11" s="44">
        <f>COUNTIFS(H3:H9,"&gt;=80",I3:I9,"&gt;=80",J3:J9,"&gt;=80")</f>
        <v>2</v>
      </c>
      <c r="K11" s="26"/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112</v>
      </c>
      <c r="B13" s="27" t="s">
        <v>412</v>
      </c>
      <c r="C13" s="45"/>
      <c r="D13" s="45"/>
      <c r="E13" s="45"/>
      <c r="F13" s="26"/>
      <c r="G13" s="26" t="s">
        <v>262</v>
      </c>
      <c r="H13" s="27" t="s">
        <v>413</v>
      </c>
      <c r="I13" s="26"/>
      <c r="J13" s="26"/>
      <c r="K13" s="26"/>
    </row>
    <row r="14" spans="1:11">
      <c r="A14" s="2" t="s">
        <v>414</v>
      </c>
      <c r="B14" s="2" t="s">
        <v>415</v>
      </c>
      <c r="C14" s="2" t="s">
        <v>416</v>
      </c>
      <c r="D14" s="2" t="s">
        <v>417</v>
      </c>
      <c r="E14" s="46" t="s">
        <v>418</v>
      </c>
      <c r="F14" s="26"/>
      <c r="G14" s="2" t="s">
        <v>419</v>
      </c>
      <c r="H14" s="2" t="s">
        <v>420</v>
      </c>
      <c r="I14" s="2" t="s">
        <v>421</v>
      </c>
      <c r="J14" s="2" t="s">
        <v>422</v>
      </c>
      <c r="K14" s="2" t="s">
        <v>423</v>
      </c>
    </row>
    <row r="15" spans="1:11">
      <c r="A15" s="2" t="s">
        <v>424</v>
      </c>
      <c r="B15" s="2" t="s">
        <v>425</v>
      </c>
      <c r="C15" s="2" t="s">
        <v>426</v>
      </c>
      <c r="D15" s="29">
        <v>3560000</v>
      </c>
      <c r="E15" s="28">
        <v>2812000</v>
      </c>
      <c r="F15" s="26"/>
      <c r="G15" s="2" t="s">
        <v>427</v>
      </c>
      <c r="H15" s="2">
        <v>165</v>
      </c>
      <c r="I15" s="2">
        <v>45</v>
      </c>
      <c r="J15" s="2">
        <v>9</v>
      </c>
      <c r="K15" s="2">
        <v>120</v>
      </c>
    </row>
    <row r="16" spans="1:11">
      <c r="A16" s="2" t="s">
        <v>428</v>
      </c>
      <c r="B16" s="2" t="s">
        <v>429</v>
      </c>
      <c r="C16" s="2" t="s">
        <v>430</v>
      </c>
      <c r="D16" s="29">
        <v>3256000</v>
      </c>
      <c r="E16" s="28">
        <v>2126000</v>
      </c>
      <c r="F16" s="26"/>
      <c r="G16" s="2" t="s">
        <v>431</v>
      </c>
      <c r="H16" s="2">
        <v>148</v>
      </c>
      <c r="I16" s="2">
        <v>12</v>
      </c>
      <c r="J16" s="2">
        <v>35</v>
      </c>
      <c r="K16" s="2">
        <v>94</v>
      </c>
    </row>
    <row r="17" spans="1:11">
      <c r="A17" s="2" t="s">
        <v>432</v>
      </c>
      <c r="B17" s="2" t="s">
        <v>433</v>
      </c>
      <c r="C17" s="2" t="s">
        <v>434</v>
      </c>
      <c r="D17" s="29">
        <v>2560000</v>
      </c>
      <c r="E17" s="28">
        <v>1582000</v>
      </c>
      <c r="F17" s="26"/>
      <c r="G17" s="2" t="s">
        <v>435</v>
      </c>
      <c r="H17" s="2">
        <v>117</v>
      </c>
      <c r="I17" s="2">
        <v>48</v>
      </c>
      <c r="J17" s="2">
        <v>12</v>
      </c>
      <c r="K17" s="2">
        <v>106</v>
      </c>
    </row>
    <row r="18" spans="1:11">
      <c r="A18" s="2" t="s">
        <v>436</v>
      </c>
      <c r="B18" s="2" t="s">
        <v>429</v>
      </c>
      <c r="C18" s="2" t="s">
        <v>437</v>
      </c>
      <c r="D18" s="29">
        <v>3075000</v>
      </c>
      <c r="E18" s="28">
        <v>1868000</v>
      </c>
      <c r="F18" s="26"/>
      <c r="G18" s="2" t="s">
        <v>438</v>
      </c>
      <c r="H18" s="2">
        <v>135</v>
      </c>
      <c r="I18" s="2">
        <v>19</v>
      </c>
      <c r="J18" s="2">
        <v>42</v>
      </c>
      <c r="K18" s="2">
        <v>97</v>
      </c>
    </row>
    <row r="19" spans="1:11">
      <c r="A19" s="2" t="s">
        <v>439</v>
      </c>
      <c r="B19" s="2" t="s">
        <v>429</v>
      </c>
      <c r="C19" s="2" t="s">
        <v>440</v>
      </c>
      <c r="D19" s="29">
        <v>2856000</v>
      </c>
      <c r="E19" s="28">
        <v>1540000</v>
      </c>
      <c r="F19" s="26"/>
      <c r="G19" s="2" t="s">
        <v>441</v>
      </c>
      <c r="H19" s="2">
        <v>142</v>
      </c>
      <c r="I19" s="2">
        <v>51</v>
      </c>
      <c r="J19" s="2">
        <v>11</v>
      </c>
      <c r="K19" s="2">
        <v>114</v>
      </c>
    </row>
    <row r="20" spans="1:11">
      <c r="A20" s="2" t="s">
        <v>442</v>
      </c>
      <c r="B20" s="2" t="s">
        <v>425</v>
      </c>
      <c r="C20" s="2" t="s">
        <v>434</v>
      </c>
      <c r="D20" s="29">
        <v>2473000</v>
      </c>
      <c r="E20" s="28">
        <v>1495000</v>
      </c>
      <c r="F20" s="26"/>
      <c r="G20" s="2" t="s">
        <v>443</v>
      </c>
      <c r="H20" s="2">
        <v>135</v>
      </c>
      <c r="I20" s="2">
        <v>49</v>
      </c>
      <c r="J20" s="2">
        <v>16</v>
      </c>
      <c r="K20" s="2">
        <v>108</v>
      </c>
    </row>
    <row r="21" spans="1:11">
      <c r="A21" s="2" t="s">
        <v>444</v>
      </c>
      <c r="B21" s="2" t="s">
        <v>433</v>
      </c>
      <c r="C21" s="2" t="s">
        <v>434</v>
      </c>
      <c r="D21" s="29">
        <v>2372000</v>
      </c>
      <c r="E21" s="28">
        <v>1453000</v>
      </c>
      <c r="F21" s="26"/>
      <c r="G21" s="2" t="s">
        <v>445</v>
      </c>
      <c r="H21" s="2">
        <v>145</v>
      </c>
      <c r="I21" s="2">
        <v>29</v>
      </c>
      <c r="J21" s="2">
        <v>21</v>
      </c>
      <c r="K21" s="2">
        <v>84</v>
      </c>
    </row>
    <row r="22" spans="1:11">
      <c r="A22" s="2" t="s">
        <v>446</v>
      </c>
      <c r="B22" s="2" t="s">
        <v>425</v>
      </c>
      <c r="C22" s="2" t="s">
        <v>440</v>
      </c>
      <c r="D22" s="29">
        <v>2903000</v>
      </c>
      <c r="E22" s="28">
        <v>1500000</v>
      </c>
      <c r="F22" s="26"/>
      <c r="G22" s="2" t="s">
        <v>447</v>
      </c>
      <c r="H22" s="2">
        <v>135</v>
      </c>
      <c r="I22" s="2">
        <v>22</v>
      </c>
      <c r="J22" s="2">
        <v>10</v>
      </c>
      <c r="K22" s="2">
        <v>106</v>
      </c>
    </row>
    <row r="23" spans="1:11">
      <c r="A23" s="45"/>
      <c r="B23" s="45"/>
      <c r="C23" s="45"/>
      <c r="D23" s="45"/>
      <c r="E23" s="45"/>
      <c r="F23" s="26"/>
      <c r="G23" s="2" t="s">
        <v>448</v>
      </c>
      <c r="H23" s="2">
        <v>185</v>
      </c>
      <c r="I23" s="2">
        <v>16</v>
      </c>
      <c r="J23" s="2">
        <v>24</v>
      </c>
      <c r="K23" s="2">
        <v>113</v>
      </c>
    </row>
    <row r="24" spans="1:11">
      <c r="A24" s="264" t="s">
        <v>449</v>
      </c>
      <c r="B24" s="265"/>
      <c r="C24" s="265"/>
      <c r="D24" s="266"/>
      <c r="E24" s="271" t="str">
        <f>COUNTIFS(E15:E22,"&gt;1500000",D15:D22,"&gt;="&amp;AVERAGE(D15:D22))&amp;"명"</f>
        <v>3명</v>
      </c>
      <c r="F24" s="26"/>
      <c r="G24" s="256" t="s">
        <v>450</v>
      </c>
      <c r="H24" s="257"/>
      <c r="I24" s="257"/>
      <c r="J24" s="258"/>
      <c r="K24" s="97">
        <f>AVERAGEIF(I15:I23,"&gt;=40",K15:K23)</f>
        <v>112</v>
      </c>
    </row>
    <row r="25" spans="1:11">
      <c r="A25" s="267"/>
      <c r="B25" s="268"/>
      <c r="C25" s="268"/>
      <c r="D25" s="269"/>
      <c r="E25" s="271"/>
      <c r="F25" s="26"/>
      <c r="G25" s="26"/>
      <c r="H25" s="26"/>
      <c r="I25" s="26"/>
      <c r="J25" s="26"/>
      <c r="K25" s="26"/>
    </row>
    <row r="26" spans="1:1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>
      <c r="A27" s="26" t="s">
        <v>451</v>
      </c>
      <c r="B27" s="27" t="s">
        <v>452</v>
      </c>
      <c r="C27" s="26"/>
      <c r="D27" s="26"/>
      <c r="E27" s="26"/>
      <c r="F27" s="26"/>
      <c r="G27" s="47" t="s">
        <v>453</v>
      </c>
      <c r="H27" s="48" t="s">
        <v>454</v>
      </c>
      <c r="I27" s="48"/>
      <c r="J27" s="47"/>
      <c r="K27" s="26"/>
    </row>
    <row r="28" spans="1:11">
      <c r="A28" s="2" t="s">
        <v>455</v>
      </c>
      <c r="B28" s="2" t="s">
        <v>456</v>
      </c>
      <c r="C28" s="2" t="s">
        <v>457</v>
      </c>
      <c r="D28" s="2" t="s">
        <v>458</v>
      </c>
      <c r="E28" s="262" t="s">
        <v>459</v>
      </c>
      <c r="F28" s="26"/>
      <c r="G28" s="5" t="s">
        <v>374</v>
      </c>
      <c r="H28" s="5" t="s">
        <v>460</v>
      </c>
      <c r="I28" s="5" t="s">
        <v>461</v>
      </c>
      <c r="J28" s="91" t="s">
        <v>462</v>
      </c>
      <c r="K28" s="26"/>
    </row>
    <row r="29" spans="1:11">
      <c r="A29" s="2" t="s">
        <v>463</v>
      </c>
      <c r="B29" s="2">
        <v>5535</v>
      </c>
      <c r="C29" s="2">
        <v>6021</v>
      </c>
      <c r="D29" s="2">
        <v>4831</v>
      </c>
      <c r="E29" s="263"/>
      <c r="F29" s="26"/>
      <c r="G29" s="5" t="s">
        <v>464</v>
      </c>
      <c r="H29" s="5" t="s">
        <v>465</v>
      </c>
      <c r="I29" s="5">
        <v>87</v>
      </c>
      <c r="J29" s="99" t="str">
        <f>LARGE(I29:I38,3)&amp;"점"</f>
        <v>95점</v>
      </c>
      <c r="K29" s="26"/>
    </row>
    <row r="30" spans="1:11">
      <c r="A30" s="2" t="s">
        <v>466</v>
      </c>
      <c r="B30" s="2">
        <v>5468</v>
      </c>
      <c r="C30" s="2">
        <v>6871</v>
      </c>
      <c r="D30" s="2">
        <v>5001</v>
      </c>
      <c r="E30" s="98">
        <f>ROUNDDOWN(STDEV(D29:D38),1)</f>
        <v>327.5</v>
      </c>
      <c r="F30" s="26"/>
      <c r="G30" s="5" t="s">
        <v>467</v>
      </c>
      <c r="H30" s="5" t="s">
        <v>468</v>
      </c>
      <c r="I30" s="5">
        <v>95</v>
      </c>
      <c r="J30" s="47"/>
      <c r="K30" s="26"/>
    </row>
    <row r="31" spans="1:11">
      <c r="A31" s="2" t="s">
        <v>469</v>
      </c>
      <c r="B31" s="2">
        <v>5724</v>
      </c>
      <c r="C31" s="2">
        <v>6278</v>
      </c>
      <c r="D31" s="2">
        <v>4835</v>
      </c>
      <c r="E31" s="26"/>
      <c r="F31" s="26"/>
      <c r="G31" s="5" t="s">
        <v>470</v>
      </c>
      <c r="H31" s="5" t="s">
        <v>183</v>
      </c>
      <c r="I31" s="5">
        <v>87</v>
      </c>
      <c r="J31" s="47"/>
      <c r="K31" s="26"/>
    </row>
    <row r="32" spans="1:11">
      <c r="A32" s="2" t="s">
        <v>471</v>
      </c>
      <c r="B32" s="2">
        <v>5689</v>
      </c>
      <c r="C32" s="2">
        <v>6389</v>
      </c>
      <c r="D32" s="2">
        <v>4297</v>
      </c>
      <c r="E32" s="26"/>
      <c r="F32" s="26"/>
      <c r="G32" s="5" t="s">
        <v>472</v>
      </c>
      <c r="H32" s="5" t="s">
        <v>188</v>
      </c>
      <c r="I32" s="5">
        <v>99</v>
      </c>
      <c r="J32" s="47"/>
      <c r="K32" s="26"/>
    </row>
    <row r="33" spans="1:11">
      <c r="A33" s="2" t="s">
        <v>473</v>
      </c>
      <c r="B33" s="2">
        <v>5179</v>
      </c>
      <c r="C33" s="2">
        <v>6172</v>
      </c>
      <c r="D33" s="2">
        <v>5017</v>
      </c>
      <c r="E33" s="26"/>
      <c r="F33" s="26"/>
      <c r="G33" s="5" t="s">
        <v>474</v>
      </c>
      <c r="H33" s="5" t="s">
        <v>475</v>
      </c>
      <c r="I33" s="5">
        <v>84</v>
      </c>
      <c r="J33" s="47"/>
      <c r="K33" s="26"/>
    </row>
    <row r="34" spans="1:11">
      <c r="A34" s="2" t="s">
        <v>476</v>
      </c>
      <c r="B34" s="2">
        <v>5348</v>
      </c>
      <c r="C34" s="2">
        <v>6008</v>
      </c>
      <c r="D34" s="2">
        <v>4983</v>
      </c>
      <c r="E34" s="26"/>
      <c r="F34" s="26"/>
      <c r="G34" s="5" t="s">
        <v>477</v>
      </c>
      <c r="H34" s="5" t="s">
        <v>465</v>
      </c>
      <c r="I34" s="5">
        <v>95</v>
      </c>
      <c r="J34" s="47"/>
      <c r="K34" s="26"/>
    </row>
    <row r="35" spans="1:11">
      <c r="A35" s="2" t="s">
        <v>478</v>
      </c>
      <c r="B35" s="2">
        <v>5493</v>
      </c>
      <c r="C35" s="2">
        <v>6217</v>
      </c>
      <c r="D35" s="2">
        <v>4998</v>
      </c>
      <c r="E35" s="26"/>
      <c r="F35" s="26"/>
      <c r="G35" s="5" t="s">
        <v>479</v>
      </c>
      <c r="H35" s="5" t="s">
        <v>480</v>
      </c>
      <c r="I35" s="5">
        <v>68</v>
      </c>
      <c r="J35" s="47"/>
      <c r="K35" s="26"/>
    </row>
    <row r="36" spans="1:11">
      <c r="A36" s="2" t="s">
        <v>481</v>
      </c>
      <c r="B36" s="2">
        <v>5157</v>
      </c>
      <c r="C36" s="2">
        <v>6397</v>
      </c>
      <c r="D36" s="2">
        <v>4328</v>
      </c>
      <c r="E36" s="26"/>
      <c r="F36" s="26"/>
      <c r="G36" s="5" t="s">
        <v>482</v>
      </c>
      <c r="H36" s="5" t="s">
        <v>188</v>
      </c>
      <c r="I36" s="5">
        <v>78</v>
      </c>
      <c r="J36" s="47"/>
      <c r="K36" s="26"/>
    </row>
    <row r="37" spans="1:11">
      <c r="A37" s="2" t="s">
        <v>483</v>
      </c>
      <c r="B37" s="2">
        <v>5537</v>
      </c>
      <c r="C37" s="2">
        <v>6284</v>
      </c>
      <c r="D37" s="2">
        <v>4682</v>
      </c>
      <c r="E37" s="26"/>
      <c r="F37" s="26"/>
      <c r="G37" s="5" t="s">
        <v>484</v>
      </c>
      <c r="H37" s="5" t="s">
        <v>196</v>
      </c>
      <c r="I37" s="5">
        <v>82</v>
      </c>
      <c r="J37" s="47"/>
      <c r="K37" s="26"/>
    </row>
    <row r="38" spans="1:11">
      <c r="A38" s="2" t="s">
        <v>485</v>
      </c>
      <c r="B38" s="2">
        <v>5399</v>
      </c>
      <c r="C38" s="2">
        <v>6316</v>
      </c>
      <c r="D38" s="2">
        <v>4179</v>
      </c>
      <c r="E38" s="26"/>
      <c r="F38" s="26"/>
      <c r="G38" s="5" t="s">
        <v>486</v>
      </c>
      <c r="H38" s="5" t="s">
        <v>468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6"/>
  <sheetViews>
    <sheetView workbookViewId="0"/>
  </sheetViews>
  <sheetFormatPr defaultRowHeight="17"/>
  <cols>
    <col min="1" max="1" width="9.58203125" bestFit="1" customWidth="1"/>
    <col min="3" max="3" width="10.5" bestFit="1" customWidth="1"/>
    <col min="7" max="7" width="1.58203125" customWidth="1"/>
    <col min="8" max="8" width="14.83203125" customWidth="1"/>
    <col min="9" max="11" width="11.25" customWidth="1"/>
    <col min="12" max="12" width="10.83203125" bestFit="1" customWidth="1"/>
  </cols>
  <sheetData>
    <row r="1" spans="1:12">
      <c r="A1" s="26" t="s">
        <v>65</v>
      </c>
      <c r="B1" s="31" t="s">
        <v>488</v>
      </c>
      <c r="C1" s="7"/>
      <c r="D1" s="7"/>
      <c r="E1" s="7"/>
      <c r="F1" s="7"/>
      <c r="G1" s="7"/>
      <c r="H1" s="26" t="s">
        <v>67</v>
      </c>
      <c r="I1" s="31" t="s">
        <v>489</v>
      </c>
      <c r="J1" s="7"/>
      <c r="K1" s="7"/>
      <c r="L1" s="7"/>
    </row>
    <row r="2" spans="1:12">
      <c r="A2" s="85" t="s">
        <v>490</v>
      </c>
      <c r="B2" s="85" t="s">
        <v>491</v>
      </c>
      <c r="C2" s="85" t="s">
        <v>492</v>
      </c>
      <c r="D2" s="85" t="s">
        <v>493</v>
      </c>
      <c r="E2" s="85" t="s">
        <v>494</v>
      </c>
      <c r="F2" s="90" t="s">
        <v>495</v>
      </c>
      <c r="G2" s="7"/>
      <c r="H2" s="5" t="s">
        <v>177</v>
      </c>
      <c r="I2" s="5" t="s">
        <v>174</v>
      </c>
      <c r="J2" s="5" t="s">
        <v>496</v>
      </c>
      <c r="K2" s="5" t="s">
        <v>220</v>
      </c>
      <c r="L2" s="5" t="s">
        <v>498</v>
      </c>
    </row>
    <row r="3" spans="1:12">
      <c r="A3" s="85" t="s">
        <v>499</v>
      </c>
      <c r="B3" s="85">
        <v>15</v>
      </c>
      <c r="C3" s="85">
        <v>13</v>
      </c>
      <c r="D3" s="85">
        <v>10</v>
      </c>
      <c r="E3" s="85">
        <f>B3*3+C3*1</f>
        <v>58</v>
      </c>
      <c r="F3" s="85"/>
      <c r="G3" s="7"/>
      <c r="H3" s="5" t="s">
        <v>500</v>
      </c>
      <c r="I3" s="5" t="s">
        <v>188</v>
      </c>
      <c r="J3" s="30" t="s">
        <v>228</v>
      </c>
      <c r="K3" s="30">
        <v>4</v>
      </c>
      <c r="L3" s="87">
        <v>4800000</v>
      </c>
    </row>
    <row r="4" spans="1:12">
      <c r="A4" s="85" t="s">
        <v>501</v>
      </c>
      <c r="B4" s="85">
        <v>7</v>
      </c>
      <c r="C4" s="85">
        <v>15</v>
      </c>
      <c r="D4" s="85">
        <v>16</v>
      </c>
      <c r="E4" s="85">
        <f t="shared" ref="E4:E12" si="0">B4*3+C4*1</f>
        <v>36</v>
      </c>
      <c r="F4" s="85"/>
      <c r="G4" s="7"/>
      <c r="H4" s="5" t="s">
        <v>502</v>
      </c>
      <c r="I4" s="5" t="s">
        <v>188</v>
      </c>
      <c r="J4" s="30" t="s">
        <v>239</v>
      </c>
      <c r="K4" s="30">
        <v>5</v>
      </c>
      <c r="L4" s="87">
        <v>4000000</v>
      </c>
    </row>
    <row r="5" spans="1:12">
      <c r="A5" s="85" t="s">
        <v>504</v>
      </c>
      <c r="B5" s="85">
        <v>24</v>
      </c>
      <c r="C5" s="85">
        <v>9</v>
      </c>
      <c r="D5" s="85">
        <v>5</v>
      </c>
      <c r="E5" s="85">
        <f t="shared" si="0"/>
        <v>81</v>
      </c>
      <c r="F5" s="85"/>
      <c r="G5" s="7"/>
      <c r="H5" s="5" t="s">
        <v>505</v>
      </c>
      <c r="I5" s="5" t="s">
        <v>183</v>
      </c>
      <c r="J5" s="30" t="s">
        <v>239</v>
      </c>
      <c r="K5" s="30">
        <v>5</v>
      </c>
      <c r="L5" s="87">
        <v>4000000</v>
      </c>
    </row>
    <row r="6" spans="1:12">
      <c r="A6" s="85" t="s">
        <v>506</v>
      </c>
      <c r="B6" s="85">
        <v>14</v>
      </c>
      <c r="C6" s="85">
        <v>12</v>
      </c>
      <c r="D6" s="85">
        <v>12</v>
      </c>
      <c r="E6" s="85">
        <f t="shared" si="0"/>
        <v>54</v>
      </c>
      <c r="F6" s="85"/>
      <c r="G6" s="7"/>
      <c r="H6" s="5" t="s">
        <v>507</v>
      </c>
      <c r="I6" s="5" t="s">
        <v>188</v>
      </c>
      <c r="J6" s="30" t="s">
        <v>228</v>
      </c>
      <c r="K6" s="30">
        <v>3</v>
      </c>
      <c r="L6" s="87">
        <v>4600000</v>
      </c>
    </row>
    <row r="7" spans="1:12">
      <c r="A7" s="85" t="s">
        <v>509</v>
      </c>
      <c r="B7" s="85">
        <v>9</v>
      </c>
      <c r="C7" s="85">
        <v>13</v>
      </c>
      <c r="D7" s="85">
        <v>16</v>
      </c>
      <c r="E7" s="85">
        <f t="shared" si="0"/>
        <v>40</v>
      </c>
      <c r="F7" s="85"/>
      <c r="G7" s="7"/>
      <c r="H7" s="5" t="s">
        <v>510</v>
      </c>
      <c r="I7" s="5" t="s">
        <v>183</v>
      </c>
      <c r="J7" s="30" t="s">
        <v>228</v>
      </c>
      <c r="K7" s="30">
        <v>2</v>
      </c>
      <c r="L7" s="87">
        <v>4500000</v>
      </c>
    </row>
    <row r="8" spans="1:12">
      <c r="A8" s="85" t="s">
        <v>511</v>
      </c>
      <c r="B8" s="85">
        <v>14</v>
      </c>
      <c r="C8" s="85">
        <v>9</v>
      </c>
      <c r="D8" s="85">
        <v>15</v>
      </c>
      <c r="E8" s="85">
        <f t="shared" si="0"/>
        <v>51</v>
      </c>
      <c r="F8" s="85"/>
      <c r="G8" s="7"/>
      <c r="H8" s="5" t="s">
        <v>512</v>
      </c>
      <c r="I8" s="5" t="s">
        <v>188</v>
      </c>
      <c r="J8" s="30" t="s">
        <v>239</v>
      </c>
      <c r="K8" s="30">
        <v>1</v>
      </c>
      <c r="L8" s="87">
        <v>3200000</v>
      </c>
    </row>
    <row r="9" spans="1:12">
      <c r="A9" s="85" t="s">
        <v>513</v>
      </c>
      <c r="B9" s="85">
        <v>8</v>
      </c>
      <c r="C9" s="85">
        <v>16</v>
      </c>
      <c r="D9" s="85">
        <v>14</v>
      </c>
      <c r="E9" s="85">
        <f t="shared" si="0"/>
        <v>40</v>
      </c>
      <c r="F9" s="85"/>
      <c r="G9" s="7"/>
      <c r="H9" s="5" t="s">
        <v>514</v>
      </c>
      <c r="I9" s="5" t="s">
        <v>183</v>
      </c>
      <c r="J9" s="30" t="s">
        <v>228</v>
      </c>
      <c r="K9" s="30">
        <v>3</v>
      </c>
      <c r="L9" s="87">
        <v>4600000</v>
      </c>
    </row>
    <row r="10" spans="1:12">
      <c r="A10" s="85" t="s">
        <v>515</v>
      </c>
      <c r="B10" s="85">
        <v>17</v>
      </c>
      <c r="C10" s="85">
        <v>9</v>
      </c>
      <c r="D10" s="85">
        <v>12</v>
      </c>
      <c r="E10" s="85">
        <f t="shared" si="0"/>
        <v>60</v>
      </c>
      <c r="F10" s="85"/>
      <c r="G10" s="7"/>
      <c r="H10" s="5" t="s">
        <v>516</v>
      </c>
      <c r="I10" s="5" t="s">
        <v>183</v>
      </c>
      <c r="J10" s="30" t="s">
        <v>239</v>
      </c>
      <c r="K10" s="30">
        <v>2</v>
      </c>
      <c r="L10" s="87">
        <v>3400000</v>
      </c>
    </row>
    <row r="11" spans="1:12">
      <c r="A11" s="85" t="s">
        <v>517</v>
      </c>
      <c r="B11" s="85">
        <v>13</v>
      </c>
      <c r="C11" s="85">
        <v>11</v>
      </c>
      <c r="D11" s="85">
        <v>14</v>
      </c>
      <c r="E11" s="85">
        <f t="shared" si="0"/>
        <v>50</v>
      </c>
      <c r="F11" s="85"/>
      <c r="G11" s="7"/>
      <c r="H11" s="5" t="s">
        <v>518</v>
      </c>
      <c r="I11" s="5" t="s">
        <v>183</v>
      </c>
      <c r="J11" s="30" t="s">
        <v>239</v>
      </c>
      <c r="K11" s="30">
        <v>4</v>
      </c>
      <c r="L11" s="87">
        <v>3800000</v>
      </c>
    </row>
    <row r="12" spans="1:12">
      <c r="A12" s="85" t="s">
        <v>519</v>
      </c>
      <c r="B12" s="85">
        <v>7</v>
      </c>
      <c r="C12" s="85">
        <v>13</v>
      </c>
      <c r="D12" s="85">
        <v>18</v>
      </c>
      <c r="E12" s="85">
        <f t="shared" si="0"/>
        <v>34</v>
      </c>
      <c r="F12" s="85"/>
      <c r="G12" s="7"/>
      <c r="H12" s="256" t="s">
        <v>520</v>
      </c>
      <c r="I12" s="257"/>
      <c r="J12" s="257"/>
      <c r="K12" s="258"/>
      <c r="L12" s="87"/>
    </row>
    <row r="13" spans="1:1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>
      <c r="A14" s="26" t="s">
        <v>112</v>
      </c>
      <c r="B14" s="31" t="s">
        <v>521</v>
      </c>
      <c r="C14" s="7"/>
      <c r="D14" s="7"/>
      <c r="E14" s="7"/>
      <c r="F14" s="7"/>
      <c r="G14" s="7"/>
      <c r="H14" s="26" t="s">
        <v>114</v>
      </c>
      <c r="I14" s="31" t="s">
        <v>523</v>
      </c>
      <c r="J14" s="7"/>
      <c r="K14" s="7"/>
      <c r="L14" s="7"/>
    </row>
    <row r="15" spans="1:12">
      <c r="A15" s="85" t="s">
        <v>177</v>
      </c>
      <c r="B15" s="85" t="s">
        <v>524</v>
      </c>
      <c r="C15" s="85" t="s">
        <v>525</v>
      </c>
      <c r="D15" s="85" t="s">
        <v>526</v>
      </c>
      <c r="E15" s="85" t="s">
        <v>527</v>
      </c>
      <c r="F15" s="90" t="s">
        <v>528</v>
      </c>
      <c r="G15" s="7"/>
      <c r="H15" s="85" t="s">
        <v>529</v>
      </c>
      <c r="I15" s="85" t="s">
        <v>530</v>
      </c>
      <c r="J15" s="85" t="s">
        <v>531</v>
      </c>
      <c r="K15" s="90" t="s">
        <v>532</v>
      </c>
      <c r="L15" s="7"/>
    </row>
    <row r="16" spans="1:12">
      <c r="A16" s="5" t="s">
        <v>533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5">
        <v>1001</v>
      </c>
      <c r="I16" s="85">
        <v>29</v>
      </c>
      <c r="J16" s="49">
        <v>4.7222222222222221E-2</v>
      </c>
      <c r="K16" s="50"/>
      <c r="L16" s="7"/>
    </row>
    <row r="17" spans="1:12">
      <c r="A17" s="5" t="s">
        <v>534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5">
        <v>1002</v>
      </c>
      <c r="I17" s="85">
        <v>43</v>
      </c>
      <c r="J17" s="49">
        <v>6.3888888888888884E-2</v>
      </c>
      <c r="K17" s="50"/>
      <c r="L17" s="7"/>
    </row>
    <row r="18" spans="1:12">
      <c r="A18" s="5" t="s">
        <v>536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5">
        <v>1003</v>
      </c>
      <c r="I18" s="85">
        <v>52</v>
      </c>
      <c r="J18" s="49">
        <v>5.8333333333333327E-2</v>
      </c>
      <c r="K18" s="50"/>
      <c r="L18" s="7"/>
    </row>
    <row r="19" spans="1:12">
      <c r="A19" s="5" t="s">
        <v>537</v>
      </c>
      <c r="B19" s="5" t="s">
        <v>126</v>
      </c>
      <c r="C19" s="5"/>
      <c r="D19" s="5" t="s">
        <v>126</v>
      </c>
      <c r="E19" s="5"/>
      <c r="F19" s="30"/>
      <c r="G19" s="7"/>
      <c r="H19" s="85">
        <v>1004</v>
      </c>
      <c r="I19" s="85">
        <v>35</v>
      </c>
      <c r="J19" s="49">
        <v>5.6250000000000001E-2</v>
      </c>
      <c r="K19" s="50"/>
      <c r="L19" s="7"/>
    </row>
    <row r="20" spans="1:12">
      <c r="A20" s="5" t="s">
        <v>538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5">
        <v>1005</v>
      </c>
      <c r="I20" s="85">
        <v>31</v>
      </c>
      <c r="J20" s="49">
        <v>4.3750000000000004E-2</v>
      </c>
      <c r="K20" s="50"/>
      <c r="L20" s="7"/>
    </row>
    <row r="21" spans="1:12">
      <c r="A21" s="5" t="s">
        <v>539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5">
        <v>1006</v>
      </c>
      <c r="I21" s="85">
        <v>34</v>
      </c>
      <c r="J21" s="49">
        <v>5.2083333333333336E-2</v>
      </c>
      <c r="K21" s="50"/>
      <c r="L21" s="7"/>
    </row>
    <row r="22" spans="1:12">
      <c r="A22" s="5" t="s">
        <v>540</v>
      </c>
      <c r="B22" s="5"/>
      <c r="C22" s="5" t="s">
        <v>126</v>
      </c>
      <c r="D22" s="5"/>
      <c r="E22" s="5"/>
      <c r="F22" s="30"/>
      <c r="G22" s="7"/>
      <c r="H22" s="85">
        <v>1007</v>
      </c>
      <c r="I22" s="85">
        <v>28</v>
      </c>
      <c r="J22" s="49">
        <v>5.9722222222222225E-2</v>
      </c>
      <c r="K22" s="50"/>
      <c r="L22" s="7"/>
    </row>
    <row r="23" spans="1:12">
      <c r="A23" s="5" t="s">
        <v>541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5">
        <v>1008</v>
      </c>
      <c r="I23" s="85">
        <v>42</v>
      </c>
      <c r="J23" s="49">
        <v>5.486111111111111E-2</v>
      </c>
      <c r="K23" s="50"/>
      <c r="L23" s="7"/>
    </row>
    <row r="24" spans="1:12">
      <c r="A24" s="5" t="s">
        <v>542</v>
      </c>
      <c r="B24" s="5"/>
      <c r="C24" s="5" t="s">
        <v>126</v>
      </c>
      <c r="D24" s="5"/>
      <c r="E24" s="5" t="s">
        <v>126</v>
      </c>
      <c r="F24" s="30"/>
      <c r="G24" s="7"/>
      <c r="H24" s="85">
        <v>1009</v>
      </c>
      <c r="I24" s="85">
        <v>44</v>
      </c>
      <c r="J24" s="49">
        <v>5.6250000000000001E-2</v>
      </c>
      <c r="K24" s="50"/>
      <c r="L24" s="7"/>
    </row>
    <row r="25" spans="1:1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544</v>
      </c>
      <c r="J26" s="7"/>
      <c r="K26" s="51" t="s">
        <v>545</v>
      </c>
      <c r="L26" s="51"/>
    </row>
    <row r="27" spans="1:12">
      <c r="A27" s="52" t="s">
        <v>546</v>
      </c>
      <c r="B27" s="52" t="s">
        <v>547</v>
      </c>
      <c r="C27" s="52" t="s">
        <v>548</v>
      </c>
      <c r="D27" s="7"/>
      <c r="E27" s="7"/>
      <c r="F27" s="7"/>
      <c r="G27" s="7"/>
      <c r="H27" s="88" t="s">
        <v>352</v>
      </c>
      <c r="I27" s="88" t="s">
        <v>550</v>
      </c>
      <c r="J27" s="88" t="s">
        <v>551</v>
      </c>
      <c r="K27" s="88" t="s">
        <v>552</v>
      </c>
      <c r="L27" s="7"/>
    </row>
    <row r="28" spans="1:12">
      <c r="A28" s="54" t="s">
        <v>553</v>
      </c>
      <c r="B28" s="55" t="s">
        <v>554</v>
      </c>
      <c r="C28" s="56">
        <v>193908</v>
      </c>
      <c r="D28" s="7"/>
      <c r="E28" s="7"/>
      <c r="F28" s="7"/>
      <c r="G28" s="7"/>
      <c r="H28" s="88" t="s">
        <v>555</v>
      </c>
      <c r="I28" s="88"/>
      <c r="J28" s="88" t="s">
        <v>556</v>
      </c>
      <c r="K28" s="85" t="s">
        <v>556</v>
      </c>
      <c r="L28" s="7"/>
    </row>
    <row r="29" spans="1:12">
      <c r="A29" s="54" t="s">
        <v>557</v>
      </c>
      <c r="B29" s="85" t="s">
        <v>558</v>
      </c>
      <c r="C29" s="56"/>
      <c r="D29" s="7"/>
      <c r="E29" s="7"/>
      <c r="F29" s="7"/>
      <c r="G29" s="7"/>
      <c r="H29" s="88" t="s">
        <v>559</v>
      </c>
      <c r="I29" s="88"/>
      <c r="J29" s="88"/>
      <c r="K29" s="85"/>
      <c r="L29" s="7"/>
    </row>
    <row r="30" spans="1:12">
      <c r="A30" s="54" t="s">
        <v>560</v>
      </c>
      <c r="B30" s="85" t="s">
        <v>561</v>
      </c>
      <c r="C30" s="56"/>
      <c r="D30" s="7"/>
      <c r="E30" s="7"/>
      <c r="F30" s="7"/>
      <c r="G30" s="7"/>
      <c r="H30" s="88" t="s">
        <v>562</v>
      </c>
      <c r="I30" s="88" t="s">
        <v>556</v>
      </c>
      <c r="J30" s="88"/>
      <c r="K30" s="85"/>
      <c r="L30" s="7"/>
    </row>
    <row r="31" spans="1:12">
      <c r="A31" s="54" t="s">
        <v>563</v>
      </c>
      <c r="B31" s="85" t="s">
        <v>564</v>
      </c>
      <c r="C31" s="56">
        <v>2697000</v>
      </c>
      <c r="D31" s="7"/>
      <c r="E31" s="7"/>
      <c r="F31" s="7"/>
      <c r="G31" s="7"/>
      <c r="H31" s="88" t="s">
        <v>565</v>
      </c>
      <c r="I31" s="88"/>
      <c r="J31" s="88"/>
      <c r="K31" s="85" t="s">
        <v>556</v>
      </c>
      <c r="L31" s="7"/>
    </row>
    <row r="32" spans="1:12">
      <c r="A32" s="54" t="s">
        <v>566</v>
      </c>
      <c r="B32" s="85" t="s">
        <v>567</v>
      </c>
      <c r="C32" s="56"/>
      <c r="D32" s="7"/>
      <c r="E32" s="7"/>
      <c r="F32" s="7"/>
      <c r="G32" s="7"/>
      <c r="H32" s="88" t="s">
        <v>568</v>
      </c>
      <c r="I32" s="88" t="s">
        <v>556</v>
      </c>
      <c r="J32" s="88"/>
      <c r="K32" s="85"/>
      <c r="L32" s="7"/>
    </row>
    <row r="33" spans="1:12">
      <c r="A33" s="54" t="s">
        <v>569</v>
      </c>
      <c r="B33" s="85" t="s">
        <v>570</v>
      </c>
      <c r="C33" s="56">
        <v>5000000</v>
      </c>
      <c r="D33" s="7"/>
      <c r="E33" s="7"/>
      <c r="F33" s="7"/>
      <c r="G33" s="7"/>
      <c r="H33" s="88" t="s">
        <v>571</v>
      </c>
      <c r="I33" s="88"/>
      <c r="J33" s="88"/>
      <c r="K33" s="85"/>
      <c r="L33" s="7"/>
    </row>
    <row r="34" spans="1:12">
      <c r="A34" s="272" t="s">
        <v>572</v>
      </c>
      <c r="B34" s="272"/>
      <c r="C34" s="88"/>
      <c r="D34" s="7"/>
      <c r="E34" s="7"/>
      <c r="F34" s="7"/>
      <c r="G34" s="7"/>
      <c r="H34" s="57" t="s">
        <v>573</v>
      </c>
      <c r="I34" s="57" t="s">
        <v>556</v>
      </c>
      <c r="J34" s="57" t="s">
        <v>556</v>
      </c>
      <c r="K34" s="1" t="s">
        <v>556</v>
      </c>
      <c r="L34" s="7"/>
    </row>
    <row r="35" spans="1:1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>
      <c r="A36" s="7"/>
      <c r="B36" s="7"/>
      <c r="C36" s="7"/>
      <c r="D36" s="7"/>
      <c r="E36" s="7"/>
      <c r="F36" s="7"/>
      <c r="G36" s="7"/>
      <c r="H36" s="273" t="s">
        <v>574</v>
      </c>
      <c r="I36" s="274"/>
      <c r="J36" s="85"/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36"/>
  <sheetViews>
    <sheetView workbookViewId="0"/>
  </sheetViews>
  <sheetFormatPr defaultRowHeight="17"/>
  <cols>
    <col min="1" max="1" width="9.58203125" bestFit="1" customWidth="1"/>
    <col min="3" max="3" width="10.5" bestFit="1" customWidth="1"/>
    <col min="7" max="7" width="1.58203125" customWidth="1"/>
    <col min="8" max="8" width="14.83203125" customWidth="1"/>
    <col min="9" max="11" width="11.25" customWidth="1"/>
    <col min="12" max="12" width="10.83203125" bestFit="1" customWidth="1"/>
  </cols>
  <sheetData>
    <row r="1" spans="1:12">
      <c r="A1" s="26" t="s">
        <v>487</v>
      </c>
      <c r="B1" s="31" t="s">
        <v>488</v>
      </c>
      <c r="C1" s="7"/>
      <c r="D1" s="7"/>
      <c r="E1" s="7"/>
      <c r="F1" s="7"/>
      <c r="G1" s="7"/>
      <c r="H1" s="26" t="s">
        <v>216</v>
      </c>
      <c r="I1" s="31" t="s">
        <v>489</v>
      </c>
      <c r="J1" s="7"/>
      <c r="K1" s="7"/>
      <c r="L1" s="7"/>
    </row>
    <row r="2" spans="1:12">
      <c r="A2" s="2" t="s">
        <v>490</v>
      </c>
      <c r="B2" s="2" t="s">
        <v>491</v>
      </c>
      <c r="C2" s="2" t="s">
        <v>492</v>
      </c>
      <c r="D2" s="2" t="s">
        <v>493</v>
      </c>
      <c r="E2" s="2" t="s">
        <v>494</v>
      </c>
      <c r="F2" s="89" t="s">
        <v>495</v>
      </c>
      <c r="G2" s="7"/>
      <c r="H2" s="5" t="s">
        <v>177</v>
      </c>
      <c r="I2" s="5" t="s">
        <v>265</v>
      </c>
      <c r="J2" s="5" t="s">
        <v>496</v>
      </c>
      <c r="K2" s="5" t="s">
        <v>497</v>
      </c>
      <c r="L2" s="5" t="s">
        <v>498</v>
      </c>
    </row>
    <row r="3" spans="1:12">
      <c r="A3" s="2" t="s">
        <v>499</v>
      </c>
      <c r="B3" s="2">
        <v>15</v>
      </c>
      <c r="C3" s="2">
        <v>13</v>
      </c>
      <c r="D3" s="2">
        <v>10</v>
      </c>
      <c r="E3" s="2">
        <f>B3*3+C3*1</f>
        <v>58</v>
      </c>
      <c r="F3" s="97" t="str">
        <f>IF(_xlfn.RANK.EQ(E3,$E$3:$E$12)&lt;=3,"결승진출","")</f>
        <v>결승진출</v>
      </c>
      <c r="G3" s="7"/>
      <c r="H3" s="5" t="s">
        <v>500</v>
      </c>
      <c r="I3" s="5" t="s">
        <v>188</v>
      </c>
      <c r="J3" s="30" t="s">
        <v>228</v>
      </c>
      <c r="K3" s="30">
        <v>4</v>
      </c>
      <c r="L3" s="29">
        <v>4800000</v>
      </c>
    </row>
    <row r="4" spans="1:12">
      <c r="A4" s="2" t="s">
        <v>501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246" t="str">
        <f t="shared" ref="F4:F12" si="1">IF(_xlfn.RANK.EQ(E4,$E$3:$E$12)&lt;=3,"결승진출","")</f>
        <v/>
      </c>
      <c r="G4" s="7"/>
      <c r="H4" s="5" t="s">
        <v>502</v>
      </c>
      <c r="I4" s="5" t="s">
        <v>275</v>
      </c>
      <c r="J4" s="30" t="s">
        <v>503</v>
      </c>
      <c r="K4" s="30">
        <v>5</v>
      </c>
      <c r="L4" s="29">
        <v>4000000</v>
      </c>
    </row>
    <row r="5" spans="1:12">
      <c r="A5" s="2" t="s">
        <v>504</v>
      </c>
      <c r="B5" s="2">
        <v>24</v>
      </c>
      <c r="C5" s="2">
        <v>9</v>
      </c>
      <c r="D5" s="2">
        <v>5</v>
      </c>
      <c r="E5" s="2">
        <f t="shared" si="0"/>
        <v>81</v>
      </c>
      <c r="F5" s="246" t="str">
        <f t="shared" si="1"/>
        <v>결승진출</v>
      </c>
      <c r="G5" s="7"/>
      <c r="H5" s="5" t="s">
        <v>505</v>
      </c>
      <c r="I5" s="5" t="s">
        <v>186</v>
      </c>
      <c r="J5" s="30" t="s">
        <v>503</v>
      </c>
      <c r="K5" s="30">
        <v>5</v>
      </c>
      <c r="L5" s="29">
        <v>4000000</v>
      </c>
    </row>
    <row r="6" spans="1:12">
      <c r="A6" s="2" t="s">
        <v>506</v>
      </c>
      <c r="B6" s="2">
        <v>14</v>
      </c>
      <c r="C6" s="2">
        <v>12</v>
      </c>
      <c r="D6" s="2">
        <v>12</v>
      </c>
      <c r="E6" s="2">
        <f t="shared" si="0"/>
        <v>54</v>
      </c>
      <c r="F6" s="246" t="str">
        <f t="shared" si="1"/>
        <v/>
      </c>
      <c r="G6" s="7"/>
      <c r="H6" s="5" t="s">
        <v>507</v>
      </c>
      <c r="I6" s="5" t="s">
        <v>275</v>
      </c>
      <c r="J6" s="30" t="s">
        <v>508</v>
      </c>
      <c r="K6" s="30">
        <v>3</v>
      </c>
      <c r="L6" s="29">
        <v>4600000</v>
      </c>
    </row>
    <row r="7" spans="1:12">
      <c r="A7" s="2" t="s">
        <v>509</v>
      </c>
      <c r="B7" s="2">
        <v>9</v>
      </c>
      <c r="C7" s="2">
        <v>13</v>
      </c>
      <c r="D7" s="2">
        <v>16</v>
      </c>
      <c r="E7" s="2">
        <f t="shared" si="0"/>
        <v>40</v>
      </c>
      <c r="F7" s="246" t="str">
        <f t="shared" si="1"/>
        <v/>
      </c>
      <c r="G7" s="7"/>
      <c r="H7" s="5" t="s">
        <v>510</v>
      </c>
      <c r="I7" s="5" t="s">
        <v>186</v>
      </c>
      <c r="J7" s="30" t="s">
        <v>508</v>
      </c>
      <c r="K7" s="30">
        <v>2</v>
      </c>
      <c r="L7" s="29">
        <v>4500000</v>
      </c>
    </row>
    <row r="8" spans="1:12">
      <c r="A8" s="2" t="s">
        <v>511</v>
      </c>
      <c r="B8" s="2">
        <v>14</v>
      </c>
      <c r="C8" s="2">
        <v>9</v>
      </c>
      <c r="D8" s="2">
        <v>15</v>
      </c>
      <c r="E8" s="2">
        <f t="shared" si="0"/>
        <v>51</v>
      </c>
      <c r="F8" s="246" t="str">
        <f t="shared" si="1"/>
        <v/>
      </c>
      <c r="G8" s="7"/>
      <c r="H8" s="5" t="s">
        <v>512</v>
      </c>
      <c r="I8" s="5" t="s">
        <v>275</v>
      </c>
      <c r="J8" s="30" t="s">
        <v>239</v>
      </c>
      <c r="K8" s="30">
        <v>1</v>
      </c>
      <c r="L8" s="29">
        <v>3200000</v>
      </c>
    </row>
    <row r="9" spans="1:12">
      <c r="A9" s="2" t="s">
        <v>513</v>
      </c>
      <c r="B9" s="2">
        <v>8</v>
      </c>
      <c r="C9" s="2">
        <v>16</v>
      </c>
      <c r="D9" s="2">
        <v>14</v>
      </c>
      <c r="E9" s="2">
        <f t="shared" si="0"/>
        <v>40</v>
      </c>
      <c r="F9" s="246" t="str">
        <f t="shared" si="1"/>
        <v/>
      </c>
      <c r="G9" s="7"/>
      <c r="H9" s="5" t="s">
        <v>514</v>
      </c>
      <c r="I9" s="5" t="s">
        <v>186</v>
      </c>
      <c r="J9" s="30" t="s">
        <v>508</v>
      </c>
      <c r="K9" s="30">
        <v>3</v>
      </c>
      <c r="L9" s="29">
        <v>4600000</v>
      </c>
    </row>
    <row r="10" spans="1:12">
      <c r="A10" s="2" t="s">
        <v>515</v>
      </c>
      <c r="B10" s="2">
        <v>17</v>
      </c>
      <c r="C10" s="2">
        <v>9</v>
      </c>
      <c r="D10" s="2">
        <v>12</v>
      </c>
      <c r="E10" s="2">
        <f t="shared" si="0"/>
        <v>60</v>
      </c>
      <c r="F10" s="246" t="str">
        <f t="shared" si="1"/>
        <v>결승진출</v>
      </c>
      <c r="G10" s="7"/>
      <c r="H10" s="5" t="s">
        <v>516</v>
      </c>
      <c r="I10" s="5" t="s">
        <v>186</v>
      </c>
      <c r="J10" s="30" t="s">
        <v>239</v>
      </c>
      <c r="K10" s="30">
        <v>2</v>
      </c>
      <c r="L10" s="29">
        <v>3400000</v>
      </c>
    </row>
    <row r="11" spans="1:12">
      <c r="A11" s="2" t="s">
        <v>517</v>
      </c>
      <c r="B11" s="2">
        <v>13</v>
      </c>
      <c r="C11" s="2">
        <v>11</v>
      </c>
      <c r="D11" s="2">
        <v>14</v>
      </c>
      <c r="E11" s="2">
        <f t="shared" si="0"/>
        <v>50</v>
      </c>
      <c r="F11" s="246" t="str">
        <f t="shared" si="1"/>
        <v/>
      </c>
      <c r="G11" s="7"/>
      <c r="H11" s="5" t="s">
        <v>518</v>
      </c>
      <c r="I11" s="5" t="s">
        <v>186</v>
      </c>
      <c r="J11" s="30" t="s">
        <v>503</v>
      </c>
      <c r="K11" s="30">
        <v>4</v>
      </c>
      <c r="L11" s="29">
        <v>3800000</v>
      </c>
    </row>
    <row r="12" spans="1:12">
      <c r="A12" s="2" t="s">
        <v>519</v>
      </c>
      <c r="B12" s="2">
        <v>7</v>
      </c>
      <c r="C12" s="2">
        <v>13</v>
      </c>
      <c r="D12" s="2">
        <v>18</v>
      </c>
      <c r="E12" s="2">
        <f t="shared" si="0"/>
        <v>34</v>
      </c>
      <c r="F12" s="246" t="str">
        <f t="shared" si="1"/>
        <v/>
      </c>
      <c r="G12" s="7"/>
      <c r="H12" s="256" t="s">
        <v>520</v>
      </c>
      <c r="I12" s="257"/>
      <c r="J12" s="257"/>
      <c r="K12" s="258"/>
      <c r="L12" s="100">
        <f>ROUND(AVERAGEIFS(L3:L11,I3:I11,"여",J3:J11,"과장"),-4)</f>
        <v>4550000</v>
      </c>
    </row>
    <row r="13" spans="1:1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>
      <c r="A14" s="26" t="s">
        <v>260</v>
      </c>
      <c r="B14" s="31" t="s">
        <v>521</v>
      </c>
      <c r="C14" s="7"/>
      <c r="D14" s="7"/>
      <c r="E14" s="7"/>
      <c r="F14" s="7"/>
      <c r="G14" s="7"/>
      <c r="H14" s="26" t="s">
        <v>522</v>
      </c>
      <c r="I14" s="31" t="s">
        <v>523</v>
      </c>
      <c r="J14" s="7"/>
      <c r="K14" s="7"/>
      <c r="L14" s="7"/>
    </row>
    <row r="15" spans="1:12">
      <c r="A15" s="2" t="s">
        <v>374</v>
      </c>
      <c r="B15" s="2" t="s">
        <v>524</v>
      </c>
      <c r="C15" s="2" t="s">
        <v>525</v>
      </c>
      <c r="D15" s="2" t="s">
        <v>526</v>
      </c>
      <c r="E15" s="2" t="s">
        <v>527</v>
      </c>
      <c r="F15" s="89" t="s">
        <v>528</v>
      </c>
      <c r="G15" s="7"/>
      <c r="H15" s="2" t="s">
        <v>529</v>
      </c>
      <c r="I15" s="2" t="s">
        <v>530</v>
      </c>
      <c r="J15" s="2" t="s">
        <v>531</v>
      </c>
      <c r="K15" s="89" t="s">
        <v>532</v>
      </c>
      <c r="L15" s="7"/>
    </row>
    <row r="16" spans="1:12">
      <c r="A16" s="5" t="s">
        <v>533</v>
      </c>
      <c r="B16" s="5" t="s">
        <v>154</v>
      </c>
      <c r="C16" s="5" t="s">
        <v>154</v>
      </c>
      <c r="D16" s="5"/>
      <c r="E16" s="5" t="s">
        <v>154</v>
      </c>
      <c r="F16" s="101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102" t="str">
        <f>IF(J16&lt;=SMALL($J$16:$J$24,3),"입상","")</f>
        <v>입상</v>
      </c>
      <c r="L16" s="7"/>
    </row>
    <row r="17" spans="1:12">
      <c r="A17" s="5" t="s">
        <v>534</v>
      </c>
      <c r="B17" s="5"/>
      <c r="C17" s="5" t="s">
        <v>535</v>
      </c>
      <c r="D17" s="5" t="s">
        <v>154</v>
      </c>
      <c r="E17" s="5" t="s">
        <v>535</v>
      </c>
      <c r="F17" s="101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102" t="str">
        <f t="shared" ref="K17:K24" si="3">IF(J17&lt;=SMALL($J$16:$J$24,3),"입상","")</f>
        <v/>
      </c>
      <c r="L17" s="7"/>
    </row>
    <row r="18" spans="1:12">
      <c r="A18" s="5" t="s">
        <v>536</v>
      </c>
      <c r="B18" s="5" t="s">
        <v>154</v>
      </c>
      <c r="C18" s="5" t="s">
        <v>154</v>
      </c>
      <c r="D18" s="5" t="s">
        <v>154</v>
      </c>
      <c r="E18" s="5" t="s">
        <v>154</v>
      </c>
      <c r="F18" s="101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102" t="str">
        <f t="shared" si="3"/>
        <v/>
      </c>
      <c r="L18" s="7"/>
    </row>
    <row r="19" spans="1:12">
      <c r="A19" s="5" t="s">
        <v>537</v>
      </c>
      <c r="B19" s="5" t="s">
        <v>154</v>
      </c>
      <c r="C19" s="5"/>
      <c r="D19" s="5" t="s">
        <v>154</v>
      </c>
      <c r="E19" s="5"/>
      <c r="F19" s="101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102" t="str">
        <f t="shared" si="3"/>
        <v/>
      </c>
      <c r="L19" s="7"/>
    </row>
    <row r="20" spans="1:12">
      <c r="A20" s="5" t="s">
        <v>538</v>
      </c>
      <c r="B20" s="5" t="s">
        <v>535</v>
      </c>
      <c r="C20" s="5" t="s">
        <v>154</v>
      </c>
      <c r="D20" s="5"/>
      <c r="E20" s="5" t="s">
        <v>154</v>
      </c>
      <c r="F20" s="101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102" t="str">
        <f t="shared" si="3"/>
        <v>입상</v>
      </c>
      <c r="L20" s="7"/>
    </row>
    <row r="21" spans="1:12">
      <c r="A21" s="5" t="s">
        <v>539</v>
      </c>
      <c r="B21" s="5" t="s">
        <v>154</v>
      </c>
      <c r="C21" s="5" t="s">
        <v>154</v>
      </c>
      <c r="D21" s="5" t="s">
        <v>154</v>
      </c>
      <c r="E21" s="5"/>
      <c r="F21" s="101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102" t="str">
        <f t="shared" si="3"/>
        <v>입상</v>
      </c>
      <c r="L21" s="7"/>
    </row>
    <row r="22" spans="1:12">
      <c r="A22" s="5" t="s">
        <v>540</v>
      </c>
      <c r="B22" s="5"/>
      <c r="C22" s="5" t="s">
        <v>154</v>
      </c>
      <c r="D22" s="5"/>
      <c r="E22" s="5"/>
      <c r="F22" s="101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102" t="str">
        <f t="shared" si="3"/>
        <v/>
      </c>
      <c r="L22" s="7"/>
    </row>
    <row r="23" spans="1:12">
      <c r="A23" s="5" t="s">
        <v>541</v>
      </c>
      <c r="B23" s="5" t="s">
        <v>154</v>
      </c>
      <c r="C23" s="5" t="s">
        <v>154</v>
      </c>
      <c r="D23" s="5" t="s">
        <v>154</v>
      </c>
      <c r="E23" s="5" t="s">
        <v>154</v>
      </c>
      <c r="F23" s="101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102" t="str">
        <f t="shared" si="3"/>
        <v/>
      </c>
      <c r="L23" s="7"/>
    </row>
    <row r="24" spans="1:12">
      <c r="A24" s="5" t="s">
        <v>542</v>
      </c>
      <c r="B24" s="5"/>
      <c r="C24" s="5" t="s">
        <v>154</v>
      </c>
      <c r="D24" s="5"/>
      <c r="E24" s="5" t="s">
        <v>154</v>
      </c>
      <c r="F24" s="101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102" t="str">
        <f t="shared" si="3"/>
        <v/>
      </c>
      <c r="L24" s="7"/>
    </row>
    <row r="25" spans="1:1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>
      <c r="A26" s="26" t="s">
        <v>543</v>
      </c>
      <c r="B26" s="17"/>
      <c r="C26" s="17"/>
      <c r="D26" s="7"/>
      <c r="E26" s="7"/>
      <c r="F26" s="7"/>
      <c r="G26" s="7"/>
      <c r="H26" s="26" t="s">
        <v>171</v>
      </c>
      <c r="I26" s="7" t="s">
        <v>544</v>
      </c>
      <c r="J26" s="7"/>
      <c r="K26" s="51" t="s">
        <v>545</v>
      </c>
      <c r="L26" s="51"/>
    </row>
    <row r="27" spans="1:12">
      <c r="A27" s="52" t="s">
        <v>546</v>
      </c>
      <c r="B27" s="52" t="s">
        <v>547</v>
      </c>
      <c r="C27" s="52" t="s">
        <v>548</v>
      </c>
      <c r="D27" s="7"/>
      <c r="E27" s="7"/>
      <c r="F27" s="7"/>
      <c r="G27" s="7"/>
      <c r="H27" s="53" t="s">
        <v>549</v>
      </c>
      <c r="I27" s="53" t="s">
        <v>550</v>
      </c>
      <c r="J27" s="53" t="s">
        <v>551</v>
      </c>
      <c r="K27" s="53" t="s">
        <v>552</v>
      </c>
      <c r="L27" s="7"/>
    </row>
    <row r="28" spans="1:12">
      <c r="A28" s="54" t="s">
        <v>553</v>
      </c>
      <c r="B28" s="55" t="s">
        <v>554</v>
      </c>
      <c r="C28" s="56">
        <v>193908</v>
      </c>
      <c r="D28" s="7"/>
      <c r="E28" s="7"/>
      <c r="F28" s="7"/>
      <c r="G28" s="7"/>
      <c r="H28" s="53" t="s">
        <v>555</v>
      </c>
      <c r="I28" s="53"/>
      <c r="J28" s="53" t="s">
        <v>556</v>
      </c>
      <c r="K28" s="2" t="s">
        <v>556</v>
      </c>
      <c r="L28" s="7"/>
    </row>
    <row r="29" spans="1:12">
      <c r="A29" s="54" t="s">
        <v>557</v>
      </c>
      <c r="B29" s="2" t="s">
        <v>558</v>
      </c>
      <c r="C29" s="56"/>
      <c r="D29" s="7"/>
      <c r="E29" s="7"/>
      <c r="F29" s="7"/>
      <c r="G29" s="7"/>
      <c r="H29" s="53" t="s">
        <v>559</v>
      </c>
      <c r="I29" s="53"/>
      <c r="J29" s="53"/>
      <c r="K29" s="2"/>
      <c r="L29" s="7"/>
    </row>
    <row r="30" spans="1:12">
      <c r="A30" s="54" t="s">
        <v>560</v>
      </c>
      <c r="B30" s="2" t="s">
        <v>561</v>
      </c>
      <c r="C30" s="56"/>
      <c r="D30" s="7"/>
      <c r="E30" s="7"/>
      <c r="F30" s="7"/>
      <c r="G30" s="7"/>
      <c r="H30" s="53" t="s">
        <v>562</v>
      </c>
      <c r="I30" s="53" t="s">
        <v>556</v>
      </c>
      <c r="J30" s="53"/>
      <c r="K30" s="2"/>
      <c r="L30" s="7"/>
    </row>
    <row r="31" spans="1:12">
      <c r="A31" s="54" t="s">
        <v>563</v>
      </c>
      <c r="B31" s="2" t="s">
        <v>564</v>
      </c>
      <c r="C31" s="56">
        <v>2697000</v>
      </c>
      <c r="D31" s="7"/>
      <c r="E31" s="7"/>
      <c r="F31" s="7"/>
      <c r="G31" s="7"/>
      <c r="H31" s="53" t="s">
        <v>565</v>
      </c>
      <c r="I31" s="53"/>
      <c r="J31" s="53"/>
      <c r="K31" s="2" t="s">
        <v>556</v>
      </c>
      <c r="L31" s="7"/>
    </row>
    <row r="32" spans="1:12">
      <c r="A32" s="54" t="s">
        <v>566</v>
      </c>
      <c r="B32" s="2" t="s">
        <v>567</v>
      </c>
      <c r="C32" s="56"/>
      <c r="D32" s="7"/>
      <c r="E32" s="7"/>
      <c r="F32" s="7"/>
      <c r="G32" s="7"/>
      <c r="H32" s="53" t="s">
        <v>568</v>
      </c>
      <c r="I32" s="53" t="s">
        <v>556</v>
      </c>
      <c r="J32" s="53"/>
      <c r="K32" s="2"/>
      <c r="L32" s="7"/>
    </row>
    <row r="33" spans="1:12">
      <c r="A33" s="54" t="s">
        <v>569</v>
      </c>
      <c r="B33" s="2" t="s">
        <v>570</v>
      </c>
      <c r="C33" s="56">
        <v>5000000</v>
      </c>
      <c r="D33" s="7"/>
      <c r="E33" s="7"/>
      <c r="F33" s="7"/>
      <c r="G33" s="7"/>
      <c r="H33" s="53" t="s">
        <v>571</v>
      </c>
      <c r="I33" s="53"/>
      <c r="J33" s="53"/>
      <c r="K33" s="2"/>
      <c r="L33" s="7"/>
    </row>
    <row r="34" spans="1:12">
      <c r="A34" s="272" t="s">
        <v>572</v>
      </c>
      <c r="B34" s="272"/>
      <c r="C34" s="103" t="str">
        <f>COUNT(C28:C33)&amp;"건"</f>
        <v>3건</v>
      </c>
      <c r="D34" s="7"/>
      <c r="E34" s="7"/>
      <c r="F34" s="7"/>
      <c r="G34" s="7"/>
      <c r="H34" s="57" t="s">
        <v>573</v>
      </c>
      <c r="I34" s="57" t="s">
        <v>556</v>
      </c>
      <c r="J34" s="57" t="s">
        <v>556</v>
      </c>
      <c r="K34" s="1" t="s">
        <v>556</v>
      </c>
      <c r="L34" s="7"/>
    </row>
    <row r="35" spans="1:1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>
      <c r="A36" s="7"/>
      <c r="B36" s="7"/>
      <c r="C36" s="7"/>
      <c r="D36" s="7"/>
      <c r="E36" s="7"/>
      <c r="F36" s="7"/>
      <c r="G36" s="7"/>
      <c r="H36" s="273" t="s">
        <v>574</v>
      </c>
      <c r="I36" s="274"/>
      <c r="J36" s="97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7"/>
  <sheetViews>
    <sheetView workbookViewId="0"/>
  </sheetViews>
  <sheetFormatPr defaultRowHeight="17"/>
  <cols>
    <col min="1" max="1" width="10.25" bestFit="1" customWidth="1"/>
    <col min="3" max="3" width="15.83203125" bestFit="1" customWidth="1"/>
    <col min="4" max="4" width="11" customWidth="1"/>
    <col min="5" max="5" width="1.58203125" customWidth="1"/>
    <col min="7" max="7" width="14.58203125" bestFit="1" customWidth="1"/>
    <col min="8" max="11" width="10.83203125" bestFit="1" customWidth="1"/>
  </cols>
  <sheetData>
    <row r="1" spans="1:12">
      <c r="A1" s="26" t="s">
        <v>65</v>
      </c>
      <c r="B1" s="45"/>
      <c r="C1" s="45"/>
      <c r="D1" s="45"/>
      <c r="E1" s="26"/>
      <c r="F1" s="26" t="s">
        <v>67</v>
      </c>
      <c r="G1" s="27" t="s">
        <v>576</v>
      </c>
      <c r="H1" s="26"/>
      <c r="I1" s="26"/>
      <c r="J1" s="26"/>
      <c r="K1" s="26"/>
      <c r="L1" s="26"/>
    </row>
    <row r="2" spans="1:12">
      <c r="A2" s="85" t="s">
        <v>577</v>
      </c>
      <c r="B2" s="85" t="s">
        <v>414</v>
      </c>
      <c r="C2" s="85" t="s">
        <v>579</v>
      </c>
      <c r="D2" s="90" t="s">
        <v>580</v>
      </c>
      <c r="E2" s="26"/>
      <c r="F2" s="85" t="s">
        <v>264</v>
      </c>
      <c r="G2" s="85" t="s">
        <v>581</v>
      </c>
      <c r="H2" s="85" t="s">
        <v>582</v>
      </c>
      <c r="I2" s="90" t="s">
        <v>266</v>
      </c>
      <c r="J2" s="26"/>
      <c r="K2" s="26"/>
      <c r="L2" s="26"/>
    </row>
    <row r="3" spans="1:12">
      <c r="A3" s="58" t="s">
        <v>584</v>
      </c>
      <c r="B3" s="85" t="s">
        <v>585</v>
      </c>
      <c r="C3" s="85" t="s">
        <v>586</v>
      </c>
      <c r="D3" s="85"/>
      <c r="E3" s="26"/>
      <c r="F3" s="85" t="s">
        <v>587</v>
      </c>
      <c r="G3" s="85">
        <v>5</v>
      </c>
      <c r="H3" s="87">
        <v>2310000</v>
      </c>
      <c r="I3" s="85"/>
      <c r="J3" s="26"/>
      <c r="K3" s="26"/>
      <c r="L3" s="26"/>
    </row>
    <row r="4" spans="1:12">
      <c r="A4" s="58" t="s">
        <v>588</v>
      </c>
      <c r="B4" s="85" t="s">
        <v>589</v>
      </c>
      <c r="C4" s="85" t="s">
        <v>590</v>
      </c>
      <c r="D4" s="85"/>
      <c r="E4" s="26"/>
      <c r="F4" s="85" t="s">
        <v>591</v>
      </c>
      <c r="G4" s="85">
        <v>4</v>
      </c>
      <c r="H4" s="87">
        <v>3564000</v>
      </c>
      <c r="I4" s="85"/>
      <c r="J4" s="26"/>
      <c r="K4" s="26"/>
      <c r="L4" s="26"/>
    </row>
    <row r="5" spans="1:12">
      <c r="A5" s="58" t="s">
        <v>592</v>
      </c>
      <c r="B5" s="85" t="s">
        <v>593</v>
      </c>
      <c r="C5" s="85" t="s">
        <v>594</v>
      </c>
      <c r="D5" s="85"/>
      <c r="E5" s="26"/>
      <c r="F5" s="85" t="s">
        <v>595</v>
      </c>
      <c r="G5" s="85">
        <v>3</v>
      </c>
      <c r="H5" s="87">
        <v>1200000</v>
      </c>
      <c r="I5" s="85"/>
      <c r="J5" s="26"/>
      <c r="K5" s="275" t="s">
        <v>596</v>
      </c>
      <c r="L5" s="275"/>
    </row>
    <row r="6" spans="1:12">
      <c r="A6" s="58" t="s">
        <v>597</v>
      </c>
      <c r="B6" s="85" t="s">
        <v>598</v>
      </c>
      <c r="C6" s="85" t="s">
        <v>599</v>
      </c>
      <c r="D6" s="85"/>
      <c r="E6" s="26"/>
      <c r="F6" s="85" t="s">
        <v>600</v>
      </c>
      <c r="G6" s="85">
        <v>7</v>
      </c>
      <c r="H6" s="87">
        <v>3756000</v>
      </c>
      <c r="I6" s="85"/>
      <c r="J6" s="26"/>
      <c r="K6" s="85" t="s">
        <v>601</v>
      </c>
      <c r="L6" s="85" t="s">
        <v>266</v>
      </c>
    </row>
    <row r="7" spans="1:12">
      <c r="A7" s="58" t="s">
        <v>603</v>
      </c>
      <c r="B7" s="85" t="s">
        <v>604</v>
      </c>
      <c r="C7" s="86" t="s">
        <v>605</v>
      </c>
      <c r="D7" s="85"/>
      <c r="E7" s="26"/>
      <c r="F7" s="85" t="s">
        <v>606</v>
      </c>
      <c r="G7" s="85">
        <v>9</v>
      </c>
      <c r="H7" s="87">
        <v>5550000</v>
      </c>
      <c r="I7" s="85"/>
      <c r="J7" s="26"/>
      <c r="K7" s="87">
        <v>1000000</v>
      </c>
      <c r="L7" s="85" t="s">
        <v>282</v>
      </c>
    </row>
    <row r="8" spans="1:12">
      <c r="A8" s="58" t="s">
        <v>608</v>
      </c>
      <c r="B8" s="85" t="s">
        <v>609</v>
      </c>
      <c r="C8" s="85" t="s">
        <v>610</v>
      </c>
      <c r="D8" s="85"/>
      <c r="E8" s="26"/>
      <c r="F8" s="85" t="s">
        <v>398</v>
      </c>
      <c r="G8" s="85">
        <v>11</v>
      </c>
      <c r="H8" s="87">
        <v>7542000</v>
      </c>
      <c r="I8" s="85"/>
      <c r="J8" s="26"/>
      <c r="K8" s="87">
        <v>3000000</v>
      </c>
      <c r="L8" s="85" t="s">
        <v>611</v>
      </c>
    </row>
    <row r="9" spans="1:12">
      <c r="A9" s="58" t="s">
        <v>612</v>
      </c>
      <c r="B9" s="85" t="s">
        <v>613</v>
      </c>
      <c r="C9" s="85" t="s">
        <v>614</v>
      </c>
      <c r="D9" s="85"/>
      <c r="E9" s="26"/>
      <c r="F9" s="85" t="s">
        <v>615</v>
      </c>
      <c r="G9" s="85">
        <v>8</v>
      </c>
      <c r="H9" s="87">
        <v>4685000</v>
      </c>
      <c r="I9" s="85"/>
      <c r="J9" s="26"/>
      <c r="K9" s="87">
        <v>5000000</v>
      </c>
      <c r="L9" s="85" t="s">
        <v>276</v>
      </c>
    </row>
    <row r="10" spans="1:12">
      <c r="A10" s="58" t="s">
        <v>616</v>
      </c>
      <c r="B10" s="85" t="s">
        <v>617</v>
      </c>
      <c r="C10" s="85" t="s">
        <v>618</v>
      </c>
      <c r="D10" s="85"/>
      <c r="E10" s="26"/>
      <c r="F10" s="85" t="s">
        <v>619</v>
      </c>
      <c r="G10" s="85">
        <v>10</v>
      </c>
      <c r="H10" s="87">
        <v>4112000</v>
      </c>
      <c r="I10" s="85"/>
      <c r="J10" s="26"/>
      <c r="K10" s="87">
        <v>7000000</v>
      </c>
      <c r="L10" s="85" t="s">
        <v>296</v>
      </c>
    </row>
    <row r="11" spans="1:12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>
      <c r="A12" s="26" t="s">
        <v>112</v>
      </c>
      <c r="B12" s="27" t="s">
        <v>622</v>
      </c>
      <c r="C12" s="26"/>
      <c r="D12" s="26"/>
      <c r="E12" s="26"/>
      <c r="F12" s="26" t="s">
        <v>114</v>
      </c>
      <c r="G12" s="27" t="s">
        <v>623</v>
      </c>
      <c r="H12" s="26"/>
      <c r="I12" s="26"/>
      <c r="J12" s="26"/>
      <c r="K12" s="26"/>
      <c r="L12" s="26"/>
    </row>
    <row r="13" spans="1:12">
      <c r="A13" s="85" t="s">
        <v>624</v>
      </c>
      <c r="B13" s="85" t="s">
        <v>625</v>
      </c>
      <c r="C13" s="85" t="s">
        <v>76</v>
      </c>
      <c r="D13" s="90" t="s">
        <v>77</v>
      </c>
      <c r="E13" s="26"/>
      <c r="F13" s="85" t="s">
        <v>75</v>
      </c>
      <c r="G13" s="85" t="s">
        <v>628</v>
      </c>
      <c r="H13" s="85" t="s">
        <v>496</v>
      </c>
      <c r="I13" s="85" t="s">
        <v>630</v>
      </c>
      <c r="J13" s="90" t="s">
        <v>631</v>
      </c>
      <c r="K13" s="26"/>
      <c r="L13" s="26"/>
    </row>
    <row r="14" spans="1:12">
      <c r="A14" s="85" t="s">
        <v>632</v>
      </c>
      <c r="B14" s="85" t="s">
        <v>633</v>
      </c>
      <c r="C14" s="30">
        <v>315</v>
      </c>
      <c r="D14" s="28"/>
      <c r="E14" s="26"/>
      <c r="F14" s="85" t="s">
        <v>634</v>
      </c>
      <c r="G14" s="85" t="s">
        <v>382</v>
      </c>
      <c r="H14" s="85" t="s">
        <v>383</v>
      </c>
      <c r="I14" s="28">
        <v>500000</v>
      </c>
      <c r="J14" s="28"/>
      <c r="K14" s="26"/>
      <c r="L14" s="26"/>
    </row>
    <row r="15" spans="1:12">
      <c r="A15" s="85" t="s">
        <v>632</v>
      </c>
      <c r="B15" s="85" t="s">
        <v>637</v>
      </c>
      <c r="C15" s="30">
        <v>294</v>
      </c>
      <c r="D15" s="28"/>
      <c r="E15" s="26"/>
      <c r="F15" s="85" t="s">
        <v>638</v>
      </c>
      <c r="G15" s="85" t="s">
        <v>639</v>
      </c>
      <c r="H15" s="85" t="s">
        <v>239</v>
      </c>
      <c r="I15" s="28">
        <v>300000</v>
      </c>
      <c r="J15" s="28"/>
      <c r="K15" s="26"/>
      <c r="L15" s="26"/>
    </row>
    <row r="16" spans="1:12">
      <c r="A16" s="85" t="s">
        <v>632</v>
      </c>
      <c r="B16" s="85" t="s">
        <v>633</v>
      </c>
      <c r="C16" s="30">
        <v>357</v>
      </c>
      <c r="D16" s="28"/>
      <c r="E16" s="26"/>
      <c r="F16" s="85" t="s">
        <v>641</v>
      </c>
      <c r="G16" s="85" t="s">
        <v>642</v>
      </c>
      <c r="H16" s="85" t="s">
        <v>248</v>
      </c>
      <c r="I16" s="28">
        <v>250000</v>
      </c>
      <c r="J16" s="28"/>
      <c r="K16" s="26"/>
      <c r="L16" s="26"/>
    </row>
    <row r="17" spans="1:12">
      <c r="A17" s="85" t="s">
        <v>644</v>
      </c>
      <c r="B17" s="85" t="s">
        <v>637</v>
      </c>
      <c r="C17" s="30">
        <v>248</v>
      </c>
      <c r="D17" s="28"/>
      <c r="E17" s="26"/>
      <c r="F17" s="85" t="s">
        <v>646</v>
      </c>
      <c r="G17" s="85" t="s">
        <v>382</v>
      </c>
      <c r="H17" s="85" t="s">
        <v>239</v>
      </c>
      <c r="I17" s="28">
        <v>300000</v>
      </c>
      <c r="J17" s="28"/>
      <c r="K17" s="26"/>
      <c r="L17" s="26"/>
    </row>
    <row r="18" spans="1:12">
      <c r="A18" s="85" t="s">
        <v>644</v>
      </c>
      <c r="B18" s="85" t="s">
        <v>649</v>
      </c>
      <c r="C18" s="30">
        <v>323</v>
      </c>
      <c r="D18" s="28"/>
      <c r="E18" s="26"/>
      <c r="F18" s="85" t="s">
        <v>650</v>
      </c>
      <c r="G18" s="85" t="s">
        <v>639</v>
      </c>
      <c r="H18" s="85" t="s">
        <v>248</v>
      </c>
      <c r="I18" s="28">
        <v>250000</v>
      </c>
      <c r="J18" s="28"/>
      <c r="K18" s="26"/>
      <c r="L18" s="26"/>
    </row>
    <row r="19" spans="1:12">
      <c r="A19" s="85" t="s">
        <v>644</v>
      </c>
      <c r="B19" s="85" t="s">
        <v>637</v>
      </c>
      <c r="C19" s="30">
        <v>355</v>
      </c>
      <c r="D19" s="28"/>
      <c r="E19" s="26"/>
      <c r="F19" s="85" t="s">
        <v>655</v>
      </c>
      <c r="G19" s="85" t="s">
        <v>137</v>
      </c>
      <c r="H19" s="85" t="s">
        <v>228</v>
      </c>
      <c r="I19" s="28">
        <v>400000</v>
      </c>
      <c r="J19" s="28"/>
      <c r="K19" s="26"/>
      <c r="L19" s="26"/>
    </row>
    <row r="20" spans="1:12">
      <c r="A20" s="85" t="s">
        <v>657</v>
      </c>
      <c r="B20" s="85" t="s">
        <v>633</v>
      </c>
      <c r="C20" s="30">
        <v>385</v>
      </c>
      <c r="D20" s="28"/>
      <c r="E20" s="26"/>
      <c r="F20" s="85" t="s">
        <v>659</v>
      </c>
      <c r="G20" s="85" t="s">
        <v>639</v>
      </c>
      <c r="H20" s="85" t="s">
        <v>248</v>
      </c>
      <c r="I20" s="28">
        <v>250000</v>
      </c>
      <c r="J20" s="28"/>
      <c r="K20" s="26"/>
      <c r="L20" s="26"/>
    </row>
    <row r="21" spans="1:12">
      <c r="A21" s="85" t="s">
        <v>657</v>
      </c>
      <c r="B21" s="85" t="s">
        <v>637</v>
      </c>
      <c r="C21" s="30">
        <v>366</v>
      </c>
      <c r="D21" s="28"/>
      <c r="E21" s="26"/>
      <c r="F21" s="85" t="s">
        <v>662</v>
      </c>
      <c r="G21" s="85" t="s">
        <v>137</v>
      </c>
      <c r="H21" s="85" t="s">
        <v>383</v>
      </c>
      <c r="I21" s="28">
        <v>500000</v>
      </c>
      <c r="J21" s="28"/>
      <c r="K21" s="26"/>
      <c r="L21" s="26"/>
    </row>
    <row r="22" spans="1:12">
      <c r="A22" s="85" t="s">
        <v>657</v>
      </c>
      <c r="B22" s="85" t="s">
        <v>649</v>
      </c>
      <c r="C22" s="30">
        <v>374</v>
      </c>
      <c r="D22" s="28"/>
      <c r="E22" s="26"/>
      <c r="F22" s="85" t="s">
        <v>666</v>
      </c>
      <c r="G22" s="85" t="s">
        <v>382</v>
      </c>
      <c r="H22" s="85" t="s">
        <v>239</v>
      </c>
      <c r="I22" s="28">
        <v>300000</v>
      </c>
      <c r="J22" s="28"/>
      <c r="K22" s="26"/>
      <c r="L22" s="26"/>
    </row>
    <row r="23" spans="1:1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>
      <c r="A24" s="26" t="s">
        <v>667</v>
      </c>
      <c r="B24" s="26"/>
      <c r="C24" s="27"/>
      <c r="D24" s="26"/>
      <c r="E24" s="26"/>
      <c r="F24" s="26" t="s">
        <v>668</v>
      </c>
      <c r="G24" s="26"/>
      <c r="H24" s="26"/>
      <c r="I24" s="26"/>
      <c r="J24" s="26"/>
      <c r="K24" s="26"/>
      <c r="L24" s="26"/>
    </row>
    <row r="25" spans="1:12">
      <c r="A25" s="85" t="s">
        <v>624</v>
      </c>
      <c r="B25" s="85" t="s">
        <v>632</v>
      </c>
      <c r="C25" s="85" t="s">
        <v>644</v>
      </c>
      <c r="D25" s="85" t="s">
        <v>657</v>
      </c>
      <c r="E25" s="26"/>
      <c r="F25" s="85" t="s">
        <v>496</v>
      </c>
      <c r="G25" s="85" t="s">
        <v>248</v>
      </c>
      <c r="H25" s="85" t="s">
        <v>239</v>
      </c>
      <c r="I25" s="85" t="s">
        <v>228</v>
      </c>
      <c r="J25" s="85" t="s">
        <v>383</v>
      </c>
      <c r="K25" s="26"/>
      <c r="L25" s="26"/>
    </row>
    <row r="26" spans="1:12">
      <c r="A26" s="85" t="s">
        <v>123</v>
      </c>
      <c r="B26" s="87">
        <v>30000</v>
      </c>
      <c r="C26" s="87">
        <v>32500</v>
      </c>
      <c r="D26" s="87">
        <v>36000</v>
      </c>
      <c r="E26" s="26"/>
      <c r="F26" s="85" t="s">
        <v>221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>
      <c r="A27" s="85" t="s">
        <v>675</v>
      </c>
      <c r="B27" s="87">
        <v>25500</v>
      </c>
      <c r="C27" s="87">
        <v>27625</v>
      </c>
      <c r="D27" s="87">
        <v>29520</v>
      </c>
      <c r="E27" s="26"/>
      <c r="F27" s="85" t="s">
        <v>676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7"/>
  <sheetViews>
    <sheetView workbookViewId="0"/>
  </sheetViews>
  <sheetFormatPr defaultRowHeight="17"/>
  <cols>
    <col min="1" max="1" width="10.25" bestFit="1" customWidth="1"/>
    <col min="3" max="3" width="15.83203125" bestFit="1" customWidth="1"/>
    <col min="4" max="4" width="11" customWidth="1"/>
    <col min="5" max="5" width="1.58203125" customWidth="1"/>
    <col min="7" max="7" width="14.58203125" bestFit="1" customWidth="1"/>
    <col min="8" max="11" width="10.83203125" bestFit="1" customWidth="1"/>
  </cols>
  <sheetData>
    <row r="1" spans="1:12">
      <c r="A1" s="26" t="s">
        <v>214</v>
      </c>
      <c r="B1" s="45"/>
      <c r="C1" s="45"/>
      <c r="D1" s="45"/>
      <c r="E1" s="26"/>
      <c r="F1" s="26" t="s">
        <v>575</v>
      </c>
      <c r="G1" s="27" t="s">
        <v>576</v>
      </c>
      <c r="H1" s="26"/>
      <c r="I1" s="26"/>
      <c r="J1" s="26"/>
      <c r="K1" s="26"/>
      <c r="L1" s="26"/>
    </row>
    <row r="2" spans="1:12">
      <c r="A2" s="2" t="s">
        <v>577</v>
      </c>
      <c r="B2" s="2" t="s">
        <v>578</v>
      </c>
      <c r="C2" s="2" t="s">
        <v>579</v>
      </c>
      <c r="D2" s="89" t="s">
        <v>580</v>
      </c>
      <c r="E2" s="26"/>
      <c r="F2" s="2" t="s">
        <v>264</v>
      </c>
      <c r="G2" s="2" t="s">
        <v>581</v>
      </c>
      <c r="H2" s="2" t="s">
        <v>582</v>
      </c>
      <c r="I2" s="89" t="s">
        <v>583</v>
      </c>
      <c r="J2" s="26"/>
      <c r="K2" s="26"/>
      <c r="L2" s="26"/>
    </row>
    <row r="3" spans="1:12">
      <c r="A3" s="58" t="s">
        <v>584</v>
      </c>
      <c r="B3" s="2" t="s">
        <v>585</v>
      </c>
      <c r="C3" s="2" t="s">
        <v>586</v>
      </c>
      <c r="D3" s="97" t="str">
        <f>CHOOSE(MID(C3,8,1),"남","여","남","여")</f>
        <v>여</v>
      </c>
      <c r="E3" s="26"/>
      <c r="F3" s="2" t="s">
        <v>587</v>
      </c>
      <c r="G3" s="2">
        <v>5</v>
      </c>
      <c r="H3" s="29">
        <v>2310000</v>
      </c>
      <c r="I3" s="97" t="str">
        <f t="shared" ref="I3:I10" si="0">VLOOKUP(H3,$K$7:$L$10,2)</f>
        <v>일반</v>
      </c>
      <c r="J3" s="26"/>
      <c r="K3" s="26"/>
      <c r="L3" s="26"/>
    </row>
    <row r="4" spans="1:12">
      <c r="A4" s="58" t="s">
        <v>588</v>
      </c>
      <c r="B4" s="2" t="s">
        <v>589</v>
      </c>
      <c r="C4" s="2" t="s">
        <v>590</v>
      </c>
      <c r="D4" s="97" t="str">
        <f t="shared" ref="D4:D10" si="1">CHOOSE(MID(C4,8,1),"남","여","남","여")</f>
        <v>여</v>
      </c>
      <c r="E4" s="26"/>
      <c r="F4" s="2" t="s">
        <v>591</v>
      </c>
      <c r="G4" s="2">
        <v>4</v>
      </c>
      <c r="H4" s="29">
        <v>3564000</v>
      </c>
      <c r="I4" s="97" t="str">
        <f t="shared" si="0"/>
        <v>실버</v>
      </c>
      <c r="J4" s="26"/>
      <c r="K4" s="26"/>
      <c r="L4" s="26"/>
    </row>
    <row r="5" spans="1:12">
      <c r="A5" s="58" t="s">
        <v>592</v>
      </c>
      <c r="B5" s="2" t="s">
        <v>593</v>
      </c>
      <c r="C5" s="2" t="s">
        <v>594</v>
      </c>
      <c r="D5" s="97" t="str">
        <f t="shared" si="1"/>
        <v>남</v>
      </c>
      <c r="E5" s="26"/>
      <c r="F5" s="2" t="s">
        <v>595</v>
      </c>
      <c r="G5" s="2">
        <v>3</v>
      </c>
      <c r="H5" s="29">
        <v>1200000</v>
      </c>
      <c r="I5" s="97" t="str">
        <f t="shared" si="0"/>
        <v>일반</v>
      </c>
      <c r="J5" s="26"/>
      <c r="K5" s="275" t="s">
        <v>596</v>
      </c>
      <c r="L5" s="275"/>
    </row>
    <row r="6" spans="1:12">
      <c r="A6" s="58" t="s">
        <v>597</v>
      </c>
      <c r="B6" s="2" t="s">
        <v>598</v>
      </c>
      <c r="C6" s="2" t="s">
        <v>599</v>
      </c>
      <c r="D6" s="97" t="str">
        <f t="shared" si="1"/>
        <v>남</v>
      </c>
      <c r="E6" s="26"/>
      <c r="F6" s="2" t="s">
        <v>600</v>
      </c>
      <c r="G6" s="2">
        <v>7</v>
      </c>
      <c r="H6" s="29">
        <v>3756000</v>
      </c>
      <c r="I6" s="97" t="str">
        <f t="shared" si="0"/>
        <v>실버</v>
      </c>
      <c r="J6" s="26"/>
      <c r="K6" s="2" t="s">
        <v>601</v>
      </c>
      <c r="L6" s="2" t="s">
        <v>602</v>
      </c>
    </row>
    <row r="7" spans="1:12">
      <c r="A7" s="58" t="s">
        <v>603</v>
      </c>
      <c r="B7" s="2" t="s">
        <v>604</v>
      </c>
      <c r="C7" s="59" t="s">
        <v>605</v>
      </c>
      <c r="D7" s="97" t="str">
        <f t="shared" si="1"/>
        <v>남</v>
      </c>
      <c r="E7" s="26"/>
      <c r="F7" s="2" t="s">
        <v>606</v>
      </c>
      <c r="G7" s="2">
        <v>9</v>
      </c>
      <c r="H7" s="29">
        <v>5550000</v>
      </c>
      <c r="I7" s="97" t="str">
        <f t="shared" si="0"/>
        <v>골드</v>
      </c>
      <c r="J7" s="26"/>
      <c r="K7" s="29">
        <v>1000000</v>
      </c>
      <c r="L7" s="2" t="s">
        <v>607</v>
      </c>
    </row>
    <row r="8" spans="1:12">
      <c r="A8" s="58" t="s">
        <v>608</v>
      </c>
      <c r="B8" s="2" t="s">
        <v>609</v>
      </c>
      <c r="C8" s="2" t="s">
        <v>610</v>
      </c>
      <c r="D8" s="97" t="str">
        <f t="shared" si="1"/>
        <v>남</v>
      </c>
      <c r="E8" s="26"/>
      <c r="F8" s="2" t="s">
        <v>398</v>
      </c>
      <c r="G8" s="2">
        <v>11</v>
      </c>
      <c r="H8" s="29">
        <v>7542000</v>
      </c>
      <c r="I8" s="97" t="str">
        <f t="shared" si="0"/>
        <v>VIP</v>
      </c>
      <c r="J8" s="26"/>
      <c r="K8" s="29">
        <v>3000000</v>
      </c>
      <c r="L8" s="2" t="s">
        <v>611</v>
      </c>
    </row>
    <row r="9" spans="1:12">
      <c r="A9" s="58" t="s">
        <v>612</v>
      </c>
      <c r="B9" s="2" t="s">
        <v>613</v>
      </c>
      <c r="C9" s="2" t="s">
        <v>614</v>
      </c>
      <c r="D9" s="97" t="str">
        <f t="shared" si="1"/>
        <v>여</v>
      </c>
      <c r="E9" s="26"/>
      <c r="F9" s="2" t="s">
        <v>615</v>
      </c>
      <c r="G9" s="2">
        <v>8</v>
      </c>
      <c r="H9" s="29">
        <v>4685000</v>
      </c>
      <c r="I9" s="97" t="str">
        <f t="shared" si="0"/>
        <v>실버</v>
      </c>
      <c r="J9" s="26"/>
      <c r="K9" s="29">
        <v>5000000</v>
      </c>
      <c r="L9" s="2" t="s">
        <v>276</v>
      </c>
    </row>
    <row r="10" spans="1:12">
      <c r="A10" s="58" t="s">
        <v>616</v>
      </c>
      <c r="B10" s="2" t="s">
        <v>617</v>
      </c>
      <c r="C10" s="2" t="s">
        <v>618</v>
      </c>
      <c r="D10" s="97" t="str">
        <f t="shared" si="1"/>
        <v>남</v>
      </c>
      <c r="E10" s="26"/>
      <c r="F10" s="2" t="s">
        <v>619</v>
      </c>
      <c r="G10" s="2">
        <v>10</v>
      </c>
      <c r="H10" s="29">
        <v>4112000</v>
      </c>
      <c r="I10" s="97" t="str">
        <f t="shared" si="0"/>
        <v>실버</v>
      </c>
      <c r="J10" s="26"/>
      <c r="K10" s="29">
        <v>7000000</v>
      </c>
      <c r="L10" s="2" t="s">
        <v>620</v>
      </c>
    </row>
    <row r="11" spans="1:12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>
      <c r="A12" s="26" t="s">
        <v>621</v>
      </c>
      <c r="B12" s="27" t="s">
        <v>622</v>
      </c>
      <c r="C12" s="26"/>
      <c r="D12" s="26"/>
      <c r="E12" s="26"/>
      <c r="F12" s="26" t="s">
        <v>262</v>
      </c>
      <c r="G12" s="27" t="s">
        <v>623</v>
      </c>
      <c r="H12" s="26"/>
      <c r="I12" s="26"/>
      <c r="J12" s="26"/>
      <c r="K12" s="26"/>
      <c r="L12" s="26"/>
    </row>
    <row r="13" spans="1:12">
      <c r="A13" s="2" t="s">
        <v>624</v>
      </c>
      <c r="B13" s="2" t="s">
        <v>625</v>
      </c>
      <c r="C13" s="2" t="s">
        <v>626</v>
      </c>
      <c r="D13" s="89" t="s">
        <v>77</v>
      </c>
      <c r="E13" s="26"/>
      <c r="F13" s="2" t="s">
        <v>627</v>
      </c>
      <c r="G13" s="2" t="s">
        <v>628</v>
      </c>
      <c r="H13" s="2" t="s">
        <v>629</v>
      </c>
      <c r="I13" s="2" t="s">
        <v>630</v>
      </c>
      <c r="J13" s="89" t="s">
        <v>631</v>
      </c>
      <c r="K13" s="26"/>
      <c r="L13" s="26"/>
    </row>
    <row r="14" spans="1:12">
      <c r="A14" s="2" t="s">
        <v>632</v>
      </c>
      <c r="B14" s="2" t="s">
        <v>633</v>
      </c>
      <c r="C14" s="30">
        <v>315</v>
      </c>
      <c r="D14" s="104">
        <f>C14*INDEX($B$26:$D$27,2,MATCH(A14,$B$25:$D$25,0))</f>
        <v>8032500</v>
      </c>
      <c r="E14" s="26"/>
      <c r="F14" s="2" t="s">
        <v>634</v>
      </c>
      <c r="G14" s="2" t="s">
        <v>635</v>
      </c>
      <c r="H14" s="2" t="s">
        <v>383</v>
      </c>
      <c r="I14" s="28">
        <v>500000</v>
      </c>
      <c r="J14" s="104">
        <f t="shared" ref="J14:J22" si="2">HLOOKUP(H14,$G$25:$J$27,2,FALSE)+HLOOKUP(H14,$G$25:$J$27,3,FALSE)+I14</f>
        <v>4180000</v>
      </c>
      <c r="K14" s="26"/>
      <c r="L14" s="26"/>
    </row>
    <row r="15" spans="1:12">
      <c r="A15" s="2" t="s">
        <v>636</v>
      </c>
      <c r="B15" s="2" t="s">
        <v>637</v>
      </c>
      <c r="C15" s="30">
        <v>294</v>
      </c>
      <c r="D15" s="104">
        <f t="shared" ref="D15:D22" si="3">C15*INDEX($B$26:$D$27,2,MATCH(A15,$B$25:$D$25,0))</f>
        <v>7497000</v>
      </c>
      <c r="E15" s="26"/>
      <c r="F15" s="2" t="s">
        <v>638</v>
      </c>
      <c r="G15" s="2" t="s">
        <v>639</v>
      </c>
      <c r="H15" s="2" t="s">
        <v>245</v>
      </c>
      <c r="I15" s="28">
        <v>300000</v>
      </c>
      <c r="J15" s="104">
        <f t="shared" si="2"/>
        <v>2820000</v>
      </c>
      <c r="K15" s="26"/>
      <c r="L15" s="26"/>
    </row>
    <row r="16" spans="1:12">
      <c r="A16" s="2" t="s">
        <v>640</v>
      </c>
      <c r="B16" s="2" t="s">
        <v>633</v>
      </c>
      <c r="C16" s="30">
        <v>357</v>
      </c>
      <c r="D16" s="104">
        <f t="shared" si="3"/>
        <v>9103500</v>
      </c>
      <c r="E16" s="26"/>
      <c r="F16" s="2" t="s">
        <v>641</v>
      </c>
      <c r="G16" s="2" t="s">
        <v>642</v>
      </c>
      <c r="H16" s="2" t="s">
        <v>643</v>
      </c>
      <c r="I16" s="28">
        <v>250000</v>
      </c>
      <c r="J16" s="104">
        <f t="shared" si="2"/>
        <v>2150000</v>
      </c>
      <c r="K16" s="26"/>
      <c r="L16" s="26"/>
    </row>
    <row r="17" spans="1:12">
      <c r="A17" s="2" t="s">
        <v>644</v>
      </c>
      <c r="B17" s="2" t="s">
        <v>645</v>
      </c>
      <c r="C17" s="30">
        <v>248</v>
      </c>
      <c r="D17" s="104">
        <f t="shared" si="3"/>
        <v>6851000</v>
      </c>
      <c r="E17" s="26"/>
      <c r="F17" s="2" t="s">
        <v>646</v>
      </c>
      <c r="G17" s="2" t="s">
        <v>647</v>
      </c>
      <c r="H17" s="2" t="s">
        <v>503</v>
      </c>
      <c r="I17" s="28">
        <v>300000</v>
      </c>
      <c r="J17" s="104">
        <f t="shared" si="2"/>
        <v>2820000</v>
      </c>
      <c r="K17" s="26"/>
      <c r="L17" s="26"/>
    </row>
    <row r="18" spans="1:12">
      <c r="A18" s="2" t="s">
        <v>648</v>
      </c>
      <c r="B18" s="2" t="s">
        <v>649</v>
      </c>
      <c r="C18" s="30">
        <v>323</v>
      </c>
      <c r="D18" s="104">
        <f t="shared" si="3"/>
        <v>8922875</v>
      </c>
      <c r="E18" s="26"/>
      <c r="F18" s="2" t="s">
        <v>650</v>
      </c>
      <c r="G18" s="2" t="s">
        <v>651</v>
      </c>
      <c r="H18" s="2" t="s">
        <v>652</v>
      </c>
      <c r="I18" s="28">
        <v>250000</v>
      </c>
      <c r="J18" s="104">
        <f t="shared" si="2"/>
        <v>2150000</v>
      </c>
      <c r="K18" s="26"/>
      <c r="L18" s="26"/>
    </row>
    <row r="19" spans="1:12">
      <c r="A19" s="2" t="s">
        <v>653</v>
      </c>
      <c r="B19" s="2" t="s">
        <v>654</v>
      </c>
      <c r="C19" s="30">
        <v>355</v>
      </c>
      <c r="D19" s="104">
        <f t="shared" si="3"/>
        <v>9806875</v>
      </c>
      <c r="E19" s="26"/>
      <c r="F19" s="2" t="s">
        <v>655</v>
      </c>
      <c r="G19" s="2" t="s">
        <v>656</v>
      </c>
      <c r="H19" s="2" t="s">
        <v>508</v>
      </c>
      <c r="I19" s="28">
        <v>400000</v>
      </c>
      <c r="J19" s="104">
        <f t="shared" si="2"/>
        <v>3550000</v>
      </c>
      <c r="K19" s="26"/>
      <c r="L19" s="26"/>
    </row>
    <row r="20" spans="1:12">
      <c r="A20" s="2" t="s">
        <v>657</v>
      </c>
      <c r="B20" s="2" t="s">
        <v>658</v>
      </c>
      <c r="C20" s="30">
        <v>385</v>
      </c>
      <c r="D20" s="104">
        <f t="shared" si="3"/>
        <v>11365200</v>
      </c>
      <c r="E20" s="26"/>
      <c r="F20" s="2" t="s">
        <v>659</v>
      </c>
      <c r="G20" s="2" t="s">
        <v>660</v>
      </c>
      <c r="H20" s="2" t="s">
        <v>652</v>
      </c>
      <c r="I20" s="28">
        <v>250000</v>
      </c>
      <c r="J20" s="104">
        <f t="shared" si="2"/>
        <v>2150000</v>
      </c>
      <c r="K20" s="26"/>
      <c r="L20" s="26"/>
    </row>
    <row r="21" spans="1:12">
      <c r="A21" s="2" t="s">
        <v>661</v>
      </c>
      <c r="B21" s="2" t="s">
        <v>637</v>
      </c>
      <c r="C21" s="30">
        <v>366</v>
      </c>
      <c r="D21" s="104">
        <f t="shared" si="3"/>
        <v>10804320</v>
      </c>
      <c r="E21" s="26"/>
      <c r="F21" s="2" t="s">
        <v>662</v>
      </c>
      <c r="G21" s="2" t="s">
        <v>137</v>
      </c>
      <c r="H21" s="2" t="s">
        <v>663</v>
      </c>
      <c r="I21" s="28">
        <v>500000</v>
      </c>
      <c r="J21" s="104">
        <f t="shared" si="2"/>
        <v>4180000</v>
      </c>
      <c r="K21" s="26"/>
      <c r="L21" s="26"/>
    </row>
    <row r="22" spans="1:12">
      <c r="A22" s="2" t="s">
        <v>664</v>
      </c>
      <c r="B22" s="2" t="s">
        <v>665</v>
      </c>
      <c r="C22" s="30">
        <v>374</v>
      </c>
      <c r="D22" s="104">
        <f t="shared" si="3"/>
        <v>11040480</v>
      </c>
      <c r="E22" s="26"/>
      <c r="F22" s="2" t="s">
        <v>666</v>
      </c>
      <c r="G22" s="2" t="s">
        <v>382</v>
      </c>
      <c r="H22" s="2" t="s">
        <v>245</v>
      </c>
      <c r="I22" s="28">
        <v>300000</v>
      </c>
      <c r="J22" s="104">
        <f t="shared" si="2"/>
        <v>2820000</v>
      </c>
      <c r="K22" s="26"/>
      <c r="L22" s="26"/>
    </row>
    <row r="23" spans="1:1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>
      <c r="A24" s="26" t="s">
        <v>667</v>
      </c>
      <c r="B24" s="26"/>
      <c r="C24" s="27"/>
      <c r="D24" s="26"/>
      <c r="E24" s="26"/>
      <c r="F24" s="26" t="s">
        <v>668</v>
      </c>
      <c r="G24" s="26"/>
      <c r="H24" s="26"/>
      <c r="I24" s="26"/>
      <c r="J24" s="26"/>
      <c r="K24" s="26"/>
      <c r="L24" s="26"/>
    </row>
    <row r="25" spans="1:12">
      <c r="A25" s="2" t="s">
        <v>669</v>
      </c>
      <c r="B25" s="2" t="s">
        <v>636</v>
      </c>
      <c r="C25" s="2" t="s">
        <v>644</v>
      </c>
      <c r="D25" s="2" t="s">
        <v>661</v>
      </c>
      <c r="E25" s="26"/>
      <c r="F25" s="2" t="s">
        <v>670</v>
      </c>
      <c r="G25" s="2" t="s">
        <v>652</v>
      </c>
      <c r="H25" s="2" t="s">
        <v>671</v>
      </c>
      <c r="I25" s="2" t="s">
        <v>508</v>
      </c>
      <c r="J25" s="2" t="s">
        <v>672</v>
      </c>
      <c r="K25" s="26"/>
      <c r="L25" s="26"/>
    </row>
    <row r="26" spans="1:12">
      <c r="A26" s="2" t="s">
        <v>673</v>
      </c>
      <c r="B26" s="29">
        <v>30000</v>
      </c>
      <c r="C26" s="29">
        <v>32500</v>
      </c>
      <c r="D26" s="29">
        <v>36000</v>
      </c>
      <c r="E26" s="26"/>
      <c r="F26" s="2" t="s">
        <v>674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>
      <c r="A27" s="2" t="s">
        <v>675</v>
      </c>
      <c r="B27" s="29">
        <v>25500</v>
      </c>
      <c r="C27" s="29">
        <v>27625</v>
      </c>
      <c r="D27" s="29">
        <v>29520</v>
      </c>
      <c r="E27" s="26"/>
      <c r="F27" s="2" t="s">
        <v>676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T30"/>
  <sheetViews>
    <sheetView workbookViewId="0"/>
  </sheetViews>
  <sheetFormatPr defaultRowHeight="17"/>
  <cols>
    <col min="1" max="1" width="11.83203125" bestFit="1" customWidth="1"/>
    <col min="2" max="4" width="10.58203125" customWidth="1"/>
    <col min="5" max="5" width="1.58203125" customWidth="1"/>
    <col min="7" max="7" width="11.83203125" customWidth="1"/>
    <col min="8" max="8" width="14.58203125" bestFit="1" customWidth="1"/>
    <col min="9" max="11" width="11.83203125" customWidth="1"/>
    <col min="12" max="12" width="1.58203125" customWidth="1"/>
    <col min="15" max="15" width="12.33203125" bestFit="1" customWidth="1"/>
  </cols>
  <sheetData>
    <row r="1" spans="1:20">
      <c r="A1" s="26" t="s">
        <v>214</v>
      </c>
      <c r="B1" s="27" t="s">
        <v>677</v>
      </c>
      <c r="C1" s="26"/>
      <c r="D1" s="26"/>
      <c r="E1" s="26"/>
      <c r="F1" s="26" t="s">
        <v>67</v>
      </c>
      <c r="G1" s="34"/>
      <c r="H1" s="34"/>
      <c r="I1" s="43"/>
      <c r="J1" s="34"/>
      <c r="K1" s="26"/>
      <c r="M1" s="115" t="s">
        <v>1145</v>
      </c>
      <c r="N1" s="115"/>
      <c r="O1" s="115"/>
      <c r="P1" s="115"/>
      <c r="Q1" s="115"/>
      <c r="R1" s="115"/>
      <c r="S1" s="115"/>
      <c r="T1" s="115"/>
    </row>
    <row r="2" spans="1:20">
      <c r="A2" s="2" t="s">
        <v>678</v>
      </c>
      <c r="B2" s="2" t="s">
        <v>679</v>
      </c>
      <c r="C2" s="2" t="s">
        <v>670</v>
      </c>
      <c r="D2" s="89" t="s">
        <v>680</v>
      </c>
      <c r="E2" s="26"/>
      <c r="F2" s="37" t="s">
        <v>681</v>
      </c>
      <c r="G2" s="37" t="s">
        <v>682</v>
      </c>
      <c r="H2" s="37" t="s">
        <v>683</v>
      </c>
      <c r="I2" s="92" t="s">
        <v>684</v>
      </c>
      <c r="J2" s="26"/>
      <c r="K2" s="26"/>
      <c r="M2" s="116" t="s">
        <v>1146</v>
      </c>
      <c r="N2" s="116" t="s">
        <v>1147</v>
      </c>
      <c r="O2" s="92" t="s">
        <v>1162</v>
      </c>
      <c r="P2" s="115"/>
      <c r="Q2" s="118" t="s">
        <v>1148</v>
      </c>
    </row>
    <row r="3" spans="1:20">
      <c r="A3" s="2" t="s">
        <v>685</v>
      </c>
      <c r="B3" s="2" t="s">
        <v>183</v>
      </c>
      <c r="C3" s="2" t="s">
        <v>686</v>
      </c>
      <c r="D3" s="2"/>
      <c r="E3" s="26"/>
      <c r="F3" s="37" t="s">
        <v>687</v>
      </c>
      <c r="G3" s="9">
        <v>85</v>
      </c>
      <c r="H3" s="9">
        <v>90</v>
      </c>
      <c r="I3" s="37"/>
      <c r="J3" s="26"/>
      <c r="K3" s="26"/>
      <c r="M3" s="116" t="s">
        <v>1149</v>
      </c>
      <c r="N3" s="116" t="s">
        <v>1150</v>
      </c>
      <c r="O3" s="119"/>
      <c r="P3" s="115"/>
      <c r="Q3" s="116" t="s">
        <v>1147</v>
      </c>
      <c r="R3" s="116" t="s">
        <v>1149</v>
      </c>
      <c r="S3" s="116" t="s">
        <v>1152</v>
      </c>
      <c r="T3" s="116" t="s">
        <v>1154</v>
      </c>
    </row>
    <row r="4" spans="1:20">
      <c r="A4" s="2" t="s">
        <v>688</v>
      </c>
      <c r="B4" s="2" t="s">
        <v>183</v>
      </c>
      <c r="C4" s="2" t="s">
        <v>383</v>
      </c>
      <c r="D4" s="2"/>
      <c r="E4" s="26"/>
      <c r="F4" s="37" t="s">
        <v>689</v>
      </c>
      <c r="G4" s="9">
        <v>65</v>
      </c>
      <c r="H4" s="9">
        <v>70</v>
      </c>
      <c r="I4" s="37"/>
      <c r="J4" s="26"/>
      <c r="K4" s="26"/>
      <c r="M4" s="116" t="s">
        <v>1153</v>
      </c>
      <c r="N4" s="116" t="s">
        <v>1155</v>
      </c>
      <c r="O4" s="119"/>
      <c r="P4" s="115"/>
      <c r="Q4" s="116" t="s">
        <v>1155</v>
      </c>
      <c r="R4" s="120">
        <v>0.15</v>
      </c>
      <c r="S4" s="120">
        <v>0.1</v>
      </c>
      <c r="T4" s="121">
        <v>0.05</v>
      </c>
    </row>
    <row r="5" spans="1:20">
      <c r="A5" s="2" t="s">
        <v>690</v>
      </c>
      <c r="B5" s="2" t="s">
        <v>188</v>
      </c>
      <c r="C5" s="2" t="s">
        <v>383</v>
      </c>
      <c r="D5" s="2"/>
      <c r="E5" s="26"/>
      <c r="F5" s="37" t="s">
        <v>691</v>
      </c>
      <c r="G5" s="9">
        <v>70</v>
      </c>
      <c r="H5" s="9">
        <v>95</v>
      </c>
      <c r="I5" s="37"/>
      <c r="J5" s="26"/>
      <c r="K5" s="26"/>
      <c r="M5" s="116" t="s">
        <v>1149</v>
      </c>
      <c r="N5" s="116" t="s">
        <v>1156</v>
      </c>
      <c r="O5" s="119"/>
      <c r="P5" s="115"/>
      <c r="Q5" s="116" t="s">
        <v>1157</v>
      </c>
      <c r="R5" s="120">
        <v>0.25</v>
      </c>
      <c r="S5" s="120">
        <v>0.2</v>
      </c>
      <c r="T5" s="122">
        <v>0.1</v>
      </c>
    </row>
    <row r="6" spans="1:20">
      <c r="A6" s="2" t="s">
        <v>692</v>
      </c>
      <c r="B6" s="2" t="s">
        <v>188</v>
      </c>
      <c r="C6" s="2" t="s">
        <v>503</v>
      </c>
      <c r="D6" s="2"/>
      <c r="E6" s="26"/>
      <c r="F6" s="37" t="s">
        <v>693</v>
      </c>
      <c r="G6" s="9">
        <v>90</v>
      </c>
      <c r="H6" s="9">
        <v>75</v>
      </c>
      <c r="I6" s="37"/>
      <c r="J6" s="26"/>
      <c r="K6" s="26"/>
      <c r="M6" s="116" t="s">
        <v>1153</v>
      </c>
      <c r="N6" s="116" t="s">
        <v>180</v>
      </c>
      <c r="O6" s="119"/>
      <c r="P6" s="115"/>
      <c r="Q6" s="115"/>
      <c r="R6" s="115"/>
      <c r="S6" s="115"/>
      <c r="T6" s="115"/>
    </row>
    <row r="7" spans="1:20">
      <c r="A7" s="2" t="s">
        <v>694</v>
      </c>
      <c r="B7" s="2" t="s">
        <v>186</v>
      </c>
      <c r="C7" s="2" t="s">
        <v>503</v>
      </c>
      <c r="D7" s="2"/>
      <c r="E7" s="26"/>
      <c r="F7" s="37" t="s">
        <v>695</v>
      </c>
      <c r="G7" s="9">
        <v>60</v>
      </c>
      <c r="H7" s="9">
        <v>75</v>
      </c>
      <c r="I7" s="37"/>
      <c r="J7" s="26"/>
      <c r="K7" s="26"/>
      <c r="M7" s="116" t="s">
        <v>1152</v>
      </c>
      <c r="N7" s="116" t="s">
        <v>1155</v>
      </c>
      <c r="O7" s="119"/>
      <c r="P7" s="115"/>
      <c r="Q7" s="115"/>
      <c r="R7" s="115"/>
      <c r="S7" s="115"/>
      <c r="T7" s="115"/>
    </row>
    <row r="8" spans="1:20">
      <c r="A8" s="2" t="s">
        <v>696</v>
      </c>
      <c r="B8" s="2" t="s">
        <v>196</v>
      </c>
      <c r="C8" s="2" t="s">
        <v>258</v>
      </c>
      <c r="D8" s="2"/>
      <c r="E8" s="26"/>
      <c r="F8" s="37" t="s">
        <v>697</v>
      </c>
      <c r="G8" s="9">
        <v>95</v>
      </c>
      <c r="H8" s="9">
        <v>85</v>
      </c>
      <c r="I8" s="37"/>
      <c r="J8" s="26"/>
      <c r="K8" s="26"/>
      <c r="M8" s="116" t="s">
        <v>1151</v>
      </c>
      <c r="N8" s="116" t="s">
        <v>180</v>
      </c>
      <c r="O8" s="119"/>
      <c r="P8" s="115"/>
      <c r="Q8" s="115"/>
      <c r="R8" s="115"/>
      <c r="S8" s="115"/>
      <c r="T8" s="115"/>
    </row>
    <row r="9" spans="1:20">
      <c r="A9" s="2" t="s">
        <v>698</v>
      </c>
      <c r="B9" s="2" t="s">
        <v>186</v>
      </c>
      <c r="C9" s="2" t="s">
        <v>652</v>
      </c>
      <c r="D9" s="2"/>
      <c r="E9" s="26"/>
      <c r="F9" s="37" t="s">
        <v>699</v>
      </c>
      <c r="G9" s="9">
        <v>70</v>
      </c>
      <c r="H9" s="9">
        <v>85</v>
      </c>
      <c r="I9" s="37"/>
      <c r="J9" s="26"/>
      <c r="K9" s="26"/>
      <c r="M9" s="116" t="s">
        <v>1152</v>
      </c>
      <c r="N9" s="116" t="s">
        <v>1150</v>
      </c>
      <c r="O9" s="119"/>
      <c r="P9" s="115"/>
      <c r="Q9" s="115"/>
      <c r="R9" s="115"/>
      <c r="S9" s="115"/>
      <c r="T9" s="115"/>
    </row>
    <row r="10" spans="1:20">
      <c r="A10" s="2" t="s">
        <v>700</v>
      </c>
      <c r="B10" s="2" t="s">
        <v>183</v>
      </c>
      <c r="C10" s="2" t="s">
        <v>258</v>
      </c>
      <c r="D10" s="2"/>
      <c r="E10" s="26"/>
      <c r="F10" s="61"/>
      <c r="G10" s="61"/>
      <c r="H10" s="62"/>
      <c r="I10" s="61"/>
      <c r="J10" s="26"/>
      <c r="K10" s="26"/>
      <c r="M10" s="116" t="s">
        <v>1158</v>
      </c>
      <c r="N10" s="116" t="s">
        <v>180</v>
      </c>
      <c r="O10" s="119"/>
      <c r="P10" s="115"/>
      <c r="Q10" s="115"/>
      <c r="R10" s="115"/>
      <c r="S10" s="115"/>
      <c r="T10" s="115"/>
    </row>
    <row r="11" spans="1:20">
      <c r="A11" s="26"/>
      <c r="B11" s="26"/>
      <c r="C11" s="26"/>
      <c r="D11" s="26"/>
      <c r="E11" s="26"/>
      <c r="F11" s="63" t="s">
        <v>701</v>
      </c>
      <c r="G11" s="63"/>
      <c r="H11" s="63"/>
      <c r="I11" s="63"/>
      <c r="J11" s="63"/>
      <c r="K11" s="63"/>
      <c r="M11" s="116" t="s">
        <v>1153</v>
      </c>
      <c r="N11" s="116" t="s">
        <v>1159</v>
      </c>
      <c r="O11" s="119"/>
      <c r="P11" s="115"/>
      <c r="Q11" s="115"/>
      <c r="R11" s="115"/>
      <c r="S11" s="115"/>
      <c r="T11" s="115"/>
    </row>
    <row r="12" spans="1:20">
      <c r="A12" s="4" t="s">
        <v>702</v>
      </c>
      <c r="B12" s="26"/>
      <c r="C12" s="26"/>
      <c r="D12" s="26"/>
      <c r="E12" s="26"/>
      <c r="F12" s="276" t="s">
        <v>703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  <c r="M12" s="116" t="s">
        <v>1153</v>
      </c>
      <c r="N12" s="116" t="s">
        <v>180</v>
      </c>
      <c r="O12" s="119"/>
      <c r="P12" s="115"/>
      <c r="Q12" s="115"/>
      <c r="R12" s="115"/>
      <c r="S12" s="115"/>
      <c r="T12" s="115"/>
    </row>
    <row r="13" spans="1:20">
      <c r="A13" s="2" t="s">
        <v>704</v>
      </c>
      <c r="B13" s="2" t="s">
        <v>705</v>
      </c>
      <c r="C13" s="2" t="s">
        <v>706</v>
      </c>
      <c r="D13" s="2" t="s">
        <v>707</v>
      </c>
      <c r="E13" s="26"/>
      <c r="F13" s="277"/>
      <c r="G13" s="66">
        <v>60</v>
      </c>
      <c r="H13" s="66">
        <v>70</v>
      </c>
      <c r="I13" s="66">
        <v>80</v>
      </c>
      <c r="J13" s="66">
        <v>90</v>
      </c>
      <c r="K13" s="67">
        <v>100</v>
      </c>
      <c r="M13" s="116" t="s">
        <v>1152</v>
      </c>
      <c r="N13" s="116" t="s">
        <v>1156</v>
      </c>
      <c r="O13" s="119"/>
      <c r="P13" s="115"/>
      <c r="Q13" s="115"/>
      <c r="R13" s="115"/>
      <c r="S13" s="115"/>
      <c r="T13" s="115"/>
    </row>
    <row r="14" spans="1:20">
      <c r="A14" s="2" t="s">
        <v>708</v>
      </c>
      <c r="B14" s="2" t="s">
        <v>709</v>
      </c>
      <c r="C14" s="2" t="s">
        <v>146</v>
      </c>
      <c r="D14" s="2" t="s">
        <v>710</v>
      </c>
      <c r="E14" s="26"/>
      <c r="F14" s="37" t="s">
        <v>711</v>
      </c>
      <c r="G14" s="9" t="s">
        <v>712</v>
      </c>
      <c r="H14" s="9" t="s">
        <v>713</v>
      </c>
      <c r="I14" s="9" t="s">
        <v>714</v>
      </c>
      <c r="J14" s="2" t="s">
        <v>715</v>
      </c>
      <c r="K14" s="2" t="s">
        <v>716</v>
      </c>
      <c r="M14" s="116" t="s">
        <v>1160</v>
      </c>
      <c r="N14" s="116" t="s">
        <v>1155</v>
      </c>
      <c r="O14" s="119"/>
      <c r="P14" s="115"/>
      <c r="Q14" s="115"/>
      <c r="R14" s="115"/>
      <c r="S14" s="115"/>
      <c r="T14" s="115"/>
    </row>
    <row r="15" spans="1:20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M15" s="116" t="s">
        <v>1160</v>
      </c>
      <c r="N15" s="116" t="s">
        <v>1155</v>
      </c>
      <c r="O15" s="119"/>
      <c r="P15" s="115"/>
      <c r="Q15" s="115"/>
      <c r="R15" s="115"/>
      <c r="S15" s="115"/>
      <c r="T15" s="115"/>
    </row>
    <row r="16" spans="1:20">
      <c r="A16" s="47" t="s">
        <v>260</v>
      </c>
      <c r="B16" s="48" t="s">
        <v>717</v>
      </c>
      <c r="C16" s="47"/>
      <c r="D16" s="47"/>
      <c r="E16" s="47"/>
      <c r="F16" s="26" t="s">
        <v>262</v>
      </c>
      <c r="G16" s="27" t="s">
        <v>718</v>
      </c>
      <c r="H16" s="26"/>
      <c r="I16" s="26"/>
      <c r="J16" s="26"/>
      <c r="K16" s="26"/>
      <c r="M16" s="116" t="s">
        <v>1153</v>
      </c>
      <c r="N16" s="116" t="s">
        <v>1156</v>
      </c>
      <c r="O16" s="119"/>
      <c r="P16" s="115"/>
      <c r="Q16" s="115"/>
      <c r="R16" s="115"/>
      <c r="S16" s="115"/>
      <c r="T16" s="115"/>
    </row>
    <row r="17" spans="1:20">
      <c r="A17" s="68" t="s">
        <v>719</v>
      </c>
      <c r="B17" s="91"/>
      <c r="C17" s="91"/>
      <c r="D17" s="91"/>
      <c r="E17" s="69"/>
      <c r="F17" s="70"/>
      <c r="G17" s="2" t="s">
        <v>720</v>
      </c>
      <c r="H17" s="2" t="s">
        <v>721</v>
      </c>
      <c r="I17" s="2" t="s">
        <v>722</v>
      </c>
      <c r="J17" s="2" t="s">
        <v>723</v>
      </c>
      <c r="K17" s="26"/>
      <c r="M17" s="116" t="s">
        <v>1149</v>
      </c>
      <c r="N17" s="116" t="s">
        <v>1156</v>
      </c>
      <c r="O17" s="119"/>
      <c r="P17" s="115"/>
      <c r="Q17" s="115"/>
      <c r="R17" s="115"/>
      <c r="S17" s="115"/>
      <c r="T17" s="115"/>
    </row>
    <row r="18" spans="1:20">
      <c r="A18" s="91"/>
      <c r="B18" s="5">
        <v>25.9</v>
      </c>
      <c r="C18" s="5">
        <v>26.7</v>
      </c>
      <c r="D18" s="5">
        <v>21.2</v>
      </c>
      <c r="E18" s="69"/>
      <c r="F18" s="2" t="s">
        <v>720</v>
      </c>
      <c r="G18" s="29">
        <v>3000</v>
      </c>
      <c r="H18" s="29">
        <v>8000</v>
      </c>
      <c r="I18" s="29">
        <v>25000</v>
      </c>
      <c r="J18" s="29">
        <v>28000</v>
      </c>
      <c r="K18" s="26"/>
      <c r="M18" s="116" t="s">
        <v>1152</v>
      </c>
      <c r="N18" s="116" t="s">
        <v>1156</v>
      </c>
      <c r="O18" s="119"/>
      <c r="P18" s="115"/>
      <c r="Q18" s="115"/>
      <c r="R18" s="115"/>
      <c r="S18" s="115"/>
      <c r="T18" s="115"/>
    </row>
    <row r="19" spans="1:20">
      <c r="A19" s="91"/>
      <c r="B19" s="5">
        <v>26.1</v>
      </c>
      <c r="C19" s="5">
        <v>26.6</v>
      </c>
      <c r="D19" s="5">
        <v>23.3</v>
      </c>
      <c r="E19" s="69"/>
      <c r="F19" s="2" t="s">
        <v>721</v>
      </c>
      <c r="G19" s="29">
        <v>8000</v>
      </c>
      <c r="H19" s="29">
        <v>2000</v>
      </c>
      <c r="I19" s="29">
        <v>18000</v>
      </c>
      <c r="J19" s="29">
        <v>20000</v>
      </c>
      <c r="K19" s="26"/>
      <c r="M19" s="116" t="s">
        <v>1153</v>
      </c>
      <c r="N19" s="116" t="s">
        <v>1159</v>
      </c>
      <c r="O19" s="119"/>
      <c r="P19" s="115"/>
      <c r="Q19" s="115"/>
      <c r="R19" s="115"/>
      <c r="S19" s="115"/>
      <c r="T19" s="115"/>
    </row>
    <row r="20" spans="1:20">
      <c r="A20" s="91"/>
      <c r="B20" s="5">
        <v>27.8</v>
      </c>
      <c r="C20" s="5">
        <v>28.4</v>
      </c>
      <c r="D20" s="5">
        <v>24.7</v>
      </c>
      <c r="E20" s="69"/>
      <c r="F20" s="2" t="s">
        <v>724</v>
      </c>
      <c r="G20" s="29">
        <v>25000</v>
      </c>
      <c r="H20" s="29">
        <v>18000</v>
      </c>
      <c r="I20" s="29">
        <v>2500</v>
      </c>
      <c r="J20" s="29">
        <v>15000</v>
      </c>
      <c r="K20" s="26"/>
      <c r="M20" s="116" t="s">
        <v>1152</v>
      </c>
      <c r="N20" s="116" t="s">
        <v>1155</v>
      </c>
      <c r="O20" s="119"/>
      <c r="P20" s="115"/>
      <c r="Q20" s="115"/>
      <c r="R20" s="115"/>
      <c r="S20" s="115"/>
      <c r="T20" s="115"/>
    </row>
    <row r="21" spans="1:20">
      <c r="A21" s="91"/>
      <c r="B21" s="5">
        <v>26.1</v>
      </c>
      <c r="C21" s="5">
        <v>27.9</v>
      </c>
      <c r="D21" s="5">
        <v>24.3</v>
      </c>
      <c r="E21" s="69"/>
      <c r="F21" s="2" t="s">
        <v>725</v>
      </c>
      <c r="G21" s="29">
        <v>28000</v>
      </c>
      <c r="H21" s="29">
        <v>20000</v>
      </c>
      <c r="I21" s="29">
        <v>15000</v>
      </c>
      <c r="J21" s="29">
        <v>2000</v>
      </c>
      <c r="K21" s="26"/>
      <c r="M21" s="116" t="s">
        <v>1153</v>
      </c>
      <c r="N21" s="116" t="s">
        <v>1161</v>
      </c>
      <c r="O21" s="119"/>
      <c r="P21" s="115"/>
      <c r="Q21" s="115"/>
      <c r="R21" s="115"/>
      <c r="S21" s="115"/>
      <c r="T21" s="115"/>
    </row>
    <row r="22" spans="1:20">
      <c r="A22" s="91"/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  <c r="M22" s="116" t="s">
        <v>1153</v>
      </c>
      <c r="N22" s="116" t="s">
        <v>1161</v>
      </c>
      <c r="O22" s="119"/>
      <c r="P22" s="115"/>
      <c r="Q22" s="115"/>
      <c r="R22" s="115"/>
      <c r="S22" s="115"/>
      <c r="T22" s="115"/>
    </row>
    <row r="23" spans="1:20">
      <c r="A23" s="91"/>
      <c r="B23" s="5">
        <v>25.8</v>
      </c>
      <c r="C23" s="5">
        <v>27.1</v>
      </c>
      <c r="D23" s="5">
        <v>23.2</v>
      </c>
      <c r="E23" s="69"/>
      <c r="F23" s="71" t="s">
        <v>726</v>
      </c>
      <c r="G23" s="71"/>
      <c r="H23" s="26"/>
      <c r="I23" s="26"/>
      <c r="J23" s="26"/>
      <c r="K23" s="26"/>
      <c r="M23" s="116" t="s">
        <v>1153</v>
      </c>
      <c r="N23" s="116" t="s">
        <v>1161</v>
      </c>
      <c r="O23" s="119"/>
      <c r="P23" s="115"/>
      <c r="Q23" s="115"/>
      <c r="R23" s="115"/>
      <c r="S23" s="115"/>
      <c r="T23" s="115"/>
    </row>
    <row r="24" spans="1:20">
      <c r="A24" s="91"/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727</v>
      </c>
      <c r="H24" s="2" t="s">
        <v>721</v>
      </c>
      <c r="I24" s="2" t="s">
        <v>724</v>
      </c>
      <c r="J24" s="2" t="s">
        <v>725</v>
      </c>
      <c r="K24" s="26"/>
      <c r="M24" s="116" t="s">
        <v>1153</v>
      </c>
      <c r="N24" s="116" t="s">
        <v>1159</v>
      </c>
      <c r="O24" s="119"/>
      <c r="P24" s="115"/>
      <c r="Q24" s="115"/>
      <c r="R24" s="115"/>
      <c r="S24" s="115"/>
      <c r="T24" s="115"/>
    </row>
    <row r="25" spans="1:20">
      <c r="A25" s="91"/>
      <c r="B25" s="5">
        <v>24.6</v>
      </c>
      <c r="C25" s="5">
        <v>25.6</v>
      </c>
      <c r="D25" s="5">
        <v>20.5</v>
      </c>
      <c r="E25" s="69"/>
      <c r="F25" s="2" t="s">
        <v>728</v>
      </c>
      <c r="G25" s="2">
        <v>1</v>
      </c>
      <c r="H25" s="2">
        <v>2</v>
      </c>
      <c r="I25" s="2">
        <v>3</v>
      </c>
      <c r="J25" s="2">
        <v>4</v>
      </c>
      <c r="K25" s="26"/>
      <c r="M25" s="116" t="s">
        <v>1153</v>
      </c>
      <c r="N25" s="116" t="s">
        <v>1159</v>
      </c>
      <c r="O25" s="119"/>
      <c r="P25" s="115"/>
      <c r="Q25" s="115"/>
      <c r="R25" s="115"/>
      <c r="S25" s="115"/>
      <c r="T25" s="115"/>
    </row>
    <row r="26" spans="1:20">
      <c r="A26" s="91"/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  <c r="M26" s="116" t="s">
        <v>1153</v>
      </c>
      <c r="N26" s="116" t="s">
        <v>1150</v>
      </c>
      <c r="O26" s="119"/>
      <c r="P26" s="115"/>
      <c r="Q26" s="115"/>
      <c r="R26" s="115"/>
      <c r="S26" s="115"/>
      <c r="T26" s="115"/>
    </row>
    <row r="27" spans="1:20">
      <c r="A27" s="91"/>
      <c r="B27" s="5">
        <v>25.9</v>
      </c>
      <c r="C27" s="5">
        <v>26.3</v>
      </c>
      <c r="D27" s="5">
        <v>21.9</v>
      </c>
      <c r="E27" s="69"/>
      <c r="F27" s="2" t="s">
        <v>729</v>
      </c>
      <c r="G27" s="2" t="s">
        <v>730</v>
      </c>
      <c r="H27" s="89" t="s">
        <v>731</v>
      </c>
      <c r="I27" s="26"/>
      <c r="J27" s="26"/>
      <c r="K27" s="26"/>
      <c r="M27" s="116" t="s">
        <v>1154</v>
      </c>
      <c r="N27" s="116" t="s">
        <v>180</v>
      </c>
      <c r="O27" s="119"/>
      <c r="P27" s="115"/>
      <c r="Q27" s="115"/>
      <c r="R27" s="115"/>
      <c r="S27" s="115"/>
      <c r="T27" s="115"/>
    </row>
    <row r="28" spans="1:20">
      <c r="A28" s="26"/>
      <c r="B28" s="26"/>
      <c r="C28" s="26"/>
      <c r="D28" s="26"/>
      <c r="E28" s="26"/>
      <c r="F28" s="2" t="s">
        <v>724</v>
      </c>
      <c r="G28" s="2" t="s">
        <v>723</v>
      </c>
      <c r="H28" s="29"/>
      <c r="I28" s="26"/>
      <c r="J28" s="26"/>
      <c r="K28" s="26"/>
      <c r="M28" s="116" t="s">
        <v>1153</v>
      </c>
      <c r="N28" s="116" t="s">
        <v>1159</v>
      </c>
      <c r="O28" s="119"/>
      <c r="P28" s="115"/>
      <c r="Q28" s="115"/>
      <c r="R28" s="115"/>
      <c r="S28" s="115"/>
      <c r="T28" s="115"/>
    </row>
    <row r="29" spans="1:20">
      <c r="M29" s="116" t="s">
        <v>1152</v>
      </c>
      <c r="N29" s="116" t="s">
        <v>1161</v>
      </c>
      <c r="O29" s="119"/>
      <c r="P29" s="115"/>
      <c r="Q29" s="115"/>
      <c r="R29" s="115"/>
      <c r="S29" s="115"/>
      <c r="T29" s="115"/>
    </row>
    <row r="30" spans="1:20">
      <c r="M30" s="116" t="s">
        <v>1151</v>
      </c>
      <c r="N30" s="116" t="s">
        <v>1150</v>
      </c>
      <c r="O30" s="119"/>
      <c r="P30" s="115"/>
      <c r="Q30" s="115"/>
      <c r="R30" s="115"/>
      <c r="S30" s="115"/>
      <c r="T30" s="115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T30"/>
  <sheetViews>
    <sheetView workbookViewId="0"/>
  </sheetViews>
  <sheetFormatPr defaultRowHeight="17"/>
  <cols>
    <col min="1" max="1" width="11.83203125" bestFit="1" customWidth="1"/>
    <col min="2" max="4" width="10.58203125" customWidth="1"/>
    <col min="5" max="5" width="1.58203125" customWidth="1"/>
    <col min="7" max="7" width="11.83203125" customWidth="1"/>
    <col min="8" max="8" width="14.58203125" bestFit="1" customWidth="1"/>
    <col min="9" max="11" width="11.83203125" customWidth="1"/>
    <col min="12" max="12" width="1.58203125" customWidth="1"/>
    <col min="15" max="15" width="12.33203125" bestFit="1" customWidth="1"/>
  </cols>
  <sheetData>
    <row r="1" spans="1:20">
      <c r="A1" s="26" t="s">
        <v>65</v>
      </c>
      <c r="B1" s="27" t="s">
        <v>372</v>
      </c>
      <c r="C1" s="26"/>
      <c r="D1" s="26"/>
      <c r="E1" s="26"/>
      <c r="F1" s="26" t="s">
        <v>67</v>
      </c>
      <c r="G1" s="34"/>
      <c r="H1" s="34"/>
      <c r="I1" s="43"/>
      <c r="J1" s="34"/>
      <c r="K1" s="26"/>
      <c r="M1" s="115" t="s">
        <v>1145</v>
      </c>
      <c r="N1" s="115"/>
      <c r="O1" s="115"/>
      <c r="P1" s="115"/>
      <c r="Q1" s="115"/>
      <c r="R1" s="115"/>
      <c r="S1" s="115"/>
      <c r="T1" s="115"/>
    </row>
    <row r="2" spans="1:20">
      <c r="A2" s="85" t="s">
        <v>678</v>
      </c>
      <c r="B2" s="85" t="s">
        <v>174</v>
      </c>
      <c r="C2" s="85" t="s">
        <v>496</v>
      </c>
      <c r="D2" s="90" t="s">
        <v>116</v>
      </c>
      <c r="E2" s="26"/>
      <c r="F2" s="37" t="s">
        <v>177</v>
      </c>
      <c r="G2" s="37" t="s">
        <v>682</v>
      </c>
      <c r="H2" s="37" t="s">
        <v>683</v>
      </c>
      <c r="I2" s="92" t="s">
        <v>684</v>
      </c>
      <c r="J2" s="26"/>
      <c r="K2" s="26"/>
      <c r="M2" s="116" t="s">
        <v>1146</v>
      </c>
      <c r="N2" s="116" t="s">
        <v>1147</v>
      </c>
      <c r="O2" s="92" t="s">
        <v>1162</v>
      </c>
      <c r="P2" s="115"/>
      <c r="Q2" s="118" t="s">
        <v>1148</v>
      </c>
    </row>
    <row r="3" spans="1:20">
      <c r="A3" s="85" t="s">
        <v>685</v>
      </c>
      <c r="B3" s="85" t="s">
        <v>183</v>
      </c>
      <c r="C3" s="85" t="s">
        <v>383</v>
      </c>
      <c r="D3" s="97" t="str">
        <f>HLOOKUP(LEFT(A3,1),$B$13:$D$14,2,FALSE)</f>
        <v>생산부</v>
      </c>
      <c r="E3" s="26"/>
      <c r="F3" s="37" t="s">
        <v>687</v>
      </c>
      <c r="G3" s="9">
        <v>85</v>
      </c>
      <c r="H3" s="9">
        <v>90</v>
      </c>
      <c r="I3" s="105" t="str">
        <f t="shared" ref="I3:I9" si="0">HLOOKUP(AVERAGE(G3:H3),$G$12:$K$14,3,TRUE)</f>
        <v>B</v>
      </c>
      <c r="J3" s="26"/>
      <c r="K3" s="26"/>
      <c r="M3" s="116" t="s">
        <v>1149</v>
      </c>
      <c r="N3" s="116" t="s">
        <v>1150</v>
      </c>
      <c r="O3" s="119">
        <f>HLOOKUP(M3,$R$3:$T$5,MATCH(N3,{"영어","수학"},-1)+1)</f>
        <v>0.25</v>
      </c>
      <c r="P3" s="115"/>
      <c r="Q3" s="116" t="s">
        <v>1147</v>
      </c>
      <c r="R3" s="116" t="s">
        <v>1149</v>
      </c>
      <c r="S3" s="116" t="s">
        <v>1152</v>
      </c>
      <c r="T3" s="116" t="s">
        <v>1154</v>
      </c>
    </row>
    <row r="4" spans="1:20">
      <c r="A4" s="85" t="s">
        <v>688</v>
      </c>
      <c r="B4" s="85" t="s">
        <v>183</v>
      </c>
      <c r="C4" s="85" t="s">
        <v>383</v>
      </c>
      <c r="D4" s="97" t="str">
        <f t="shared" ref="D4:D10" si="1">HLOOKUP(LEFT(A4,1),$B$13:$D$14,2,FALSE)</f>
        <v>관리부</v>
      </c>
      <c r="E4" s="26"/>
      <c r="F4" s="37" t="s">
        <v>689</v>
      </c>
      <c r="G4" s="9">
        <v>65</v>
      </c>
      <c r="H4" s="9">
        <v>70</v>
      </c>
      <c r="I4" s="105" t="str">
        <f t="shared" si="0"/>
        <v>D</v>
      </c>
      <c r="J4" s="26"/>
      <c r="K4" s="26"/>
      <c r="M4" s="116" t="s">
        <v>1153</v>
      </c>
      <c r="N4" s="116" t="s">
        <v>1155</v>
      </c>
      <c r="O4" s="119">
        <f>HLOOKUP(M4,$R$3:$T$5,MATCH(N4,{"영어","수학"},-1)+1)</f>
        <v>0.05</v>
      </c>
      <c r="P4" s="115"/>
      <c r="Q4" s="116" t="s">
        <v>1155</v>
      </c>
      <c r="R4" s="120">
        <v>0.15</v>
      </c>
      <c r="S4" s="120">
        <v>0.1</v>
      </c>
      <c r="T4" s="121">
        <v>0.05</v>
      </c>
    </row>
    <row r="5" spans="1:20">
      <c r="A5" s="85" t="s">
        <v>690</v>
      </c>
      <c r="B5" s="85" t="s">
        <v>188</v>
      </c>
      <c r="C5" s="85" t="s">
        <v>383</v>
      </c>
      <c r="D5" s="97" t="str">
        <f t="shared" si="1"/>
        <v>영업부</v>
      </c>
      <c r="E5" s="26"/>
      <c r="F5" s="37" t="s">
        <v>691</v>
      </c>
      <c r="G5" s="9">
        <v>70</v>
      </c>
      <c r="H5" s="9">
        <v>95</v>
      </c>
      <c r="I5" s="105" t="str">
        <f t="shared" si="0"/>
        <v>B</v>
      </c>
      <c r="J5" s="26"/>
      <c r="K5" s="26"/>
      <c r="M5" s="116" t="s">
        <v>1149</v>
      </c>
      <c r="N5" s="116" t="s">
        <v>1156</v>
      </c>
      <c r="O5" s="119">
        <f>HLOOKUP(M5,$R$3:$T$5,MATCH(N5,{"영어","수학"},-1)+1)</f>
        <v>0.25</v>
      </c>
      <c r="P5" s="115"/>
      <c r="Q5" s="116" t="s">
        <v>1157</v>
      </c>
      <c r="R5" s="120">
        <v>0.25</v>
      </c>
      <c r="S5" s="120">
        <v>0.2</v>
      </c>
      <c r="T5" s="122">
        <v>0.1</v>
      </c>
    </row>
    <row r="6" spans="1:20">
      <c r="A6" s="85" t="s">
        <v>692</v>
      </c>
      <c r="B6" s="85" t="s">
        <v>188</v>
      </c>
      <c r="C6" s="85" t="s">
        <v>239</v>
      </c>
      <c r="D6" s="97" t="str">
        <f t="shared" si="1"/>
        <v>생산부</v>
      </c>
      <c r="E6" s="26"/>
      <c r="F6" s="37" t="s">
        <v>693</v>
      </c>
      <c r="G6" s="9">
        <v>90</v>
      </c>
      <c r="H6" s="9">
        <v>75</v>
      </c>
      <c r="I6" s="105" t="str">
        <f t="shared" si="0"/>
        <v>B</v>
      </c>
      <c r="J6" s="26"/>
      <c r="K6" s="26"/>
      <c r="M6" s="116" t="s">
        <v>1153</v>
      </c>
      <c r="N6" s="116" t="s">
        <v>180</v>
      </c>
      <c r="O6" s="119">
        <f>HLOOKUP(M6,$R$3:$T$5,MATCH(N6,{"영어","수학"},-1)+1)</f>
        <v>0.1</v>
      </c>
      <c r="P6" s="115"/>
      <c r="Q6" s="115"/>
      <c r="R6" s="115"/>
      <c r="S6" s="115"/>
      <c r="T6" s="115"/>
    </row>
    <row r="7" spans="1:20">
      <c r="A7" s="85" t="s">
        <v>694</v>
      </c>
      <c r="B7" s="85" t="s">
        <v>183</v>
      </c>
      <c r="C7" s="85" t="s">
        <v>239</v>
      </c>
      <c r="D7" s="97" t="str">
        <f t="shared" si="1"/>
        <v>영업부</v>
      </c>
      <c r="E7" s="26"/>
      <c r="F7" s="37" t="s">
        <v>695</v>
      </c>
      <c r="G7" s="9">
        <v>60</v>
      </c>
      <c r="H7" s="9">
        <v>75</v>
      </c>
      <c r="I7" s="105" t="str">
        <f t="shared" si="0"/>
        <v>D</v>
      </c>
      <c r="J7" s="26"/>
      <c r="K7" s="26"/>
      <c r="M7" s="116" t="s">
        <v>1152</v>
      </c>
      <c r="N7" s="116" t="s">
        <v>1155</v>
      </c>
      <c r="O7" s="119">
        <f>HLOOKUP(M7,$R$3:$T$5,MATCH(N7,{"영어","수학"},-1)+1)</f>
        <v>0.1</v>
      </c>
      <c r="P7" s="115"/>
      <c r="Q7" s="115"/>
      <c r="R7" s="115"/>
      <c r="S7" s="115"/>
      <c r="T7" s="115"/>
    </row>
    <row r="8" spans="1:20">
      <c r="A8" s="85" t="s">
        <v>696</v>
      </c>
      <c r="B8" s="85" t="s">
        <v>188</v>
      </c>
      <c r="C8" s="85" t="s">
        <v>248</v>
      </c>
      <c r="D8" s="97" t="str">
        <f t="shared" si="1"/>
        <v>영업부</v>
      </c>
      <c r="E8" s="26"/>
      <c r="F8" s="37" t="s">
        <v>697</v>
      </c>
      <c r="G8" s="9">
        <v>95</v>
      </c>
      <c r="H8" s="9">
        <v>85</v>
      </c>
      <c r="I8" s="105" t="str">
        <f t="shared" si="0"/>
        <v>A</v>
      </c>
      <c r="J8" s="26"/>
      <c r="K8" s="26"/>
      <c r="M8" s="116" t="s">
        <v>1151</v>
      </c>
      <c r="N8" s="116" t="s">
        <v>180</v>
      </c>
      <c r="O8" s="119">
        <f>HLOOKUP(M8,$R$3:$T$5,MATCH(N8,{"영어","수학"},-1)+1)</f>
        <v>0.2</v>
      </c>
      <c r="P8" s="115"/>
      <c r="Q8" s="115"/>
      <c r="R8" s="115"/>
      <c r="S8" s="115"/>
      <c r="T8" s="115"/>
    </row>
    <row r="9" spans="1:20">
      <c r="A9" s="85" t="s">
        <v>698</v>
      </c>
      <c r="B9" s="85" t="s">
        <v>183</v>
      </c>
      <c r="C9" s="85" t="s">
        <v>248</v>
      </c>
      <c r="D9" s="97" t="str">
        <f t="shared" si="1"/>
        <v>관리부</v>
      </c>
      <c r="E9" s="26"/>
      <c r="F9" s="37" t="s">
        <v>699</v>
      </c>
      <c r="G9" s="9">
        <v>70</v>
      </c>
      <c r="H9" s="9">
        <v>85</v>
      </c>
      <c r="I9" s="105" t="str">
        <f t="shared" si="0"/>
        <v>C</v>
      </c>
      <c r="J9" s="26"/>
      <c r="K9" s="26"/>
      <c r="M9" s="116" t="s">
        <v>1152</v>
      </c>
      <c r="N9" s="116" t="s">
        <v>1150</v>
      </c>
      <c r="O9" s="119">
        <f>HLOOKUP(M9,$R$3:$T$5,MATCH(N9,{"영어","수학"},-1)+1)</f>
        <v>0.2</v>
      </c>
      <c r="P9" s="115"/>
      <c r="Q9" s="115"/>
      <c r="R9" s="115"/>
      <c r="S9" s="115"/>
      <c r="T9" s="115"/>
    </row>
    <row r="10" spans="1:20">
      <c r="A10" s="85" t="s">
        <v>700</v>
      </c>
      <c r="B10" s="85" t="s">
        <v>183</v>
      </c>
      <c r="C10" s="85" t="s">
        <v>248</v>
      </c>
      <c r="D10" s="97" t="str">
        <f t="shared" si="1"/>
        <v>생산부</v>
      </c>
      <c r="E10" s="26"/>
      <c r="F10" s="61"/>
      <c r="G10" s="61"/>
      <c r="H10" s="62"/>
      <c r="I10" s="61"/>
      <c r="J10" s="26"/>
      <c r="K10" s="26"/>
      <c r="M10" s="116" t="s">
        <v>1158</v>
      </c>
      <c r="N10" s="116" t="s">
        <v>180</v>
      </c>
      <c r="O10" s="119">
        <f>HLOOKUP(M10,$R$3:$T$5,MATCH(N10,{"영어","수학"},-1)+1)</f>
        <v>0.1</v>
      </c>
      <c r="P10" s="115"/>
      <c r="Q10" s="115"/>
      <c r="R10" s="115"/>
      <c r="S10" s="115"/>
      <c r="T10" s="115"/>
    </row>
    <row r="11" spans="1:20">
      <c r="A11" s="26"/>
      <c r="B11" s="26"/>
      <c r="C11" s="26"/>
      <c r="D11" s="26"/>
      <c r="E11" s="26"/>
      <c r="F11" s="63" t="s">
        <v>701</v>
      </c>
      <c r="G11" s="63"/>
      <c r="H11" s="63"/>
      <c r="I11" s="63"/>
      <c r="J11" s="63"/>
      <c r="K11" s="63"/>
      <c r="M11" s="116" t="s">
        <v>1153</v>
      </c>
      <c r="N11" s="116" t="s">
        <v>1159</v>
      </c>
      <c r="O11" s="119">
        <f>HLOOKUP(M11,$R$3:$T$5,MATCH(N11,{"영어","수학"},-1)+1)</f>
        <v>0.1</v>
      </c>
      <c r="P11" s="115"/>
      <c r="Q11" s="115"/>
      <c r="R11" s="115"/>
      <c r="S11" s="115"/>
      <c r="T11" s="115"/>
    </row>
    <row r="12" spans="1:20">
      <c r="A12" s="4" t="s">
        <v>702</v>
      </c>
      <c r="B12" s="26"/>
      <c r="C12" s="26"/>
      <c r="D12" s="26"/>
      <c r="E12" s="26"/>
      <c r="F12" s="276" t="s">
        <v>703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  <c r="M12" s="116" t="s">
        <v>1153</v>
      </c>
      <c r="N12" s="116" t="s">
        <v>180</v>
      </c>
      <c r="O12" s="119">
        <f>HLOOKUP(M12,$R$3:$T$5,MATCH(N12,{"영어","수학"},-1)+1)</f>
        <v>0.1</v>
      </c>
      <c r="P12" s="115"/>
      <c r="Q12" s="115"/>
      <c r="R12" s="115"/>
      <c r="S12" s="115"/>
      <c r="T12" s="115"/>
    </row>
    <row r="13" spans="1:20">
      <c r="A13" s="85" t="s">
        <v>704</v>
      </c>
      <c r="B13" s="85" t="s">
        <v>705</v>
      </c>
      <c r="C13" s="85" t="s">
        <v>706</v>
      </c>
      <c r="D13" s="85" t="s">
        <v>707</v>
      </c>
      <c r="E13" s="26"/>
      <c r="F13" s="277"/>
      <c r="G13" s="66">
        <v>60</v>
      </c>
      <c r="H13" s="66">
        <v>70</v>
      </c>
      <c r="I13" s="66">
        <v>80</v>
      </c>
      <c r="J13" s="66">
        <v>90</v>
      </c>
      <c r="K13" s="67">
        <v>100</v>
      </c>
      <c r="M13" s="116" t="s">
        <v>1152</v>
      </c>
      <c r="N13" s="116" t="s">
        <v>1156</v>
      </c>
      <c r="O13" s="119">
        <f>HLOOKUP(M13,$R$3:$T$5,MATCH(N13,{"영어","수학"},-1)+1)</f>
        <v>0.2</v>
      </c>
      <c r="P13" s="115"/>
      <c r="Q13" s="115"/>
      <c r="R13" s="115"/>
      <c r="S13" s="115"/>
      <c r="T13" s="115"/>
    </row>
    <row r="14" spans="1:20">
      <c r="A14" s="85" t="s">
        <v>116</v>
      </c>
      <c r="B14" s="85" t="s">
        <v>382</v>
      </c>
      <c r="C14" s="85" t="s">
        <v>125</v>
      </c>
      <c r="D14" s="85" t="s">
        <v>392</v>
      </c>
      <c r="E14" s="26"/>
      <c r="F14" s="37" t="s">
        <v>684</v>
      </c>
      <c r="G14" s="9" t="s">
        <v>712</v>
      </c>
      <c r="H14" s="9" t="s">
        <v>713</v>
      </c>
      <c r="I14" s="9" t="s">
        <v>714</v>
      </c>
      <c r="J14" s="85" t="s">
        <v>706</v>
      </c>
      <c r="K14" s="85" t="s">
        <v>716</v>
      </c>
      <c r="M14" s="116" t="s">
        <v>1160</v>
      </c>
      <c r="N14" s="116" t="s">
        <v>1155</v>
      </c>
      <c r="O14" s="119">
        <f>HLOOKUP(M14,$R$3:$T$5,MATCH(N14,{"영어","수학"},-1)+1)</f>
        <v>0.15</v>
      </c>
      <c r="P14" s="115"/>
      <c r="Q14" s="115"/>
      <c r="R14" s="115"/>
      <c r="S14" s="115"/>
      <c r="T14" s="115"/>
    </row>
    <row r="15" spans="1:20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M15" s="116" t="s">
        <v>1160</v>
      </c>
      <c r="N15" s="116" t="s">
        <v>1155</v>
      </c>
      <c r="O15" s="119">
        <f>HLOOKUP(M15,$R$3:$T$5,MATCH(N15,{"영어","수학"},-1)+1)</f>
        <v>0.15</v>
      </c>
      <c r="P15" s="115"/>
      <c r="Q15" s="115"/>
      <c r="R15" s="115"/>
      <c r="S15" s="115"/>
      <c r="T15" s="115"/>
    </row>
    <row r="16" spans="1:20">
      <c r="A16" s="47" t="s">
        <v>112</v>
      </c>
      <c r="B16" s="48" t="s">
        <v>717</v>
      </c>
      <c r="C16" s="47"/>
      <c r="D16" s="47"/>
      <c r="E16" s="47"/>
      <c r="F16" s="26" t="s">
        <v>114</v>
      </c>
      <c r="G16" s="27" t="s">
        <v>718</v>
      </c>
      <c r="H16" s="26"/>
      <c r="I16" s="26"/>
      <c r="J16" s="26"/>
      <c r="K16" s="26"/>
      <c r="M16" s="116" t="s">
        <v>1153</v>
      </c>
      <c r="N16" s="116" t="s">
        <v>1156</v>
      </c>
      <c r="O16" s="119">
        <f>HLOOKUP(M16,$R$3:$T$5,MATCH(N16,{"영어","수학"},-1)+1)</f>
        <v>0.1</v>
      </c>
      <c r="P16" s="115"/>
      <c r="Q16" s="115"/>
      <c r="R16" s="115"/>
      <c r="S16" s="115"/>
      <c r="T16" s="115"/>
    </row>
    <row r="17" spans="1:20">
      <c r="A17" s="68" t="s">
        <v>719</v>
      </c>
      <c r="B17" s="91" t="str">
        <f>COLUMN()+5&amp;"월"</f>
        <v>7월</v>
      </c>
      <c r="C17" s="91" t="str">
        <f t="shared" ref="C17:D17" si="2">COLUMN()+5&amp;"월"</f>
        <v>8월</v>
      </c>
      <c r="D17" s="91" t="str">
        <f t="shared" si="2"/>
        <v>9월</v>
      </c>
      <c r="E17" s="69"/>
      <c r="F17" s="70"/>
      <c r="G17" s="85" t="s">
        <v>720</v>
      </c>
      <c r="H17" s="85" t="s">
        <v>721</v>
      </c>
      <c r="I17" s="85" t="s">
        <v>722</v>
      </c>
      <c r="J17" s="85" t="s">
        <v>723</v>
      </c>
      <c r="K17" s="26"/>
      <c r="M17" s="116" t="s">
        <v>1149</v>
      </c>
      <c r="N17" s="116" t="s">
        <v>1156</v>
      </c>
      <c r="O17" s="119">
        <f>HLOOKUP(M17,$R$3:$T$5,MATCH(N17,{"영어","수학"},-1)+1)</f>
        <v>0.25</v>
      </c>
      <c r="P17" s="115"/>
      <c r="Q17" s="115"/>
      <c r="R17" s="115"/>
      <c r="S17" s="115"/>
      <c r="T17" s="115"/>
    </row>
    <row r="18" spans="1:20">
      <c r="A18" s="91">
        <f>ROW()-17</f>
        <v>1</v>
      </c>
      <c r="B18" s="5">
        <v>25.9</v>
      </c>
      <c r="C18" s="5">
        <v>26.7</v>
      </c>
      <c r="D18" s="5">
        <v>21.2</v>
      </c>
      <c r="E18" s="69"/>
      <c r="F18" s="85" t="s">
        <v>720</v>
      </c>
      <c r="G18" s="87">
        <v>3000</v>
      </c>
      <c r="H18" s="87">
        <v>8000</v>
      </c>
      <c r="I18" s="87">
        <v>25000</v>
      </c>
      <c r="J18" s="87">
        <v>28000</v>
      </c>
      <c r="K18" s="26"/>
      <c r="M18" s="116" t="s">
        <v>1152</v>
      </c>
      <c r="N18" s="116" t="s">
        <v>1156</v>
      </c>
      <c r="O18" s="119">
        <f>HLOOKUP(M18,$R$3:$T$5,MATCH(N18,{"영어","수학"},-1)+1)</f>
        <v>0.2</v>
      </c>
      <c r="P18" s="115"/>
      <c r="Q18" s="115"/>
      <c r="R18" s="115"/>
      <c r="S18" s="115"/>
      <c r="T18" s="115"/>
    </row>
    <row r="19" spans="1:20">
      <c r="A19" s="91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5" t="s">
        <v>721</v>
      </c>
      <c r="G19" s="87">
        <v>8000</v>
      </c>
      <c r="H19" s="87">
        <v>2000</v>
      </c>
      <c r="I19" s="87">
        <v>18000</v>
      </c>
      <c r="J19" s="87">
        <v>20000</v>
      </c>
      <c r="K19" s="26"/>
      <c r="M19" s="116" t="s">
        <v>1153</v>
      </c>
      <c r="N19" s="116" t="s">
        <v>1159</v>
      </c>
      <c r="O19" s="119">
        <f>HLOOKUP(M19,$R$3:$T$5,MATCH(N19,{"영어","수학"},-1)+1)</f>
        <v>0.1</v>
      </c>
      <c r="P19" s="115"/>
      <c r="Q19" s="115"/>
      <c r="R19" s="115"/>
      <c r="S19" s="115"/>
      <c r="T19" s="115"/>
    </row>
    <row r="20" spans="1:20">
      <c r="A20" s="91">
        <f t="shared" si="3"/>
        <v>3</v>
      </c>
      <c r="B20" s="5">
        <v>27.8</v>
      </c>
      <c r="C20" s="5">
        <v>28.4</v>
      </c>
      <c r="D20" s="5">
        <v>24.7</v>
      </c>
      <c r="E20" s="69"/>
      <c r="F20" s="85" t="s">
        <v>722</v>
      </c>
      <c r="G20" s="87">
        <v>25000</v>
      </c>
      <c r="H20" s="87">
        <v>18000</v>
      </c>
      <c r="I20" s="87">
        <v>2500</v>
      </c>
      <c r="J20" s="87">
        <v>15000</v>
      </c>
      <c r="K20" s="26"/>
      <c r="M20" s="116" t="s">
        <v>1152</v>
      </c>
      <c r="N20" s="116" t="s">
        <v>1155</v>
      </c>
      <c r="O20" s="119">
        <f>HLOOKUP(M20,$R$3:$T$5,MATCH(N20,{"영어","수학"},-1)+1)</f>
        <v>0.1</v>
      </c>
      <c r="P20" s="115"/>
      <c r="Q20" s="115"/>
      <c r="R20" s="115"/>
      <c r="S20" s="115"/>
      <c r="T20" s="115"/>
    </row>
    <row r="21" spans="1:20">
      <c r="A21" s="91">
        <f t="shared" si="3"/>
        <v>4</v>
      </c>
      <c r="B21" s="5">
        <v>26.1</v>
      </c>
      <c r="C21" s="5">
        <v>27.9</v>
      </c>
      <c r="D21" s="5">
        <v>24.3</v>
      </c>
      <c r="E21" s="69"/>
      <c r="F21" s="85" t="s">
        <v>723</v>
      </c>
      <c r="G21" s="87">
        <v>28000</v>
      </c>
      <c r="H21" s="87">
        <v>20000</v>
      </c>
      <c r="I21" s="87">
        <v>15000</v>
      </c>
      <c r="J21" s="87">
        <v>2000</v>
      </c>
      <c r="K21" s="26"/>
      <c r="M21" s="116" t="s">
        <v>1153</v>
      </c>
      <c r="N21" s="116" t="s">
        <v>1161</v>
      </c>
      <c r="O21" s="119">
        <f>HLOOKUP(M21,$R$3:$T$5,MATCH(N21,{"영어","수학"},-1)+1)</f>
        <v>0.05</v>
      </c>
      <c r="P21" s="115"/>
      <c r="Q21" s="115"/>
      <c r="R21" s="115"/>
      <c r="S21" s="115"/>
      <c r="T21" s="115"/>
    </row>
    <row r="22" spans="1:20">
      <c r="A22" s="91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  <c r="M22" s="116" t="s">
        <v>1153</v>
      </c>
      <c r="N22" s="116" t="s">
        <v>1161</v>
      </c>
      <c r="O22" s="119">
        <f>HLOOKUP(M22,$R$3:$T$5,MATCH(N22,{"영어","수학"},-1)+1)</f>
        <v>0.05</v>
      </c>
      <c r="P22" s="115"/>
      <c r="Q22" s="115"/>
      <c r="R22" s="115"/>
      <c r="S22" s="115"/>
      <c r="T22" s="115"/>
    </row>
    <row r="23" spans="1:20">
      <c r="A23" s="91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726</v>
      </c>
      <c r="G23" s="71"/>
      <c r="H23" s="26"/>
      <c r="I23" s="26"/>
      <c r="J23" s="26"/>
      <c r="K23" s="26"/>
      <c r="M23" s="116" t="s">
        <v>1153</v>
      </c>
      <c r="N23" s="116" t="s">
        <v>1161</v>
      </c>
      <c r="O23" s="119">
        <f>HLOOKUP(M23,$R$3:$T$5,MATCH(N23,{"영어","수학"},-1)+1)</f>
        <v>0.05</v>
      </c>
      <c r="P23" s="115"/>
      <c r="Q23" s="115"/>
      <c r="R23" s="115"/>
      <c r="S23" s="115"/>
      <c r="T23" s="115"/>
    </row>
    <row r="24" spans="1:20">
      <c r="A24" s="91">
        <f t="shared" si="3"/>
        <v>7</v>
      </c>
      <c r="B24" s="5">
        <v>24.2</v>
      </c>
      <c r="C24" s="5">
        <v>25.3</v>
      </c>
      <c r="D24" s="5">
        <v>21.3</v>
      </c>
      <c r="E24" s="69"/>
      <c r="F24" s="85" t="s">
        <v>175</v>
      </c>
      <c r="G24" s="85" t="s">
        <v>720</v>
      </c>
      <c r="H24" s="85" t="s">
        <v>721</v>
      </c>
      <c r="I24" s="85" t="s">
        <v>722</v>
      </c>
      <c r="J24" s="85" t="s">
        <v>723</v>
      </c>
      <c r="K24" s="26"/>
      <c r="M24" s="116" t="s">
        <v>1153</v>
      </c>
      <c r="N24" s="116" t="s">
        <v>1159</v>
      </c>
      <c r="O24" s="119">
        <f>HLOOKUP(M24,$R$3:$T$5,MATCH(N24,{"영어","수학"},-1)+1)</f>
        <v>0.1</v>
      </c>
      <c r="P24" s="115"/>
      <c r="Q24" s="115"/>
      <c r="R24" s="115"/>
      <c r="S24" s="115"/>
      <c r="T24" s="115"/>
    </row>
    <row r="25" spans="1:20">
      <c r="A25" s="91">
        <f t="shared" si="3"/>
        <v>8</v>
      </c>
      <c r="B25" s="5">
        <v>24.6</v>
      </c>
      <c r="C25" s="5">
        <v>25.6</v>
      </c>
      <c r="D25" s="5">
        <v>20.5</v>
      </c>
      <c r="E25" s="69"/>
      <c r="F25" s="85" t="s">
        <v>728</v>
      </c>
      <c r="G25" s="85">
        <v>1</v>
      </c>
      <c r="H25" s="85">
        <v>2</v>
      </c>
      <c r="I25" s="85">
        <v>3</v>
      </c>
      <c r="J25" s="85">
        <v>4</v>
      </c>
      <c r="K25" s="26"/>
      <c r="M25" s="116" t="s">
        <v>1153</v>
      </c>
      <c r="N25" s="116" t="s">
        <v>1159</v>
      </c>
      <c r="O25" s="119">
        <f>HLOOKUP(M25,$R$3:$T$5,MATCH(N25,{"영어","수학"},-1)+1)</f>
        <v>0.1</v>
      </c>
      <c r="P25" s="115"/>
      <c r="Q25" s="115"/>
      <c r="R25" s="115"/>
      <c r="S25" s="115"/>
      <c r="T25" s="115"/>
    </row>
    <row r="26" spans="1:20">
      <c r="A26" s="91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  <c r="M26" s="116" t="s">
        <v>1153</v>
      </c>
      <c r="N26" s="116" t="s">
        <v>1150</v>
      </c>
      <c r="O26" s="119">
        <f>HLOOKUP(M26,$R$3:$T$5,MATCH(N26,{"영어","수학"},-1)+1)</f>
        <v>0.1</v>
      </c>
      <c r="P26" s="115"/>
      <c r="Q26" s="115"/>
      <c r="R26" s="115"/>
      <c r="S26" s="115"/>
      <c r="T26" s="115"/>
    </row>
    <row r="27" spans="1:20">
      <c r="A27" s="91">
        <f t="shared" si="3"/>
        <v>10</v>
      </c>
      <c r="B27" s="5">
        <v>25.9</v>
      </c>
      <c r="C27" s="5">
        <v>26.3</v>
      </c>
      <c r="D27" s="5">
        <v>21.9</v>
      </c>
      <c r="E27" s="69"/>
      <c r="F27" s="85" t="s">
        <v>729</v>
      </c>
      <c r="G27" s="85" t="s">
        <v>730</v>
      </c>
      <c r="H27" s="90" t="s">
        <v>731</v>
      </c>
      <c r="I27" s="26"/>
      <c r="J27" s="26"/>
      <c r="K27" s="26"/>
      <c r="M27" s="116" t="s">
        <v>1154</v>
      </c>
      <c r="N27" s="116" t="s">
        <v>180</v>
      </c>
      <c r="O27" s="119">
        <f>HLOOKUP(M27,$R$3:$T$5,MATCH(N27,{"영어","수학"},-1)+1)</f>
        <v>0.1</v>
      </c>
      <c r="P27" s="115"/>
      <c r="Q27" s="115"/>
      <c r="R27" s="115"/>
      <c r="S27" s="115"/>
      <c r="T27" s="115"/>
    </row>
    <row r="28" spans="1:20">
      <c r="A28" s="26"/>
      <c r="B28" s="26"/>
      <c r="C28" s="26"/>
      <c r="D28" s="26"/>
      <c r="E28" s="26"/>
      <c r="F28" s="85" t="s">
        <v>722</v>
      </c>
      <c r="G28" s="85" t="s">
        <v>723</v>
      </c>
      <c r="H28" s="100">
        <f>INDEX(G18:J21,HLOOKUP(F20,$G$24:$J$25,2,FALSE),HLOOKUP(J17,$G$24:$J$25,2,FALSE))</f>
        <v>15000</v>
      </c>
      <c r="I28" s="26"/>
      <c r="J28" s="26"/>
      <c r="K28" s="26"/>
      <c r="M28" s="116" t="s">
        <v>1153</v>
      </c>
      <c r="N28" s="116" t="s">
        <v>1159</v>
      </c>
      <c r="O28" s="119">
        <f>HLOOKUP(M28,$R$3:$T$5,MATCH(N28,{"영어","수학"},-1)+1)</f>
        <v>0.1</v>
      </c>
      <c r="P28" s="115"/>
      <c r="Q28" s="115"/>
      <c r="R28" s="115"/>
      <c r="S28" s="115"/>
      <c r="T28" s="115"/>
    </row>
    <row r="29" spans="1:20">
      <c r="M29" s="116" t="s">
        <v>1152</v>
      </c>
      <c r="N29" s="116" t="s">
        <v>1161</v>
      </c>
      <c r="O29" s="119">
        <f>HLOOKUP(M29,$R$3:$T$5,MATCH(N29,{"영어","수학"},-1)+1)</f>
        <v>0.1</v>
      </c>
      <c r="P29" s="115"/>
      <c r="Q29" s="115"/>
      <c r="R29" s="115"/>
      <c r="S29" s="115"/>
      <c r="T29" s="115"/>
    </row>
    <row r="30" spans="1:20">
      <c r="M30" s="116" t="s">
        <v>1151</v>
      </c>
      <c r="N30" s="116" t="s">
        <v>1150</v>
      </c>
      <c r="O30" s="119">
        <f>HLOOKUP(M30,$R$3:$T$5,MATCH(N30,{"영어","수학"},-1)+1)</f>
        <v>0.2</v>
      </c>
      <c r="P30" s="115"/>
      <c r="Q30" s="115"/>
      <c r="R30" s="115"/>
      <c r="S30" s="115"/>
      <c r="T30" s="115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T29"/>
  <sheetViews>
    <sheetView topLeftCell="A21" workbookViewId="0"/>
  </sheetViews>
  <sheetFormatPr defaultRowHeight="17"/>
  <cols>
    <col min="1" max="1" width="11.08203125" customWidth="1"/>
    <col min="2" max="2" width="10.58203125" bestFit="1" customWidth="1"/>
    <col min="3" max="3" width="9.33203125" bestFit="1" customWidth="1"/>
    <col min="4" max="4" width="10.4140625" bestFit="1" customWidth="1"/>
    <col min="5" max="5" width="17.75" bestFit="1" customWidth="1"/>
    <col min="6" max="6" width="10.4140625" bestFit="1" customWidth="1"/>
    <col min="7" max="7" width="1.58203125" customWidth="1"/>
    <col min="8" max="8" width="10.4140625" bestFit="1" customWidth="1"/>
    <col min="10" max="10" width="10.4140625" bestFit="1" customWidth="1"/>
    <col min="11" max="11" width="1.58203125" customWidth="1"/>
    <col min="18" max="18" width="1.58203125" customWidth="1"/>
    <col min="20" max="20" width="11.6640625" customWidth="1"/>
  </cols>
  <sheetData>
    <row r="1" spans="1:20">
      <c r="A1" s="123" t="s">
        <v>65</v>
      </c>
      <c r="B1" s="123"/>
      <c r="C1" s="123"/>
      <c r="D1" s="123"/>
      <c r="E1" s="123"/>
      <c r="F1" s="123"/>
      <c r="G1" s="123"/>
      <c r="H1" s="114" t="s">
        <v>1163</v>
      </c>
      <c r="I1" s="114"/>
      <c r="J1" s="114"/>
      <c r="K1" s="114"/>
      <c r="L1" s="114" t="s">
        <v>1164</v>
      </c>
      <c r="M1" s="114"/>
      <c r="N1" s="114"/>
      <c r="O1" s="114"/>
      <c r="P1" s="114"/>
      <c r="Q1" s="114"/>
      <c r="R1" s="114"/>
      <c r="S1" s="114" t="s">
        <v>1165</v>
      </c>
      <c r="T1" s="123"/>
    </row>
    <row r="2" spans="1:20">
      <c r="A2" s="124" t="s">
        <v>1167</v>
      </c>
      <c r="B2" s="124" t="s">
        <v>1168</v>
      </c>
      <c r="C2" s="124" t="s">
        <v>1169</v>
      </c>
      <c r="D2" s="124" t="s">
        <v>1170</v>
      </c>
      <c r="E2" s="124" t="s">
        <v>1171</v>
      </c>
      <c r="F2" s="125" t="s">
        <v>1173</v>
      </c>
      <c r="G2" s="123"/>
      <c r="H2" s="97" t="s">
        <v>1174</v>
      </c>
      <c r="I2" s="97" t="s">
        <v>1175</v>
      </c>
      <c r="J2" s="125" t="s">
        <v>1177</v>
      </c>
      <c r="K2" s="114"/>
      <c r="L2" s="126" t="s">
        <v>825</v>
      </c>
      <c r="M2" s="126" t="s">
        <v>1178</v>
      </c>
      <c r="N2" s="126" t="s">
        <v>1179</v>
      </c>
      <c r="O2" s="126" t="s">
        <v>1180</v>
      </c>
      <c r="P2" s="126" t="s">
        <v>1181</v>
      </c>
      <c r="Q2" s="125" t="s">
        <v>1182</v>
      </c>
      <c r="R2" s="123"/>
      <c r="S2" s="116" t="s">
        <v>1183</v>
      </c>
      <c r="T2" s="125" t="s">
        <v>1184</v>
      </c>
    </row>
    <row r="3" spans="1:20">
      <c r="A3" s="97" t="s">
        <v>1185</v>
      </c>
      <c r="B3" s="127">
        <v>1650000</v>
      </c>
      <c r="C3" s="97" t="s">
        <v>1186</v>
      </c>
      <c r="D3" s="128">
        <v>0.02</v>
      </c>
      <c r="E3" s="129">
        <v>6</v>
      </c>
      <c r="F3" s="100"/>
      <c r="G3" s="123"/>
      <c r="H3" s="97" t="s">
        <v>1187</v>
      </c>
      <c r="I3" s="130">
        <v>85</v>
      </c>
      <c r="J3" s="129"/>
      <c r="K3" s="114"/>
      <c r="L3" s="131" t="s">
        <v>1188</v>
      </c>
      <c r="M3" s="131" t="s">
        <v>1189</v>
      </c>
      <c r="N3" s="132">
        <v>61</v>
      </c>
      <c r="O3" s="132">
        <v>98</v>
      </c>
      <c r="P3" s="132">
        <v>68</v>
      </c>
      <c r="Q3" s="133"/>
      <c r="R3" s="123"/>
      <c r="S3" s="116" t="s">
        <v>1190</v>
      </c>
      <c r="T3" s="116"/>
    </row>
    <row r="4" spans="1:20">
      <c r="A4" s="97" t="s">
        <v>1191</v>
      </c>
      <c r="B4" s="127">
        <v>1560000</v>
      </c>
      <c r="C4" s="97" t="s">
        <v>1193</v>
      </c>
      <c r="D4" s="128">
        <v>0.01</v>
      </c>
      <c r="E4" s="129">
        <v>12</v>
      </c>
      <c r="F4" s="100"/>
      <c r="G4" s="123"/>
      <c r="H4" s="97" t="s">
        <v>1194</v>
      </c>
      <c r="I4" s="130">
        <v>108</v>
      </c>
      <c r="J4" s="129"/>
      <c r="K4" s="114"/>
      <c r="L4" s="131" t="s">
        <v>1195</v>
      </c>
      <c r="M4" s="131" t="s">
        <v>1196</v>
      </c>
      <c r="N4" s="132">
        <v>86</v>
      </c>
      <c r="O4" s="132">
        <v>66</v>
      </c>
      <c r="P4" s="132">
        <v>87</v>
      </c>
      <c r="Q4" s="133"/>
      <c r="R4" s="123"/>
      <c r="S4" s="116" t="s">
        <v>1197</v>
      </c>
      <c r="T4" s="116"/>
    </row>
    <row r="5" spans="1:20">
      <c r="A5" s="97" t="s">
        <v>1198</v>
      </c>
      <c r="B5" s="127">
        <v>1280000</v>
      </c>
      <c r="C5" s="97" t="s">
        <v>1192</v>
      </c>
      <c r="D5" s="128">
        <v>0.03</v>
      </c>
      <c r="E5" s="129">
        <v>3</v>
      </c>
      <c r="F5" s="100"/>
      <c r="G5" s="123"/>
      <c r="H5" s="97" t="s">
        <v>1199</v>
      </c>
      <c r="I5" s="130">
        <v>59</v>
      </c>
      <c r="J5" s="129"/>
      <c r="K5" s="114"/>
      <c r="L5" s="131" t="s">
        <v>1200</v>
      </c>
      <c r="M5" s="131" t="s">
        <v>1201</v>
      </c>
      <c r="N5" s="132">
        <v>84</v>
      </c>
      <c r="O5" s="132">
        <v>70</v>
      </c>
      <c r="P5" s="132">
        <v>59</v>
      </c>
      <c r="Q5" s="133"/>
      <c r="R5" s="123"/>
      <c r="S5" s="116" t="s">
        <v>1202</v>
      </c>
      <c r="T5" s="116"/>
    </row>
    <row r="6" spans="1:20">
      <c r="A6" s="97" t="s">
        <v>1203</v>
      </c>
      <c r="B6" s="127">
        <v>2540000</v>
      </c>
      <c r="C6" s="97" t="s">
        <v>1205</v>
      </c>
      <c r="D6" s="128">
        <v>0.02</v>
      </c>
      <c r="E6" s="129">
        <v>12</v>
      </c>
      <c r="F6" s="100"/>
      <c r="G6" s="123"/>
      <c r="H6" s="97" t="s">
        <v>1206</v>
      </c>
      <c r="I6" s="130">
        <v>108</v>
      </c>
      <c r="J6" s="129"/>
      <c r="K6" s="114"/>
      <c r="L6" s="131" t="s">
        <v>1207</v>
      </c>
      <c r="M6" s="131" t="s">
        <v>1201</v>
      </c>
      <c r="N6" s="132">
        <v>64</v>
      </c>
      <c r="O6" s="132">
        <v>59</v>
      </c>
      <c r="P6" s="132">
        <v>53</v>
      </c>
      <c r="Q6" s="133"/>
      <c r="R6" s="123"/>
      <c r="S6" s="116" t="s">
        <v>1208</v>
      </c>
      <c r="T6" s="116"/>
    </row>
    <row r="7" spans="1:20">
      <c r="A7" s="97" t="s">
        <v>1209</v>
      </c>
      <c r="B7" s="127">
        <v>3210000</v>
      </c>
      <c r="C7" s="97" t="s">
        <v>1186</v>
      </c>
      <c r="D7" s="128">
        <v>0.02</v>
      </c>
      <c r="E7" s="129">
        <v>6</v>
      </c>
      <c r="F7" s="100"/>
      <c r="G7" s="123"/>
      <c r="H7" s="97" t="s">
        <v>1187</v>
      </c>
      <c r="I7" s="130">
        <v>98</v>
      </c>
      <c r="J7" s="129"/>
      <c r="K7" s="114"/>
      <c r="L7" s="131" t="s">
        <v>1210</v>
      </c>
      <c r="M7" s="131" t="s">
        <v>1211</v>
      </c>
      <c r="N7" s="132">
        <v>92</v>
      </c>
      <c r="O7" s="132">
        <v>87</v>
      </c>
      <c r="P7" s="132">
        <v>90</v>
      </c>
      <c r="Q7" s="133"/>
      <c r="R7" s="123"/>
      <c r="S7" s="116" t="s">
        <v>1212</v>
      </c>
      <c r="T7" s="116"/>
    </row>
    <row r="8" spans="1:20">
      <c r="A8" s="97" t="s">
        <v>1213</v>
      </c>
      <c r="B8" s="127">
        <v>6210000</v>
      </c>
      <c r="C8" s="97" t="s">
        <v>1192</v>
      </c>
      <c r="D8" s="128">
        <v>0.03</v>
      </c>
      <c r="E8" s="129">
        <v>3</v>
      </c>
      <c r="F8" s="100"/>
      <c r="G8" s="123"/>
      <c r="H8" s="97" t="s">
        <v>1194</v>
      </c>
      <c r="I8" s="130">
        <v>98</v>
      </c>
      <c r="J8" s="129"/>
      <c r="K8" s="114"/>
      <c r="L8" s="131" t="s">
        <v>1214</v>
      </c>
      <c r="M8" s="131" t="s">
        <v>1196</v>
      </c>
      <c r="N8" s="132">
        <v>89</v>
      </c>
      <c r="O8" s="132">
        <v>90</v>
      </c>
      <c r="P8" s="132">
        <v>92</v>
      </c>
      <c r="Q8" s="133"/>
      <c r="R8" s="123"/>
      <c r="S8" s="116" t="s">
        <v>1215</v>
      </c>
      <c r="T8" s="116"/>
    </row>
    <row r="9" spans="1:20">
      <c r="A9" s="97" t="s">
        <v>1216</v>
      </c>
      <c r="B9" s="127">
        <v>2840000</v>
      </c>
      <c r="C9" s="97" t="s">
        <v>1186</v>
      </c>
      <c r="D9" s="128">
        <v>0.01</v>
      </c>
      <c r="E9" s="129">
        <v>12</v>
      </c>
      <c r="F9" s="100"/>
      <c r="G9" s="123"/>
      <c r="H9" s="97" t="s">
        <v>1217</v>
      </c>
      <c r="I9" s="130">
        <v>50</v>
      </c>
      <c r="J9" s="129"/>
      <c r="K9" s="114"/>
      <c r="L9" s="131" t="s">
        <v>1218</v>
      </c>
      <c r="M9" s="131" t="s">
        <v>1189</v>
      </c>
      <c r="N9" s="132">
        <v>92</v>
      </c>
      <c r="O9" s="132">
        <v>64</v>
      </c>
      <c r="P9" s="132">
        <v>76</v>
      </c>
      <c r="Q9" s="133"/>
      <c r="R9" s="123"/>
      <c r="S9" s="116" t="s">
        <v>1219</v>
      </c>
      <c r="T9" s="116"/>
    </row>
    <row r="10" spans="1:20">
      <c r="A10" s="97" t="s">
        <v>1220</v>
      </c>
      <c r="B10" s="127">
        <v>5130000</v>
      </c>
      <c r="C10" s="97" t="s">
        <v>1186</v>
      </c>
      <c r="D10" s="128">
        <v>0.03</v>
      </c>
      <c r="E10" s="129">
        <v>12</v>
      </c>
      <c r="F10" s="100"/>
      <c r="G10" s="123"/>
      <c r="H10" s="97" t="s">
        <v>1199</v>
      </c>
      <c r="I10" s="130">
        <v>98</v>
      </c>
      <c r="J10" s="129"/>
      <c r="K10" s="114"/>
      <c r="L10" s="131" t="s">
        <v>1221</v>
      </c>
      <c r="M10" s="131" t="s">
        <v>1201</v>
      </c>
      <c r="N10" s="132">
        <v>79</v>
      </c>
      <c r="O10" s="132">
        <v>94</v>
      </c>
      <c r="P10" s="132">
        <v>69</v>
      </c>
      <c r="Q10" s="133"/>
      <c r="R10" s="123"/>
      <c r="S10" s="116" t="s">
        <v>1222</v>
      </c>
      <c r="T10" s="116"/>
    </row>
    <row r="11" spans="1:20">
      <c r="A11" s="97" t="s">
        <v>1203</v>
      </c>
      <c r="B11" s="127">
        <v>857000</v>
      </c>
      <c r="C11" s="97" t="s">
        <v>1205</v>
      </c>
      <c r="D11" s="128">
        <v>0.02</v>
      </c>
      <c r="E11" s="129">
        <v>3</v>
      </c>
      <c r="F11" s="100"/>
      <c r="G11" s="123"/>
      <c r="H11" s="97" t="s">
        <v>1223</v>
      </c>
      <c r="I11" s="130">
        <v>69</v>
      </c>
      <c r="J11" s="129"/>
      <c r="K11" s="114"/>
      <c r="L11" s="131" t="s">
        <v>1224</v>
      </c>
      <c r="M11" s="131" t="s">
        <v>1225</v>
      </c>
      <c r="N11" s="132">
        <v>65</v>
      </c>
      <c r="O11" s="132">
        <v>73</v>
      </c>
      <c r="P11" s="132">
        <v>82</v>
      </c>
      <c r="Q11" s="133"/>
      <c r="R11" s="123"/>
      <c r="S11" s="116" t="s">
        <v>1226</v>
      </c>
      <c r="T11" s="116"/>
    </row>
    <row r="12" spans="1:20">
      <c r="A12" s="97" t="s">
        <v>1198</v>
      </c>
      <c r="B12" s="127">
        <v>5840000</v>
      </c>
      <c r="C12" s="97" t="s">
        <v>1193</v>
      </c>
      <c r="D12" s="128">
        <v>0.03</v>
      </c>
      <c r="E12" s="129">
        <v>12</v>
      </c>
      <c r="F12" s="100"/>
      <c r="G12" s="123"/>
      <c r="H12" s="97" t="s">
        <v>1194</v>
      </c>
      <c r="I12" s="130">
        <v>59</v>
      </c>
      <c r="J12" s="129"/>
      <c r="K12" s="114"/>
      <c r="L12" s="131" t="s">
        <v>1227</v>
      </c>
      <c r="M12" s="131" t="s">
        <v>1189</v>
      </c>
      <c r="N12" s="132">
        <v>74</v>
      </c>
      <c r="O12" s="132">
        <v>92</v>
      </c>
      <c r="P12" s="132">
        <v>73</v>
      </c>
      <c r="Q12" s="133"/>
      <c r="R12" s="123"/>
      <c r="S12" s="116" t="s">
        <v>1228</v>
      </c>
      <c r="T12" s="116"/>
    </row>
    <row r="13" spans="1:20">
      <c r="A13" s="97" t="s">
        <v>1229</v>
      </c>
      <c r="B13" s="127">
        <v>3540000</v>
      </c>
      <c r="C13" s="97" t="s">
        <v>1205</v>
      </c>
      <c r="D13" s="128">
        <v>0.01</v>
      </c>
      <c r="E13" s="129">
        <v>6</v>
      </c>
      <c r="F13" s="100"/>
      <c r="G13" s="123"/>
      <c r="H13" s="97" t="s">
        <v>1199</v>
      </c>
      <c r="I13" s="130">
        <v>84</v>
      </c>
      <c r="J13" s="129"/>
      <c r="K13" s="114"/>
      <c r="L13" s="131" t="s">
        <v>1230</v>
      </c>
      <c r="M13" s="131" t="s">
        <v>1201</v>
      </c>
      <c r="N13" s="132">
        <v>87</v>
      </c>
      <c r="O13" s="132">
        <v>84</v>
      </c>
      <c r="P13" s="132">
        <v>63</v>
      </c>
      <c r="Q13" s="133"/>
      <c r="R13" s="123"/>
      <c r="S13" s="116" t="s">
        <v>1231</v>
      </c>
      <c r="T13" s="116"/>
    </row>
    <row r="14" spans="1:20">
      <c r="A14" s="123"/>
      <c r="B14" s="123"/>
      <c r="C14" s="123"/>
      <c r="D14" s="134"/>
      <c r="E14" s="135"/>
      <c r="F14" s="123"/>
      <c r="G14" s="123"/>
      <c r="H14" s="97" t="s">
        <v>1187</v>
      </c>
      <c r="I14" s="130">
        <v>151</v>
      </c>
      <c r="J14" s="129"/>
      <c r="K14" s="114"/>
      <c r="L14" s="131" t="s">
        <v>1232</v>
      </c>
      <c r="M14" s="131" t="s">
        <v>1225</v>
      </c>
      <c r="N14" s="132">
        <v>50</v>
      </c>
      <c r="O14" s="132">
        <v>84</v>
      </c>
      <c r="P14" s="132">
        <v>79</v>
      </c>
      <c r="Q14" s="133"/>
      <c r="R14" s="123"/>
      <c r="S14" s="116" t="s">
        <v>1233</v>
      </c>
      <c r="T14" s="116"/>
    </row>
    <row r="15" spans="1:20">
      <c r="A15" s="114" t="s">
        <v>1234</v>
      </c>
      <c r="B15" s="123"/>
      <c r="C15" s="123"/>
      <c r="D15" s="123"/>
      <c r="E15" s="135"/>
      <c r="F15" s="123"/>
      <c r="G15" s="123"/>
      <c r="H15" s="97" t="s">
        <v>1217</v>
      </c>
      <c r="I15" s="130">
        <v>104</v>
      </c>
      <c r="J15" s="129"/>
      <c r="K15" s="114"/>
      <c r="L15" s="131" t="s">
        <v>1235</v>
      </c>
      <c r="M15" s="131" t="s">
        <v>1189</v>
      </c>
      <c r="N15" s="132">
        <v>76</v>
      </c>
      <c r="O15" s="132">
        <v>80</v>
      </c>
      <c r="P15" s="132">
        <v>89</v>
      </c>
      <c r="Q15" s="133"/>
      <c r="R15" s="123"/>
      <c r="S15" s="116" t="s">
        <v>1236</v>
      </c>
      <c r="T15" s="116"/>
    </row>
    <row r="16" spans="1:20">
      <c r="A16" s="278" t="s">
        <v>1237</v>
      </c>
      <c r="B16" s="97">
        <v>0</v>
      </c>
      <c r="C16" s="97">
        <v>3</v>
      </c>
      <c r="D16" s="97">
        <v>6</v>
      </c>
      <c r="E16" s="97">
        <v>12</v>
      </c>
      <c r="F16" s="123"/>
      <c r="G16" s="123"/>
      <c r="H16" s="97" t="s">
        <v>1206</v>
      </c>
      <c r="I16" s="130">
        <v>105</v>
      </c>
      <c r="J16" s="129"/>
      <c r="K16" s="114"/>
      <c r="L16" s="131" t="s">
        <v>1238</v>
      </c>
      <c r="M16" s="131" t="s">
        <v>1189</v>
      </c>
      <c r="N16" s="132">
        <v>52</v>
      </c>
      <c r="O16" s="132">
        <v>56</v>
      </c>
      <c r="P16" s="132">
        <v>92</v>
      </c>
      <c r="Q16" s="133"/>
      <c r="R16" s="123"/>
      <c r="S16" s="116" t="s">
        <v>1239</v>
      </c>
      <c r="T16" s="116"/>
    </row>
    <row r="17" spans="1:20">
      <c r="A17" s="278"/>
      <c r="B17" s="97">
        <v>2</v>
      </c>
      <c r="C17" s="97">
        <v>6</v>
      </c>
      <c r="D17" s="97">
        <v>11</v>
      </c>
      <c r="E17" s="97"/>
      <c r="F17" s="123"/>
      <c r="G17" s="123"/>
      <c r="H17" s="97" t="s">
        <v>1199</v>
      </c>
      <c r="I17" s="130">
        <v>98</v>
      </c>
      <c r="J17" s="129"/>
      <c r="K17" s="114"/>
      <c r="L17" s="131" t="s">
        <v>1240</v>
      </c>
      <c r="M17" s="131" t="s">
        <v>1241</v>
      </c>
      <c r="N17" s="132">
        <v>56</v>
      </c>
      <c r="O17" s="132">
        <v>99</v>
      </c>
      <c r="P17" s="132">
        <v>75</v>
      </c>
      <c r="Q17" s="133"/>
      <c r="R17" s="123"/>
      <c r="S17" s="116" t="s">
        <v>1242</v>
      </c>
      <c r="T17" s="116"/>
    </row>
    <row r="18" spans="1:20">
      <c r="A18" s="97" t="s">
        <v>1193</v>
      </c>
      <c r="B18" s="136">
        <v>0</v>
      </c>
      <c r="C18" s="136">
        <v>0.03</v>
      </c>
      <c r="D18" s="136">
        <v>0.05</v>
      </c>
      <c r="E18" s="136">
        <v>7.0000000000000007E-2</v>
      </c>
      <c r="F18" s="123"/>
      <c r="G18" s="123"/>
      <c r="H18" s="97" t="s">
        <v>1187</v>
      </c>
      <c r="I18" s="130">
        <v>69</v>
      </c>
      <c r="J18" s="129"/>
      <c r="K18" s="114"/>
      <c r="L18" s="131" t="s">
        <v>1243</v>
      </c>
      <c r="M18" s="131" t="s">
        <v>1211</v>
      </c>
      <c r="N18" s="132">
        <v>97</v>
      </c>
      <c r="O18" s="132">
        <v>98</v>
      </c>
      <c r="P18" s="132">
        <v>85</v>
      </c>
      <c r="Q18" s="133"/>
      <c r="R18" s="123"/>
      <c r="S18" s="116" t="s">
        <v>1244</v>
      </c>
      <c r="T18" s="116"/>
    </row>
    <row r="19" spans="1:20">
      <c r="A19" s="97" t="s">
        <v>1245</v>
      </c>
      <c r="B19" s="136">
        <v>0</v>
      </c>
      <c r="C19" s="136">
        <v>0.02</v>
      </c>
      <c r="D19" s="136">
        <v>0.04</v>
      </c>
      <c r="E19" s="136">
        <v>0.06</v>
      </c>
      <c r="F19" s="123"/>
      <c r="G19" s="123"/>
      <c r="H19" s="97" t="s">
        <v>1206</v>
      </c>
      <c r="I19" s="130">
        <v>105</v>
      </c>
      <c r="J19" s="129"/>
      <c r="K19" s="114"/>
      <c r="L19" s="131" t="s">
        <v>1246</v>
      </c>
      <c r="M19" s="131" t="s">
        <v>1189</v>
      </c>
      <c r="N19" s="132">
        <v>68</v>
      </c>
      <c r="O19" s="132">
        <v>50</v>
      </c>
      <c r="P19" s="132">
        <v>89</v>
      </c>
      <c r="Q19" s="133"/>
      <c r="R19" s="123"/>
      <c r="S19" s="116" t="s">
        <v>1247</v>
      </c>
      <c r="T19" s="116"/>
    </row>
    <row r="20" spans="1:20">
      <c r="A20" s="123"/>
      <c r="B20" s="123"/>
      <c r="C20" s="123"/>
      <c r="D20" s="123"/>
      <c r="E20" s="123"/>
      <c r="F20" s="123"/>
      <c r="G20" s="123"/>
      <c r="H20" s="97" t="s">
        <v>1199</v>
      </c>
      <c r="I20" s="130">
        <v>113</v>
      </c>
      <c r="J20" s="129"/>
      <c r="K20" s="114"/>
      <c r="L20" s="131" t="s">
        <v>1248</v>
      </c>
      <c r="M20" s="131" t="s">
        <v>1196</v>
      </c>
      <c r="N20" s="132">
        <v>77</v>
      </c>
      <c r="O20" s="132">
        <v>89</v>
      </c>
      <c r="P20" s="132">
        <v>92</v>
      </c>
      <c r="Q20" s="133"/>
      <c r="R20" s="123"/>
      <c r="S20" s="116" t="s">
        <v>1249</v>
      </c>
      <c r="T20" s="116"/>
    </row>
    <row r="21" spans="1:20">
      <c r="A21" s="114" t="s">
        <v>1250</v>
      </c>
      <c r="B21" s="114"/>
      <c r="C21" s="114"/>
      <c r="D21" s="114"/>
      <c r="E21" s="114"/>
      <c r="F21" s="123"/>
      <c r="G21" s="123"/>
      <c r="H21" s="123"/>
      <c r="I21" s="123"/>
      <c r="J21" s="123"/>
      <c r="K21" s="114"/>
      <c r="L21" s="131" t="s">
        <v>1251</v>
      </c>
      <c r="M21" s="131" t="s">
        <v>1241</v>
      </c>
      <c r="N21" s="132">
        <v>55</v>
      </c>
      <c r="O21" s="132">
        <v>68</v>
      </c>
      <c r="P21" s="132">
        <v>66</v>
      </c>
      <c r="Q21" s="133"/>
      <c r="R21" s="123"/>
    </row>
    <row r="22" spans="1:20">
      <c r="A22" s="97" t="s">
        <v>175</v>
      </c>
      <c r="B22" s="137">
        <v>50</v>
      </c>
      <c r="C22" s="137">
        <v>86</v>
      </c>
      <c r="D22" s="137">
        <v>103</v>
      </c>
      <c r="E22" s="138">
        <v>136</v>
      </c>
      <c r="F22" s="123"/>
      <c r="G22" s="123"/>
      <c r="H22" s="123"/>
      <c r="I22" s="123"/>
      <c r="J22" s="123"/>
      <c r="K22" s="114"/>
      <c r="L22" s="131" t="s">
        <v>1252</v>
      </c>
      <c r="M22" s="131" t="s">
        <v>1225</v>
      </c>
      <c r="N22" s="132">
        <v>52</v>
      </c>
      <c r="O22" s="132">
        <v>78</v>
      </c>
      <c r="P22" s="132">
        <v>60</v>
      </c>
      <c r="Q22" s="133"/>
      <c r="R22" s="123"/>
    </row>
    <row r="23" spans="1:20">
      <c r="A23" s="129" t="s">
        <v>1187</v>
      </c>
      <c r="B23" s="129">
        <v>300</v>
      </c>
      <c r="C23" s="129">
        <v>600</v>
      </c>
      <c r="D23" s="129">
        <v>1000</v>
      </c>
      <c r="E23" s="22">
        <v>1500</v>
      </c>
      <c r="F23" s="123"/>
      <c r="G23" s="123"/>
      <c r="H23" s="123" t="s">
        <v>1253</v>
      </c>
      <c r="I23" s="123"/>
      <c r="J23" s="123"/>
      <c r="K23" s="114"/>
      <c r="L23" s="131" t="s">
        <v>1254</v>
      </c>
      <c r="M23" s="131" t="s">
        <v>1196</v>
      </c>
      <c r="N23" s="132">
        <v>76</v>
      </c>
      <c r="O23" s="132">
        <v>65</v>
      </c>
      <c r="P23" s="132">
        <v>88</v>
      </c>
      <c r="Q23" s="133"/>
      <c r="R23" s="123"/>
      <c r="S23" s="139" t="s">
        <v>1256</v>
      </c>
    </row>
    <row r="24" spans="1:20">
      <c r="A24" s="129" t="s">
        <v>1217</v>
      </c>
      <c r="B24" s="129">
        <v>250</v>
      </c>
      <c r="C24" s="129">
        <v>400</v>
      </c>
      <c r="D24" s="129">
        <v>700</v>
      </c>
      <c r="E24" s="22">
        <v>1000</v>
      </c>
      <c r="F24" s="123"/>
      <c r="G24" s="123"/>
      <c r="H24" s="97" t="s">
        <v>1258</v>
      </c>
      <c r="I24" s="279" t="s">
        <v>1260</v>
      </c>
      <c r="J24" s="280"/>
      <c r="K24" s="114"/>
      <c r="L24" s="131" t="s">
        <v>1261</v>
      </c>
      <c r="M24" s="131" t="s">
        <v>1225</v>
      </c>
      <c r="N24" s="132">
        <v>85</v>
      </c>
      <c r="O24" s="132">
        <v>97</v>
      </c>
      <c r="P24" s="132">
        <v>89</v>
      </c>
      <c r="Q24" s="133"/>
      <c r="R24" s="123"/>
      <c r="S24" s="116" t="s">
        <v>1262</v>
      </c>
      <c r="T24" s="116" t="s">
        <v>1263</v>
      </c>
    </row>
    <row r="25" spans="1:20">
      <c r="A25" s="129" t="s">
        <v>1223</v>
      </c>
      <c r="B25" s="129">
        <v>200</v>
      </c>
      <c r="C25" s="129">
        <v>300</v>
      </c>
      <c r="D25" s="129">
        <v>400</v>
      </c>
      <c r="E25" s="22">
        <v>500</v>
      </c>
      <c r="F25" s="123"/>
      <c r="G25" s="123"/>
      <c r="H25" s="97" t="s">
        <v>1264</v>
      </c>
      <c r="I25" s="278"/>
      <c r="J25" s="278"/>
      <c r="K25" s="114"/>
      <c r="L25" s="131" t="s">
        <v>840</v>
      </c>
      <c r="M25" s="131" t="s">
        <v>1241</v>
      </c>
      <c r="N25" s="132">
        <v>71</v>
      </c>
      <c r="O25" s="132">
        <v>97</v>
      </c>
      <c r="P25" s="132">
        <v>68</v>
      </c>
      <c r="Q25" s="133"/>
      <c r="R25" s="123"/>
      <c r="S25" s="116" t="s">
        <v>1265</v>
      </c>
      <c r="T25" s="116" t="s">
        <v>1266</v>
      </c>
    </row>
    <row r="26" spans="1:20">
      <c r="A26" s="123"/>
      <c r="B26" s="123"/>
      <c r="C26" s="123"/>
      <c r="D26" s="123"/>
      <c r="E26" s="123"/>
      <c r="F26" s="123"/>
      <c r="G26" s="123"/>
      <c r="H26" s="97" t="s">
        <v>1267</v>
      </c>
      <c r="I26" s="278"/>
      <c r="J26" s="278"/>
      <c r="K26" s="114"/>
      <c r="L26" s="134"/>
      <c r="M26" s="140"/>
      <c r="N26" s="140"/>
      <c r="O26" s="140"/>
      <c r="P26" s="141"/>
      <c r="Q26" s="141"/>
      <c r="R26" s="123"/>
      <c r="S26" s="116" t="s">
        <v>1268</v>
      </c>
      <c r="T26" s="116" t="s">
        <v>1269</v>
      </c>
    </row>
    <row r="27" spans="1:20">
      <c r="A27" s="123" t="s">
        <v>1270</v>
      </c>
      <c r="B27" s="123"/>
      <c r="C27" s="123"/>
      <c r="D27" s="123"/>
      <c r="E27" s="123"/>
      <c r="F27" s="123"/>
      <c r="G27" s="123"/>
      <c r="H27" s="97" t="s">
        <v>1271</v>
      </c>
      <c r="I27" s="278"/>
      <c r="J27" s="278"/>
      <c r="K27" s="114"/>
      <c r="L27" s="4" t="s">
        <v>1273</v>
      </c>
      <c r="M27" s="114"/>
      <c r="N27" s="114"/>
      <c r="O27" s="114"/>
      <c r="P27" s="114"/>
      <c r="Q27" s="114"/>
      <c r="R27" s="123"/>
      <c r="S27" s="116" t="s">
        <v>1274</v>
      </c>
      <c r="T27" s="116" t="s">
        <v>1275</v>
      </c>
    </row>
    <row r="28" spans="1:20">
      <c r="A28" s="97" t="s">
        <v>1276</v>
      </c>
      <c r="B28" s="97" t="s">
        <v>1277</v>
      </c>
      <c r="C28" s="97" t="s">
        <v>1278</v>
      </c>
      <c r="D28" s="97" t="s">
        <v>1279</v>
      </c>
      <c r="E28" s="97" t="s">
        <v>1280</v>
      </c>
      <c r="F28" s="123"/>
      <c r="G28" s="123"/>
      <c r="H28" s="97" t="s">
        <v>1282</v>
      </c>
      <c r="I28" s="278"/>
      <c r="J28" s="278"/>
      <c r="K28" s="114"/>
      <c r="L28" s="97" t="s">
        <v>1283</v>
      </c>
      <c r="M28" s="133">
        <v>0</v>
      </c>
      <c r="N28" s="133">
        <v>60</v>
      </c>
      <c r="O28" s="97">
        <v>70</v>
      </c>
      <c r="P28" s="97">
        <v>80</v>
      </c>
      <c r="Q28" s="97">
        <v>90</v>
      </c>
      <c r="R28" s="141"/>
      <c r="S28" s="116" t="s">
        <v>1284</v>
      </c>
      <c r="T28" s="116" t="s">
        <v>1285</v>
      </c>
    </row>
    <row r="29" spans="1:20">
      <c r="A29" s="142">
        <v>11</v>
      </c>
      <c r="B29" s="142">
        <v>22</v>
      </c>
      <c r="C29" s="142">
        <v>33</v>
      </c>
      <c r="D29" s="142">
        <v>44</v>
      </c>
      <c r="E29" s="97">
        <v>55</v>
      </c>
      <c r="F29" s="123"/>
      <c r="G29" s="123"/>
      <c r="H29" s="97" t="s">
        <v>1287</v>
      </c>
      <c r="I29" s="278"/>
      <c r="J29" s="278"/>
      <c r="K29" s="114"/>
      <c r="L29" s="97" t="s">
        <v>1182</v>
      </c>
      <c r="M29" s="97" t="s">
        <v>1288</v>
      </c>
      <c r="N29" s="97" t="s">
        <v>1289</v>
      </c>
      <c r="O29" s="97" t="s">
        <v>714</v>
      </c>
      <c r="P29" s="97" t="s">
        <v>706</v>
      </c>
      <c r="Q29" s="97" t="s">
        <v>716</v>
      </c>
      <c r="R29" s="114"/>
      <c r="S29" s="116" t="s">
        <v>1290</v>
      </c>
      <c r="T29" s="116" t="s">
        <v>1291</v>
      </c>
    </row>
  </sheetData>
  <mergeCells count="7">
    <mergeCell ref="I29:J29"/>
    <mergeCell ref="A16:A17"/>
    <mergeCell ref="I24:J24"/>
    <mergeCell ref="I25:J25"/>
    <mergeCell ref="I26:J26"/>
    <mergeCell ref="I27:J27"/>
    <mergeCell ref="I28:J28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29"/>
  <sheetViews>
    <sheetView workbookViewId="0"/>
  </sheetViews>
  <sheetFormatPr defaultRowHeight="17"/>
  <cols>
    <col min="1" max="1" width="11.08203125" customWidth="1"/>
    <col min="2" max="2" width="10.58203125" bestFit="1" customWidth="1"/>
    <col min="3" max="3" width="9.33203125" bestFit="1" customWidth="1"/>
    <col min="4" max="4" width="10.4140625" bestFit="1" customWidth="1"/>
    <col min="5" max="5" width="17.75" bestFit="1" customWidth="1"/>
    <col min="6" max="6" width="10.4140625" bestFit="1" customWidth="1"/>
    <col min="7" max="7" width="1.58203125" customWidth="1"/>
    <col min="8" max="8" width="10.4140625" bestFit="1" customWidth="1"/>
    <col min="10" max="10" width="10.4140625" bestFit="1" customWidth="1"/>
    <col min="11" max="11" width="1.58203125" customWidth="1"/>
    <col min="18" max="18" width="1.58203125" customWidth="1"/>
    <col min="20" max="20" width="11.6640625" bestFit="1" customWidth="1"/>
  </cols>
  <sheetData>
    <row r="1" spans="1:20">
      <c r="A1" s="123" t="s">
        <v>65</v>
      </c>
      <c r="B1" s="123"/>
      <c r="C1" s="123"/>
      <c r="D1" s="123"/>
      <c r="E1" s="123"/>
      <c r="F1" s="123"/>
      <c r="G1" s="123"/>
      <c r="H1" s="114" t="s">
        <v>1163</v>
      </c>
      <c r="I1" s="114"/>
      <c r="J1" s="114"/>
      <c r="K1" s="114"/>
      <c r="L1" s="114" t="s">
        <v>1164</v>
      </c>
      <c r="M1" s="114"/>
      <c r="N1" s="114"/>
      <c r="O1" s="114"/>
      <c r="P1" s="114"/>
      <c r="Q1" s="114"/>
      <c r="R1" s="114"/>
      <c r="S1" s="114" t="s">
        <v>1165</v>
      </c>
      <c r="T1" s="123"/>
    </row>
    <row r="2" spans="1:20">
      <c r="A2" s="124" t="s">
        <v>1167</v>
      </c>
      <c r="B2" s="124" t="s">
        <v>1168</v>
      </c>
      <c r="C2" s="124" t="s">
        <v>1169</v>
      </c>
      <c r="D2" s="124" t="s">
        <v>1170</v>
      </c>
      <c r="E2" s="124" t="s">
        <v>1171</v>
      </c>
      <c r="F2" s="125" t="s">
        <v>1172</v>
      </c>
      <c r="G2" s="123"/>
      <c r="H2" s="97" t="s">
        <v>1292</v>
      </c>
      <c r="I2" s="97" t="s">
        <v>1175</v>
      </c>
      <c r="J2" s="125" t="s">
        <v>1176</v>
      </c>
      <c r="K2" s="114"/>
      <c r="L2" s="126" t="s">
        <v>825</v>
      </c>
      <c r="M2" s="126" t="s">
        <v>1178</v>
      </c>
      <c r="N2" s="126" t="s">
        <v>1179</v>
      </c>
      <c r="O2" s="126" t="s">
        <v>1180</v>
      </c>
      <c r="P2" s="126" t="s">
        <v>1181</v>
      </c>
      <c r="Q2" s="125" t="s">
        <v>1293</v>
      </c>
      <c r="R2" s="123"/>
      <c r="S2" s="116" t="s">
        <v>1183</v>
      </c>
      <c r="T2" s="125" t="s">
        <v>1184</v>
      </c>
    </row>
    <row r="3" spans="1:20">
      <c r="A3" s="97" t="s">
        <v>1185</v>
      </c>
      <c r="B3" s="127">
        <v>1650000</v>
      </c>
      <c r="C3" s="97" t="s">
        <v>1186</v>
      </c>
      <c r="D3" s="128">
        <v>0.02</v>
      </c>
      <c r="E3" s="129">
        <v>6</v>
      </c>
      <c r="F3" s="100">
        <f>B3*HLOOKUP(E3,$B$16:$E$19,MATCH(C3,{"한국카드","대한카드"},-1)+2)</f>
        <v>66000</v>
      </c>
      <c r="G3" s="123"/>
      <c r="H3" s="97" t="s">
        <v>1187</v>
      </c>
      <c r="I3" s="130">
        <v>85</v>
      </c>
      <c r="J3" s="129">
        <f>INDEX($B$23:$E$25,MATCH(H3,$A$23:$A$25,0),MATCH(I3,$B$22:$E$22,1))</f>
        <v>300</v>
      </c>
      <c r="K3" s="114"/>
      <c r="L3" s="131" t="s">
        <v>1188</v>
      </c>
      <c r="M3" s="131" t="s">
        <v>1189</v>
      </c>
      <c r="N3" s="132">
        <v>61</v>
      </c>
      <c r="O3" s="132">
        <v>98</v>
      </c>
      <c r="P3" s="132">
        <v>68</v>
      </c>
      <c r="Q3" s="133" t="str">
        <f>HLOOKUP(SUMPRODUCT(N3:P3,{0.3,0.2,0.5}),$M$28:$Q$29,2)</f>
        <v>C</v>
      </c>
      <c r="R3" s="123"/>
      <c r="S3" s="116" t="s">
        <v>1190</v>
      </c>
      <c r="T3" s="116" t="str">
        <f>VLOOKUP(LEFT(S3,2),$S$25:$T$29,2,FALSE)&amp;"("&amp;CHOOSE(MOD(RIGHT(S3,3),4)+1,"동부","서부","남부","북부")&amp;")"</f>
        <v>자영업(동부)</v>
      </c>
    </row>
    <row r="4" spans="1:20">
      <c r="A4" s="97" t="s">
        <v>1191</v>
      </c>
      <c r="B4" s="127">
        <v>1560000</v>
      </c>
      <c r="C4" s="97" t="s">
        <v>1193</v>
      </c>
      <c r="D4" s="128">
        <v>0.01</v>
      </c>
      <c r="E4" s="129">
        <v>12</v>
      </c>
      <c r="F4" s="100">
        <f>B4*HLOOKUP(E4,$B$16:$E$19,MATCH(C4,{"한국카드","대한카드"},-1)+2)</f>
        <v>109200.00000000001</v>
      </c>
      <c r="G4" s="123"/>
      <c r="H4" s="97" t="s">
        <v>1194</v>
      </c>
      <c r="I4" s="130">
        <v>108</v>
      </c>
      <c r="J4" s="129">
        <f t="shared" ref="J4:J20" si="0">INDEX($B$23:$E$25,MATCH(H4,$A$23:$A$25,0),MATCH(I4,$B$22:$E$22,1))</f>
        <v>700</v>
      </c>
      <c r="K4" s="114"/>
      <c r="L4" s="131" t="s">
        <v>1195</v>
      </c>
      <c r="M4" s="131" t="s">
        <v>1196</v>
      </c>
      <c r="N4" s="132">
        <v>86</v>
      </c>
      <c r="O4" s="132">
        <v>66</v>
      </c>
      <c r="P4" s="132">
        <v>87</v>
      </c>
      <c r="Q4" s="133" t="str">
        <f>HLOOKUP(SUMPRODUCT(N4:P4,{0.3,0.2,0.5}),$M$28:$Q$29,2)</f>
        <v>B</v>
      </c>
      <c r="R4" s="123"/>
      <c r="S4" s="116" t="s">
        <v>1197</v>
      </c>
      <c r="T4" s="116" t="str">
        <f t="shared" ref="T4:T20" si="1">VLOOKUP(LEFT(S4,2),$S$25:$T$29,2,FALSE)&amp;"("&amp;CHOOSE(MOD(RIGHT(S4,3),4)+1,"동부","서부","남부","북부")&amp;")"</f>
        <v>회사원(북부)</v>
      </c>
    </row>
    <row r="5" spans="1:20">
      <c r="A5" s="97" t="s">
        <v>1198</v>
      </c>
      <c r="B5" s="127">
        <v>1280000</v>
      </c>
      <c r="C5" s="97" t="s">
        <v>1192</v>
      </c>
      <c r="D5" s="128">
        <v>0.03</v>
      </c>
      <c r="E5" s="129">
        <v>3</v>
      </c>
      <c r="F5" s="100">
        <f>B5*HLOOKUP(E5,$B$16:$E$19,MATCH(C5,{"한국카드","대한카드"},-1)+2)</f>
        <v>38400</v>
      </c>
      <c r="G5" s="123"/>
      <c r="H5" s="97" t="s">
        <v>1294</v>
      </c>
      <c r="I5" s="130">
        <v>59</v>
      </c>
      <c r="J5" s="129">
        <f t="shared" si="0"/>
        <v>200</v>
      </c>
      <c r="K5" s="114"/>
      <c r="L5" s="131" t="s">
        <v>1200</v>
      </c>
      <c r="M5" s="131" t="s">
        <v>1201</v>
      </c>
      <c r="N5" s="132">
        <v>84</v>
      </c>
      <c r="O5" s="132">
        <v>70</v>
      </c>
      <c r="P5" s="132">
        <v>59</v>
      </c>
      <c r="Q5" s="133" t="str">
        <f>HLOOKUP(SUMPRODUCT(N5:P5,{0.3,0.2,0.5}),$M$28:$Q$29,2)</f>
        <v>D</v>
      </c>
      <c r="R5" s="123"/>
      <c r="S5" s="116" t="s">
        <v>1202</v>
      </c>
      <c r="T5" s="116" t="str">
        <f t="shared" si="1"/>
        <v>공무원(북부)</v>
      </c>
    </row>
    <row r="6" spans="1:20">
      <c r="A6" s="97" t="s">
        <v>1203</v>
      </c>
      <c r="B6" s="127">
        <v>2540000</v>
      </c>
      <c r="C6" s="97" t="s">
        <v>1205</v>
      </c>
      <c r="D6" s="128">
        <v>0.02</v>
      </c>
      <c r="E6" s="129">
        <v>12</v>
      </c>
      <c r="F6" s="100">
        <f>B6*HLOOKUP(E6,$B$16:$E$19,MATCH(C6,{"한국카드","대한카드"},-1)+2)</f>
        <v>152400</v>
      </c>
      <c r="G6" s="123"/>
      <c r="H6" s="97" t="s">
        <v>1295</v>
      </c>
      <c r="I6" s="130">
        <v>108</v>
      </c>
      <c r="J6" s="129">
        <f t="shared" si="0"/>
        <v>1000</v>
      </c>
      <c r="K6" s="114"/>
      <c r="L6" s="131" t="s">
        <v>1207</v>
      </c>
      <c r="M6" s="131" t="s">
        <v>1201</v>
      </c>
      <c r="N6" s="132">
        <v>64</v>
      </c>
      <c r="O6" s="132">
        <v>59</v>
      </c>
      <c r="P6" s="132">
        <v>53</v>
      </c>
      <c r="Q6" s="133" t="str">
        <f>HLOOKUP(SUMPRODUCT(N6:P6,{0.3,0.2,0.5}),$M$28:$Q$29,2)</f>
        <v>F</v>
      </c>
      <c r="R6" s="123"/>
      <c r="S6" s="116" t="s">
        <v>1208</v>
      </c>
      <c r="T6" s="116" t="str">
        <f t="shared" si="1"/>
        <v>의사(동부)</v>
      </c>
    </row>
    <row r="7" spans="1:20">
      <c r="A7" s="97" t="s">
        <v>1209</v>
      </c>
      <c r="B7" s="127">
        <v>3210000</v>
      </c>
      <c r="C7" s="97" t="s">
        <v>1186</v>
      </c>
      <c r="D7" s="128">
        <v>0.02</v>
      </c>
      <c r="E7" s="129">
        <v>6</v>
      </c>
      <c r="F7" s="100">
        <f>B7*HLOOKUP(E7,$B$16:$E$19,MATCH(C7,{"한국카드","대한카드"},-1)+2)</f>
        <v>128400</v>
      </c>
      <c r="G7" s="123"/>
      <c r="H7" s="97" t="s">
        <v>1296</v>
      </c>
      <c r="I7" s="130">
        <v>98</v>
      </c>
      <c r="J7" s="129">
        <f t="shared" si="0"/>
        <v>600</v>
      </c>
      <c r="K7" s="114"/>
      <c r="L7" s="131" t="s">
        <v>1210</v>
      </c>
      <c r="M7" s="131" t="s">
        <v>1211</v>
      </c>
      <c r="N7" s="132">
        <v>92</v>
      </c>
      <c r="O7" s="132">
        <v>87</v>
      </c>
      <c r="P7" s="132">
        <v>90</v>
      </c>
      <c r="Q7" s="133" t="str">
        <f>HLOOKUP(SUMPRODUCT(N7:P7,{0.3,0.2,0.5}),$M$28:$Q$29,2)</f>
        <v>A</v>
      </c>
      <c r="R7" s="123"/>
      <c r="S7" s="116" t="s">
        <v>1212</v>
      </c>
      <c r="T7" s="116" t="str">
        <f t="shared" si="1"/>
        <v>자영업(동부)</v>
      </c>
    </row>
    <row r="8" spans="1:20">
      <c r="A8" s="97" t="s">
        <v>1213</v>
      </c>
      <c r="B8" s="127">
        <v>6210000</v>
      </c>
      <c r="C8" s="97" t="s">
        <v>1192</v>
      </c>
      <c r="D8" s="128">
        <v>0.03</v>
      </c>
      <c r="E8" s="129">
        <v>3</v>
      </c>
      <c r="F8" s="100">
        <f>B8*HLOOKUP(E8,$B$16:$E$19,MATCH(C8,{"한국카드","대한카드"},-1)+2)</f>
        <v>186300</v>
      </c>
      <c r="G8" s="123"/>
      <c r="H8" s="97" t="s">
        <v>1297</v>
      </c>
      <c r="I8" s="130">
        <v>98</v>
      </c>
      <c r="J8" s="129">
        <f t="shared" si="0"/>
        <v>400</v>
      </c>
      <c r="K8" s="114"/>
      <c r="L8" s="131" t="s">
        <v>1214</v>
      </c>
      <c r="M8" s="131" t="s">
        <v>1196</v>
      </c>
      <c r="N8" s="132">
        <v>89</v>
      </c>
      <c r="O8" s="132">
        <v>90</v>
      </c>
      <c r="P8" s="132">
        <v>92</v>
      </c>
      <c r="Q8" s="133" t="str">
        <f>HLOOKUP(SUMPRODUCT(N8:P8,{0.3,0.2,0.5}),$M$28:$Q$29,2)</f>
        <v>A</v>
      </c>
      <c r="R8" s="123"/>
      <c r="S8" s="116" t="s">
        <v>1215</v>
      </c>
      <c r="T8" s="116" t="str">
        <f t="shared" si="1"/>
        <v>의사(동부)</v>
      </c>
    </row>
    <row r="9" spans="1:20">
      <c r="A9" s="97" t="s">
        <v>1216</v>
      </c>
      <c r="B9" s="127">
        <v>2840000</v>
      </c>
      <c r="C9" s="97" t="s">
        <v>1186</v>
      </c>
      <c r="D9" s="128">
        <v>0.01</v>
      </c>
      <c r="E9" s="129">
        <v>12</v>
      </c>
      <c r="F9" s="100">
        <f>B9*HLOOKUP(E9,$B$16:$E$19,MATCH(C9,{"한국카드","대한카드"},-1)+2)</f>
        <v>170400</v>
      </c>
      <c r="G9" s="123"/>
      <c r="H9" s="97" t="s">
        <v>1194</v>
      </c>
      <c r="I9" s="130">
        <v>50</v>
      </c>
      <c r="J9" s="129">
        <f t="shared" si="0"/>
        <v>250</v>
      </c>
      <c r="K9" s="114"/>
      <c r="L9" s="131" t="s">
        <v>1218</v>
      </c>
      <c r="M9" s="131" t="s">
        <v>1189</v>
      </c>
      <c r="N9" s="132">
        <v>92</v>
      </c>
      <c r="O9" s="132">
        <v>64</v>
      </c>
      <c r="P9" s="132">
        <v>76</v>
      </c>
      <c r="Q9" s="133" t="str">
        <f>HLOOKUP(SUMPRODUCT(N9:P9,{0.3,0.2,0.5}),$M$28:$Q$29,2)</f>
        <v>C</v>
      </c>
      <c r="R9" s="123"/>
      <c r="S9" s="116" t="s">
        <v>1219</v>
      </c>
      <c r="T9" s="116" t="str">
        <f t="shared" si="1"/>
        <v>자영업(서부)</v>
      </c>
    </row>
    <row r="10" spans="1:20">
      <c r="A10" s="97" t="s">
        <v>1220</v>
      </c>
      <c r="B10" s="127">
        <v>5130000</v>
      </c>
      <c r="C10" s="97" t="s">
        <v>1186</v>
      </c>
      <c r="D10" s="128">
        <v>0.03</v>
      </c>
      <c r="E10" s="129">
        <v>12</v>
      </c>
      <c r="F10" s="100">
        <f>B10*HLOOKUP(E10,$B$16:$E$19,MATCH(C10,{"한국카드","대한카드"},-1)+2)</f>
        <v>307800</v>
      </c>
      <c r="G10" s="123"/>
      <c r="H10" s="97" t="s">
        <v>1199</v>
      </c>
      <c r="I10" s="130">
        <v>98</v>
      </c>
      <c r="J10" s="129">
        <f t="shared" si="0"/>
        <v>300</v>
      </c>
      <c r="K10" s="114"/>
      <c r="L10" s="131" t="s">
        <v>1221</v>
      </c>
      <c r="M10" s="131" t="s">
        <v>1201</v>
      </c>
      <c r="N10" s="132">
        <v>79</v>
      </c>
      <c r="O10" s="132">
        <v>94</v>
      </c>
      <c r="P10" s="132">
        <v>69</v>
      </c>
      <c r="Q10" s="133" t="str">
        <f>HLOOKUP(SUMPRODUCT(N10:P10,{0.3,0.2,0.5}),$M$28:$Q$29,2)</f>
        <v>C</v>
      </c>
      <c r="R10" s="123"/>
      <c r="S10" s="116" t="s">
        <v>1222</v>
      </c>
      <c r="T10" s="116" t="str">
        <f t="shared" si="1"/>
        <v>공무원(서부)</v>
      </c>
    </row>
    <row r="11" spans="1:20">
      <c r="A11" s="97" t="s">
        <v>1203</v>
      </c>
      <c r="B11" s="127">
        <v>857000</v>
      </c>
      <c r="C11" s="97" t="s">
        <v>1205</v>
      </c>
      <c r="D11" s="128">
        <v>0.02</v>
      </c>
      <c r="E11" s="129">
        <v>3</v>
      </c>
      <c r="F11" s="100">
        <f>B11*HLOOKUP(E11,$B$16:$E$19,MATCH(C11,{"한국카드","대한카드"},-1)+2)</f>
        <v>17140</v>
      </c>
      <c r="G11" s="123"/>
      <c r="H11" s="97" t="s">
        <v>1199</v>
      </c>
      <c r="I11" s="130">
        <v>69</v>
      </c>
      <c r="J11" s="129">
        <f t="shared" si="0"/>
        <v>200</v>
      </c>
      <c r="K11" s="114"/>
      <c r="L11" s="131" t="s">
        <v>1224</v>
      </c>
      <c r="M11" s="131" t="s">
        <v>1225</v>
      </c>
      <c r="N11" s="132">
        <v>65</v>
      </c>
      <c r="O11" s="132">
        <v>73</v>
      </c>
      <c r="P11" s="132">
        <v>82</v>
      </c>
      <c r="Q11" s="133" t="str">
        <f>HLOOKUP(SUMPRODUCT(N11:P11,{0.3,0.2,0.5}),$M$28:$Q$29,2)</f>
        <v>C</v>
      </c>
      <c r="R11" s="123"/>
      <c r="S11" s="116" t="s">
        <v>1226</v>
      </c>
      <c r="T11" s="116" t="str">
        <f t="shared" si="1"/>
        <v>변호사(남부)</v>
      </c>
    </row>
    <row r="12" spans="1:20">
      <c r="A12" s="97" t="s">
        <v>1198</v>
      </c>
      <c r="B12" s="127">
        <v>5840000</v>
      </c>
      <c r="C12" s="97" t="s">
        <v>1193</v>
      </c>
      <c r="D12" s="128">
        <v>0.03</v>
      </c>
      <c r="E12" s="129">
        <v>12</v>
      </c>
      <c r="F12" s="100">
        <f>B12*HLOOKUP(E12,$B$16:$E$19,MATCH(C12,{"한국카드","대한카드"},-1)+2)</f>
        <v>408800.00000000006</v>
      </c>
      <c r="G12" s="123"/>
      <c r="H12" s="97" t="s">
        <v>1194</v>
      </c>
      <c r="I12" s="130">
        <v>59</v>
      </c>
      <c r="J12" s="129">
        <f t="shared" si="0"/>
        <v>250</v>
      </c>
      <c r="K12" s="114"/>
      <c r="L12" s="131" t="s">
        <v>1227</v>
      </c>
      <c r="M12" s="131" t="s">
        <v>1189</v>
      </c>
      <c r="N12" s="132">
        <v>74</v>
      </c>
      <c r="O12" s="132">
        <v>92</v>
      </c>
      <c r="P12" s="132">
        <v>73</v>
      </c>
      <c r="Q12" s="133" t="str">
        <f>HLOOKUP(SUMPRODUCT(N12:P12,{0.3,0.2,0.5}),$M$28:$Q$29,2)</f>
        <v>C</v>
      </c>
      <c r="R12" s="123"/>
      <c r="S12" s="116" t="s">
        <v>1228</v>
      </c>
      <c r="T12" s="116" t="str">
        <f t="shared" si="1"/>
        <v>의사(북부)</v>
      </c>
    </row>
    <row r="13" spans="1:20">
      <c r="A13" s="97" t="s">
        <v>1229</v>
      </c>
      <c r="B13" s="127">
        <v>3540000</v>
      </c>
      <c r="C13" s="97" t="s">
        <v>1205</v>
      </c>
      <c r="D13" s="128">
        <v>0.01</v>
      </c>
      <c r="E13" s="129">
        <v>6</v>
      </c>
      <c r="F13" s="100">
        <f>B13*HLOOKUP(E13,$B$16:$E$19,MATCH(C13,{"한국카드","대한카드"},-1)+2)</f>
        <v>141600</v>
      </c>
      <c r="G13" s="123"/>
      <c r="H13" s="97" t="s">
        <v>1199</v>
      </c>
      <c r="I13" s="130">
        <v>84</v>
      </c>
      <c r="J13" s="129">
        <f t="shared" si="0"/>
        <v>200</v>
      </c>
      <c r="K13" s="114"/>
      <c r="L13" s="131" t="s">
        <v>1230</v>
      </c>
      <c r="M13" s="131" t="s">
        <v>1201</v>
      </c>
      <c r="N13" s="132">
        <v>87</v>
      </c>
      <c r="O13" s="132">
        <v>84</v>
      </c>
      <c r="P13" s="132">
        <v>63</v>
      </c>
      <c r="Q13" s="133" t="str">
        <f>HLOOKUP(SUMPRODUCT(N13:P13,{0.3,0.2,0.5}),$M$28:$Q$29,2)</f>
        <v>C</v>
      </c>
      <c r="R13" s="123"/>
      <c r="S13" s="116" t="s">
        <v>1231</v>
      </c>
      <c r="T13" s="116" t="str">
        <f t="shared" si="1"/>
        <v>의사(동부)</v>
      </c>
    </row>
    <row r="14" spans="1:20">
      <c r="A14" s="123"/>
      <c r="B14" s="123"/>
      <c r="C14" s="123"/>
      <c r="D14" s="134"/>
      <c r="E14" s="135"/>
      <c r="F14" s="123"/>
      <c r="G14" s="123"/>
      <c r="H14" s="97" t="s">
        <v>1187</v>
      </c>
      <c r="I14" s="130">
        <v>151</v>
      </c>
      <c r="J14" s="129">
        <f t="shared" si="0"/>
        <v>1500</v>
      </c>
      <c r="K14" s="114"/>
      <c r="L14" s="131" t="s">
        <v>1232</v>
      </c>
      <c r="M14" s="131" t="s">
        <v>1225</v>
      </c>
      <c r="N14" s="132">
        <v>50</v>
      </c>
      <c r="O14" s="132">
        <v>84</v>
      </c>
      <c r="P14" s="132">
        <v>79</v>
      </c>
      <c r="Q14" s="133" t="str">
        <f>HLOOKUP(SUMPRODUCT(N14:P14,{0.3,0.2,0.5}),$M$28:$Q$29,2)</f>
        <v>C</v>
      </c>
      <c r="R14" s="123"/>
      <c r="S14" s="116" t="s">
        <v>1233</v>
      </c>
      <c r="T14" s="116" t="str">
        <f t="shared" si="1"/>
        <v>자영업(서부)</v>
      </c>
    </row>
    <row r="15" spans="1:20">
      <c r="A15" s="114" t="s">
        <v>1234</v>
      </c>
      <c r="B15" s="123"/>
      <c r="C15" s="123"/>
      <c r="D15" s="123"/>
      <c r="E15" s="135"/>
      <c r="F15" s="123"/>
      <c r="G15" s="123"/>
      <c r="H15" s="97" t="s">
        <v>1194</v>
      </c>
      <c r="I15" s="130">
        <v>104</v>
      </c>
      <c r="J15" s="129">
        <f t="shared" si="0"/>
        <v>700</v>
      </c>
      <c r="K15" s="114"/>
      <c r="L15" s="131" t="s">
        <v>1235</v>
      </c>
      <c r="M15" s="131" t="s">
        <v>1189</v>
      </c>
      <c r="N15" s="132">
        <v>76</v>
      </c>
      <c r="O15" s="132">
        <v>80</v>
      </c>
      <c r="P15" s="132">
        <v>89</v>
      </c>
      <c r="Q15" s="133" t="str">
        <f>HLOOKUP(SUMPRODUCT(N15:P15,{0.3,0.2,0.5}),$M$28:$Q$29,2)</f>
        <v>B</v>
      </c>
      <c r="R15" s="123"/>
      <c r="S15" s="116" t="s">
        <v>1236</v>
      </c>
      <c r="T15" s="116" t="str">
        <f t="shared" si="1"/>
        <v>회사원(남부)</v>
      </c>
    </row>
    <row r="16" spans="1:20">
      <c r="A16" s="278" t="s">
        <v>1237</v>
      </c>
      <c r="B16" s="97">
        <v>0</v>
      </c>
      <c r="C16" s="97">
        <v>3</v>
      </c>
      <c r="D16" s="97">
        <v>6</v>
      </c>
      <c r="E16" s="97">
        <v>12</v>
      </c>
      <c r="F16" s="123"/>
      <c r="G16" s="123"/>
      <c r="H16" s="97" t="s">
        <v>1187</v>
      </c>
      <c r="I16" s="130">
        <v>105</v>
      </c>
      <c r="J16" s="129">
        <f t="shared" si="0"/>
        <v>1000</v>
      </c>
      <c r="K16" s="114"/>
      <c r="L16" s="131" t="s">
        <v>1238</v>
      </c>
      <c r="M16" s="131" t="s">
        <v>1189</v>
      </c>
      <c r="N16" s="132">
        <v>52</v>
      </c>
      <c r="O16" s="132">
        <v>56</v>
      </c>
      <c r="P16" s="132">
        <v>92</v>
      </c>
      <c r="Q16" s="133" t="str">
        <f>HLOOKUP(SUMPRODUCT(N16:P16,{0.3,0.2,0.5}),$M$28:$Q$29,2)</f>
        <v>C</v>
      </c>
      <c r="R16" s="123"/>
      <c r="S16" s="116" t="s">
        <v>1239</v>
      </c>
      <c r="T16" s="116" t="str">
        <f t="shared" si="1"/>
        <v>의사(서부)</v>
      </c>
    </row>
    <row r="17" spans="1:20">
      <c r="A17" s="278"/>
      <c r="B17" s="97">
        <v>2</v>
      </c>
      <c r="C17" s="97">
        <v>6</v>
      </c>
      <c r="D17" s="97">
        <v>11</v>
      </c>
      <c r="E17" s="97"/>
      <c r="F17" s="123"/>
      <c r="G17" s="123"/>
      <c r="H17" s="97" t="s">
        <v>1199</v>
      </c>
      <c r="I17" s="130">
        <v>98</v>
      </c>
      <c r="J17" s="129">
        <f t="shared" si="0"/>
        <v>300</v>
      </c>
      <c r="K17" s="114"/>
      <c r="L17" s="131" t="s">
        <v>1240</v>
      </c>
      <c r="M17" s="131" t="s">
        <v>1241</v>
      </c>
      <c r="N17" s="132">
        <v>56</v>
      </c>
      <c r="O17" s="132">
        <v>99</v>
      </c>
      <c r="P17" s="132">
        <v>75</v>
      </c>
      <c r="Q17" s="133" t="str">
        <f>HLOOKUP(SUMPRODUCT(N17:P17,{0.3,0.2,0.5}),$M$28:$Q$29,2)</f>
        <v>C</v>
      </c>
      <c r="R17" s="123"/>
      <c r="S17" s="116" t="s">
        <v>1242</v>
      </c>
      <c r="T17" s="116" t="str">
        <f t="shared" si="1"/>
        <v>회사원(서부)</v>
      </c>
    </row>
    <row r="18" spans="1:20">
      <c r="A18" s="97" t="s">
        <v>1193</v>
      </c>
      <c r="B18" s="136">
        <v>0</v>
      </c>
      <c r="C18" s="136">
        <v>0.03</v>
      </c>
      <c r="D18" s="136">
        <v>0.05</v>
      </c>
      <c r="E18" s="136">
        <v>7.0000000000000007E-2</v>
      </c>
      <c r="F18" s="123"/>
      <c r="G18" s="123"/>
      <c r="H18" s="97" t="s">
        <v>1187</v>
      </c>
      <c r="I18" s="130">
        <v>69</v>
      </c>
      <c r="J18" s="129">
        <f t="shared" si="0"/>
        <v>300</v>
      </c>
      <c r="K18" s="114"/>
      <c r="L18" s="131" t="s">
        <v>1243</v>
      </c>
      <c r="M18" s="131" t="s">
        <v>1211</v>
      </c>
      <c r="N18" s="132">
        <v>97</v>
      </c>
      <c r="O18" s="132">
        <v>98</v>
      </c>
      <c r="P18" s="132">
        <v>85</v>
      </c>
      <c r="Q18" s="133" t="str">
        <f>HLOOKUP(SUMPRODUCT(N18:P18,{0.3,0.2,0.5}),$M$28:$Q$29,2)</f>
        <v>A</v>
      </c>
      <c r="R18" s="123"/>
      <c r="S18" s="116" t="s">
        <v>1244</v>
      </c>
      <c r="T18" s="116" t="str">
        <f t="shared" si="1"/>
        <v>자영업(북부)</v>
      </c>
    </row>
    <row r="19" spans="1:20">
      <c r="A19" s="97" t="s">
        <v>1245</v>
      </c>
      <c r="B19" s="136">
        <v>0</v>
      </c>
      <c r="C19" s="136">
        <v>0.02</v>
      </c>
      <c r="D19" s="136">
        <v>0.04</v>
      </c>
      <c r="E19" s="136">
        <v>0.06</v>
      </c>
      <c r="F19" s="123"/>
      <c r="G19" s="123"/>
      <c r="H19" s="97" t="s">
        <v>1187</v>
      </c>
      <c r="I19" s="130">
        <v>105</v>
      </c>
      <c r="J19" s="129">
        <f t="shared" si="0"/>
        <v>1000</v>
      </c>
      <c r="K19" s="114"/>
      <c r="L19" s="131" t="s">
        <v>1246</v>
      </c>
      <c r="M19" s="131" t="s">
        <v>1189</v>
      </c>
      <c r="N19" s="132">
        <v>68</v>
      </c>
      <c r="O19" s="132">
        <v>50</v>
      </c>
      <c r="P19" s="132">
        <v>89</v>
      </c>
      <c r="Q19" s="133" t="str">
        <f>HLOOKUP(SUMPRODUCT(N19:P19,{0.3,0.2,0.5}),$M$28:$Q$29,2)</f>
        <v>C</v>
      </c>
      <c r="R19" s="123"/>
      <c r="S19" s="116" t="s">
        <v>1247</v>
      </c>
      <c r="T19" s="116" t="str">
        <f t="shared" si="1"/>
        <v>회사원(동부)</v>
      </c>
    </row>
    <row r="20" spans="1:20">
      <c r="A20" s="123"/>
      <c r="B20" s="123"/>
      <c r="C20" s="123"/>
      <c r="D20" s="123"/>
      <c r="E20" s="123"/>
      <c r="F20" s="123"/>
      <c r="G20" s="123"/>
      <c r="H20" s="97" t="s">
        <v>1199</v>
      </c>
      <c r="I20" s="130">
        <v>113</v>
      </c>
      <c r="J20" s="129">
        <f t="shared" si="0"/>
        <v>400</v>
      </c>
      <c r="K20" s="114"/>
      <c r="L20" s="131" t="s">
        <v>1248</v>
      </c>
      <c r="M20" s="131" t="s">
        <v>1196</v>
      </c>
      <c r="N20" s="132">
        <v>77</v>
      </c>
      <c r="O20" s="132">
        <v>89</v>
      </c>
      <c r="P20" s="132">
        <v>92</v>
      </c>
      <c r="Q20" s="133" t="str">
        <f>HLOOKUP(SUMPRODUCT(N20:P20,{0.3,0.2,0.5}),$M$28:$Q$29,2)</f>
        <v>B</v>
      </c>
      <c r="R20" s="123"/>
      <c r="S20" s="116" t="s">
        <v>1249</v>
      </c>
      <c r="T20" s="116" t="str">
        <f t="shared" si="1"/>
        <v>회사원(북부)</v>
      </c>
    </row>
    <row r="21" spans="1:20">
      <c r="A21" s="114" t="s">
        <v>1250</v>
      </c>
      <c r="B21" s="114"/>
      <c r="C21" s="114"/>
      <c r="D21" s="114"/>
      <c r="E21" s="114"/>
      <c r="F21" s="123"/>
      <c r="G21" s="123"/>
      <c r="H21" s="123"/>
      <c r="I21" s="123"/>
      <c r="J21" s="123"/>
      <c r="K21" s="114"/>
      <c r="L21" s="131" t="s">
        <v>1251</v>
      </c>
      <c r="M21" s="131" t="s">
        <v>1241</v>
      </c>
      <c r="N21" s="132">
        <v>55</v>
      </c>
      <c r="O21" s="132">
        <v>68</v>
      </c>
      <c r="P21" s="132">
        <v>66</v>
      </c>
      <c r="Q21" s="133" t="str">
        <f>HLOOKUP(SUMPRODUCT(N21:P21,{0.3,0.2,0.5}),$M$28:$Q$29,2)</f>
        <v>D</v>
      </c>
      <c r="R21" s="123"/>
    </row>
    <row r="22" spans="1:20">
      <c r="A22" s="97" t="s">
        <v>175</v>
      </c>
      <c r="B22" s="137">
        <v>50</v>
      </c>
      <c r="C22" s="137">
        <v>86</v>
      </c>
      <c r="D22" s="137">
        <v>103</v>
      </c>
      <c r="E22" s="138">
        <v>136</v>
      </c>
      <c r="F22" s="123"/>
      <c r="G22" s="123"/>
      <c r="H22" s="123"/>
      <c r="I22" s="123"/>
      <c r="J22" s="123"/>
      <c r="K22" s="114"/>
      <c r="L22" s="131" t="s">
        <v>1252</v>
      </c>
      <c r="M22" s="131" t="s">
        <v>1225</v>
      </c>
      <c r="N22" s="132">
        <v>52</v>
      </c>
      <c r="O22" s="132">
        <v>78</v>
      </c>
      <c r="P22" s="132">
        <v>60</v>
      </c>
      <c r="Q22" s="133" t="str">
        <f>HLOOKUP(SUMPRODUCT(N22:P22,{0.3,0.2,0.5}),$M$28:$Q$29,2)</f>
        <v>D</v>
      </c>
      <c r="R22" s="123"/>
    </row>
    <row r="23" spans="1:20">
      <c r="A23" s="129" t="s">
        <v>1187</v>
      </c>
      <c r="B23" s="129">
        <v>300</v>
      </c>
      <c r="C23" s="129">
        <v>600</v>
      </c>
      <c r="D23" s="129">
        <v>1000</v>
      </c>
      <c r="E23" s="22">
        <v>1500</v>
      </c>
      <c r="F23" s="123"/>
      <c r="G23" s="123"/>
      <c r="H23" s="123" t="s">
        <v>171</v>
      </c>
      <c r="I23" s="123"/>
      <c r="J23" s="123"/>
      <c r="K23" s="114"/>
      <c r="L23" s="131" t="s">
        <v>1254</v>
      </c>
      <c r="M23" s="131" t="s">
        <v>1196</v>
      </c>
      <c r="N23" s="132">
        <v>76</v>
      </c>
      <c r="O23" s="132">
        <v>65</v>
      </c>
      <c r="P23" s="132">
        <v>88</v>
      </c>
      <c r="Q23" s="133" t="str">
        <f>HLOOKUP(SUMPRODUCT(N23:P23,{0.3,0.2,0.5}),$M$28:$Q$29,2)</f>
        <v>C</v>
      </c>
      <c r="R23" s="123"/>
      <c r="S23" s="139" t="s">
        <v>1255</v>
      </c>
    </row>
    <row r="24" spans="1:20">
      <c r="A24" s="129" t="s">
        <v>1217</v>
      </c>
      <c r="B24" s="129">
        <v>250</v>
      </c>
      <c r="C24" s="129">
        <v>400</v>
      </c>
      <c r="D24" s="129">
        <v>700</v>
      </c>
      <c r="E24" s="22">
        <v>1000</v>
      </c>
      <c r="F24" s="123"/>
      <c r="G24" s="123"/>
      <c r="H24" s="97" t="s">
        <v>1257</v>
      </c>
      <c r="I24" s="279" t="s">
        <v>1259</v>
      </c>
      <c r="J24" s="280"/>
      <c r="K24" s="114"/>
      <c r="L24" s="131" t="s">
        <v>1261</v>
      </c>
      <c r="M24" s="131" t="s">
        <v>1225</v>
      </c>
      <c r="N24" s="132">
        <v>85</v>
      </c>
      <c r="O24" s="132">
        <v>97</v>
      </c>
      <c r="P24" s="132">
        <v>89</v>
      </c>
      <c r="Q24" s="133" t="str">
        <f>HLOOKUP(SUMPRODUCT(N24:P24,{0.3,0.2,0.5}),$M$28:$Q$29,2)</f>
        <v>B</v>
      </c>
      <c r="R24" s="123"/>
      <c r="S24" s="116" t="s">
        <v>704</v>
      </c>
      <c r="T24" s="116" t="s">
        <v>1298</v>
      </c>
    </row>
    <row r="25" spans="1:20">
      <c r="A25" s="129" t="s">
        <v>1223</v>
      </c>
      <c r="B25" s="129">
        <v>200</v>
      </c>
      <c r="C25" s="129">
        <v>300</v>
      </c>
      <c r="D25" s="129">
        <v>400</v>
      </c>
      <c r="E25" s="22">
        <v>500</v>
      </c>
      <c r="F25" s="123"/>
      <c r="G25" s="123"/>
      <c r="H25" s="97" t="s">
        <v>1264</v>
      </c>
      <c r="I25" s="278" t="str">
        <f>LOOKUP(RIGHT(H25,2)*1,$A$29:$E$29,$A$28:$E$28)</f>
        <v>반지의 제왕</v>
      </c>
      <c r="J25" s="278"/>
      <c r="K25" s="114"/>
      <c r="L25" s="131" t="s">
        <v>840</v>
      </c>
      <c r="M25" s="131" t="s">
        <v>1241</v>
      </c>
      <c r="N25" s="132">
        <v>71</v>
      </c>
      <c r="O25" s="132">
        <v>97</v>
      </c>
      <c r="P25" s="132">
        <v>68</v>
      </c>
      <c r="Q25" s="133" t="str">
        <f>HLOOKUP(SUMPRODUCT(N25:P25,{0.3,0.2,0.5}),$M$28:$Q$29,2)</f>
        <v>C</v>
      </c>
      <c r="R25" s="123"/>
      <c r="S25" s="116" t="s">
        <v>1265</v>
      </c>
      <c r="T25" s="116" t="s">
        <v>1266</v>
      </c>
    </row>
    <row r="26" spans="1:20">
      <c r="A26" s="123"/>
      <c r="B26" s="123"/>
      <c r="C26" s="123"/>
      <c r="D26" s="123"/>
      <c r="E26" s="123"/>
      <c r="F26" s="123"/>
      <c r="G26" s="123"/>
      <c r="H26" s="97" t="s">
        <v>1267</v>
      </c>
      <c r="I26" s="278" t="str">
        <f>LOOKUP(RIGHT(H26,2)*1,$A$29:$E$29,$A$28:$E$28)</f>
        <v>해리포터</v>
      </c>
      <c r="J26" s="278"/>
      <c r="K26" s="114"/>
      <c r="L26" s="134"/>
      <c r="M26" s="140"/>
      <c r="N26" s="140"/>
      <c r="O26" s="140"/>
      <c r="P26" s="141"/>
      <c r="Q26" s="141"/>
      <c r="R26" s="123"/>
      <c r="S26" s="116" t="s">
        <v>1268</v>
      </c>
      <c r="T26" s="116" t="s">
        <v>1299</v>
      </c>
    </row>
    <row r="27" spans="1:20">
      <c r="A27" s="123" t="s">
        <v>1270</v>
      </c>
      <c r="B27" s="123"/>
      <c r="C27" s="123"/>
      <c r="D27" s="123"/>
      <c r="E27" s="123"/>
      <c r="F27" s="123"/>
      <c r="G27" s="123"/>
      <c r="H27" s="97" t="s">
        <v>1271</v>
      </c>
      <c r="I27" s="278" t="str">
        <f>LOOKUP(RIGHT(H27,2)*1,$A$29:$E$29,$A$28:$E$28)</f>
        <v>호빗</v>
      </c>
      <c r="J27" s="278"/>
      <c r="K27" s="114"/>
      <c r="L27" s="4" t="s">
        <v>1272</v>
      </c>
      <c r="M27" s="114"/>
      <c r="N27" s="114"/>
      <c r="O27" s="114"/>
      <c r="P27" s="114"/>
      <c r="Q27" s="114"/>
      <c r="R27" s="123"/>
      <c r="S27" s="116" t="s">
        <v>1274</v>
      </c>
      <c r="T27" s="116" t="s">
        <v>1275</v>
      </c>
    </row>
    <row r="28" spans="1:20">
      <c r="A28" s="97" t="s">
        <v>1276</v>
      </c>
      <c r="B28" s="97" t="s">
        <v>1277</v>
      </c>
      <c r="C28" s="97" t="s">
        <v>1278</v>
      </c>
      <c r="D28" s="97" t="s">
        <v>1279</v>
      </c>
      <c r="E28" s="97" t="s">
        <v>1280</v>
      </c>
      <c r="F28" s="123"/>
      <c r="G28" s="123"/>
      <c r="H28" s="97" t="s">
        <v>1281</v>
      </c>
      <c r="I28" s="278" t="str">
        <f>LOOKUP(RIGHT(H28,2)*1,$A$29:$E$29,$A$28:$E$28)</f>
        <v>토이스토리</v>
      </c>
      <c r="J28" s="278"/>
      <c r="K28" s="114"/>
      <c r="L28" s="97" t="s">
        <v>703</v>
      </c>
      <c r="M28" s="133">
        <v>0</v>
      </c>
      <c r="N28" s="133">
        <v>60</v>
      </c>
      <c r="O28" s="97">
        <v>70</v>
      </c>
      <c r="P28" s="97">
        <v>80</v>
      </c>
      <c r="Q28" s="97">
        <v>90</v>
      </c>
      <c r="R28" s="141"/>
      <c r="S28" s="116" t="s">
        <v>1284</v>
      </c>
      <c r="T28" s="116" t="s">
        <v>1285</v>
      </c>
    </row>
    <row r="29" spans="1:20">
      <c r="A29" s="142">
        <v>11</v>
      </c>
      <c r="B29" s="142">
        <v>22</v>
      </c>
      <c r="C29" s="142">
        <v>33</v>
      </c>
      <c r="D29" s="142">
        <v>44</v>
      </c>
      <c r="E29" s="97">
        <v>55</v>
      </c>
      <c r="F29" s="123"/>
      <c r="G29" s="123"/>
      <c r="H29" s="97" t="s">
        <v>1286</v>
      </c>
      <c r="I29" s="278" t="str">
        <f>LOOKUP(RIGHT(H29,2)*1,$A$29:$E$29,$A$28:$E$28)</f>
        <v>박물관은 살아 있다</v>
      </c>
      <c r="J29" s="278"/>
      <c r="K29" s="114"/>
      <c r="L29" s="97" t="s">
        <v>1182</v>
      </c>
      <c r="M29" s="97" t="s">
        <v>712</v>
      </c>
      <c r="N29" s="97" t="s">
        <v>713</v>
      </c>
      <c r="O29" s="97" t="s">
        <v>714</v>
      </c>
      <c r="P29" s="97" t="s">
        <v>706</v>
      </c>
      <c r="Q29" s="97" t="s">
        <v>1300</v>
      </c>
      <c r="R29" s="114"/>
      <c r="S29" s="116" t="s">
        <v>1290</v>
      </c>
      <c r="T29" s="116" t="s">
        <v>1291</v>
      </c>
    </row>
  </sheetData>
  <mergeCells count="7">
    <mergeCell ref="I29:J29"/>
    <mergeCell ref="A16:A17"/>
    <mergeCell ref="I24:J24"/>
    <mergeCell ref="I25:J25"/>
    <mergeCell ref="I26:J26"/>
    <mergeCell ref="I27:J27"/>
    <mergeCell ref="I28:J28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24"/>
  <sheetViews>
    <sheetView workbookViewId="0"/>
  </sheetViews>
  <sheetFormatPr defaultRowHeight="17"/>
  <cols>
    <col min="2" max="2" width="16.75" bestFit="1" customWidth="1"/>
    <col min="3" max="3" width="15.33203125" customWidth="1"/>
    <col min="4" max="4" width="13.5" customWidth="1"/>
    <col min="5" max="5" width="1.58203125" customWidth="1"/>
    <col min="8" max="8" width="11.08203125" bestFit="1" customWidth="1"/>
    <col min="9" max="9" width="16.33203125" bestFit="1" customWidth="1"/>
    <col min="10" max="10" width="11.08203125" bestFit="1" customWidth="1"/>
    <col min="11" max="11" width="1.58203125" customWidth="1"/>
  </cols>
  <sheetData>
    <row r="1" spans="1:13">
      <c r="A1" s="26" t="s">
        <v>214</v>
      </c>
      <c r="B1" s="27" t="s">
        <v>732</v>
      </c>
      <c r="C1" s="26"/>
      <c r="D1" s="26"/>
      <c r="E1" s="26"/>
      <c r="F1" s="26" t="s">
        <v>733</v>
      </c>
      <c r="G1" s="27" t="s">
        <v>677</v>
      </c>
      <c r="H1" s="26"/>
      <c r="I1" s="72" t="s">
        <v>734</v>
      </c>
      <c r="J1" s="73">
        <v>44928</v>
      </c>
      <c r="K1" s="26"/>
      <c r="L1" s="26"/>
      <c r="M1" s="26"/>
    </row>
    <row r="2" spans="1:13">
      <c r="A2" s="5" t="s">
        <v>374</v>
      </c>
      <c r="B2" s="5" t="s">
        <v>735</v>
      </c>
      <c r="C2" s="5" t="s">
        <v>736</v>
      </c>
      <c r="D2" s="91" t="s">
        <v>320</v>
      </c>
      <c r="E2" s="26"/>
      <c r="F2" s="2" t="s">
        <v>75</v>
      </c>
      <c r="G2" s="2" t="s">
        <v>670</v>
      </c>
      <c r="H2" s="2" t="s">
        <v>737</v>
      </c>
      <c r="I2" s="2" t="s">
        <v>736</v>
      </c>
      <c r="J2" s="89" t="s">
        <v>738</v>
      </c>
      <c r="K2" s="26"/>
      <c r="L2" s="26"/>
      <c r="M2" s="26"/>
    </row>
    <row r="3" spans="1:13">
      <c r="A3" s="2" t="s">
        <v>739</v>
      </c>
      <c r="B3" s="2" t="s">
        <v>740</v>
      </c>
      <c r="C3" s="2" t="s">
        <v>741</v>
      </c>
      <c r="D3" s="74"/>
      <c r="E3" s="26"/>
      <c r="F3" s="2" t="s">
        <v>742</v>
      </c>
      <c r="G3" s="29" t="s">
        <v>743</v>
      </c>
      <c r="H3" s="75">
        <v>43549</v>
      </c>
      <c r="I3" s="29" t="s">
        <v>744</v>
      </c>
      <c r="J3" s="2"/>
      <c r="K3" s="26"/>
      <c r="L3" s="26"/>
      <c r="M3" s="26"/>
    </row>
    <row r="4" spans="1:13">
      <c r="A4" s="2" t="s">
        <v>745</v>
      </c>
      <c r="B4" s="2" t="s">
        <v>746</v>
      </c>
      <c r="C4" s="2" t="s">
        <v>747</v>
      </c>
      <c r="D4" s="74"/>
      <c r="E4" s="26"/>
      <c r="F4" s="2" t="s">
        <v>748</v>
      </c>
      <c r="G4" s="29" t="s">
        <v>686</v>
      </c>
      <c r="H4" s="75">
        <v>42156</v>
      </c>
      <c r="I4" s="29" t="s">
        <v>749</v>
      </c>
      <c r="J4" s="2"/>
      <c r="K4" s="26"/>
      <c r="L4" s="26"/>
      <c r="M4" s="26"/>
    </row>
    <row r="5" spans="1:13">
      <c r="A5" s="2" t="s">
        <v>750</v>
      </c>
      <c r="B5" s="2" t="s">
        <v>751</v>
      </c>
      <c r="C5" s="2" t="s">
        <v>752</v>
      </c>
      <c r="D5" s="74"/>
      <c r="E5" s="26"/>
      <c r="F5" s="2" t="s">
        <v>753</v>
      </c>
      <c r="G5" s="29" t="s">
        <v>232</v>
      </c>
      <c r="H5" s="75">
        <v>43398</v>
      </c>
      <c r="I5" s="29" t="s">
        <v>754</v>
      </c>
      <c r="J5" s="2"/>
      <c r="K5" s="26"/>
      <c r="L5" s="26"/>
      <c r="M5" s="26"/>
    </row>
    <row r="6" spans="1:13">
      <c r="A6" s="2" t="s">
        <v>755</v>
      </c>
      <c r="B6" s="2" t="s">
        <v>756</v>
      </c>
      <c r="C6" s="2" t="s">
        <v>757</v>
      </c>
      <c r="D6" s="74"/>
      <c r="E6" s="26"/>
      <c r="F6" s="2" t="s">
        <v>758</v>
      </c>
      <c r="G6" s="29" t="s">
        <v>383</v>
      </c>
      <c r="H6" s="75">
        <v>42497</v>
      </c>
      <c r="I6" s="29" t="s">
        <v>759</v>
      </c>
      <c r="J6" s="2"/>
      <c r="K6" s="26"/>
      <c r="L6" s="26"/>
      <c r="M6" s="26"/>
    </row>
    <row r="7" spans="1:13">
      <c r="A7" s="2" t="s">
        <v>760</v>
      </c>
      <c r="B7" s="2" t="s">
        <v>746</v>
      </c>
      <c r="C7" s="2" t="s">
        <v>761</v>
      </c>
      <c r="D7" s="74"/>
      <c r="E7" s="26"/>
      <c r="F7" s="2" t="s">
        <v>762</v>
      </c>
      <c r="G7" s="29" t="s">
        <v>245</v>
      </c>
      <c r="H7" s="75">
        <v>41373</v>
      </c>
      <c r="I7" s="29" t="s">
        <v>763</v>
      </c>
      <c r="J7" s="2"/>
      <c r="K7" s="26"/>
      <c r="L7" s="26"/>
      <c r="M7" s="26"/>
    </row>
    <row r="8" spans="1:13">
      <c r="A8" s="2" t="s">
        <v>764</v>
      </c>
      <c r="B8" s="2" t="s">
        <v>740</v>
      </c>
      <c r="C8" s="2" t="s">
        <v>765</v>
      </c>
      <c r="D8" s="74"/>
      <c r="E8" s="26"/>
      <c r="F8" s="2" t="s">
        <v>766</v>
      </c>
      <c r="G8" s="29" t="s">
        <v>258</v>
      </c>
      <c r="H8" s="75">
        <v>43419</v>
      </c>
      <c r="I8" s="29" t="s">
        <v>767</v>
      </c>
      <c r="J8" s="2"/>
      <c r="K8" s="26"/>
      <c r="L8" s="26"/>
      <c r="M8" s="26"/>
    </row>
    <row r="9" spans="1:13">
      <c r="A9" s="2" t="s">
        <v>768</v>
      </c>
      <c r="B9" s="2" t="s">
        <v>740</v>
      </c>
      <c r="C9" s="2" t="s">
        <v>769</v>
      </c>
      <c r="D9" s="74"/>
      <c r="E9" s="26"/>
      <c r="F9" s="2" t="s">
        <v>770</v>
      </c>
      <c r="G9" s="29" t="s">
        <v>232</v>
      </c>
      <c r="H9" s="75">
        <v>40194</v>
      </c>
      <c r="I9" s="29" t="s">
        <v>771</v>
      </c>
      <c r="J9" s="2"/>
      <c r="K9" s="26"/>
      <c r="L9" s="26"/>
      <c r="M9" s="26"/>
    </row>
    <row r="10" spans="1:13">
      <c r="A10" s="2" t="s">
        <v>772</v>
      </c>
      <c r="B10" s="2" t="s">
        <v>756</v>
      </c>
      <c r="C10" s="2" t="s">
        <v>773</v>
      </c>
      <c r="D10" s="74"/>
      <c r="E10" s="26"/>
      <c r="F10" s="2" t="s">
        <v>774</v>
      </c>
      <c r="G10" s="29" t="s">
        <v>775</v>
      </c>
      <c r="H10" s="75">
        <v>42986</v>
      </c>
      <c r="I10" s="29" t="s">
        <v>776</v>
      </c>
      <c r="J10" s="2"/>
      <c r="K10" s="26"/>
      <c r="L10" s="26"/>
      <c r="M10" s="26"/>
    </row>
    <row r="11" spans="1:13">
      <c r="A11" s="2" t="s">
        <v>777</v>
      </c>
      <c r="B11" s="2" t="s">
        <v>778</v>
      </c>
      <c r="C11" s="2" t="s">
        <v>779</v>
      </c>
      <c r="D11" s="74"/>
      <c r="E11" s="26"/>
      <c r="F11" s="2" t="s">
        <v>780</v>
      </c>
      <c r="G11" s="29" t="s">
        <v>245</v>
      </c>
      <c r="H11" s="75">
        <v>42229</v>
      </c>
      <c r="I11" s="29" t="s">
        <v>781</v>
      </c>
      <c r="J11" s="2"/>
      <c r="K11" s="26"/>
      <c r="L11" s="26"/>
      <c r="M11" s="26"/>
    </row>
    <row r="12" spans="1:1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>
      <c r="A13" s="26" t="s">
        <v>112</v>
      </c>
      <c r="B13" s="27" t="s">
        <v>782</v>
      </c>
      <c r="C13" s="26"/>
      <c r="D13" s="26"/>
      <c r="E13" s="26"/>
      <c r="F13" s="26" t="s">
        <v>262</v>
      </c>
      <c r="G13" s="27" t="s">
        <v>783</v>
      </c>
      <c r="H13" s="26"/>
      <c r="I13" s="26"/>
      <c r="J13" s="26"/>
      <c r="K13" s="26"/>
      <c r="L13" s="26"/>
      <c r="M13" s="26"/>
    </row>
    <row r="14" spans="1:13">
      <c r="A14" s="2" t="s">
        <v>374</v>
      </c>
      <c r="B14" s="2" t="s">
        <v>784</v>
      </c>
      <c r="C14" s="2" t="s">
        <v>785</v>
      </c>
      <c r="D14" s="89" t="s">
        <v>786</v>
      </c>
      <c r="E14" s="26"/>
      <c r="F14" s="2" t="s">
        <v>787</v>
      </c>
      <c r="G14" s="2" t="s">
        <v>788</v>
      </c>
      <c r="H14" s="2" t="s">
        <v>374</v>
      </c>
      <c r="I14" s="2" t="s">
        <v>320</v>
      </c>
      <c r="J14" s="89" t="s">
        <v>789</v>
      </c>
      <c r="K14" s="26"/>
      <c r="L14" s="275" t="s">
        <v>790</v>
      </c>
      <c r="M14" s="275"/>
    </row>
    <row r="15" spans="1:13">
      <c r="A15" s="2" t="s">
        <v>791</v>
      </c>
      <c r="B15" s="74">
        <v>45017</v>
      </c>
      <c r="C15" s="2">
        <v>4</v>
      </c>
      <c r="D15" s="74"/>
      <c r="E15" s="26"/>
      <c r="F15" s="2">
        <v>5</v>
      </c>
      <c r="G15" s="2">
        <v>1</v>
      </c>
      <c r="H15" s="2" t="s">
        <v>792</v>
      </c>
      <c r="I15" s="74">
        <v>40607</v>
      </c>
      <c r="J15" s="2"/>
      <c r="K15" s="26"/>
      <c r="L15" s="2" t="s">
        <v>793</v>
      </c>
      <c r="M15" s="2" t="s">
        <v>794</v>
      </c>
    </row>
    <row r="16" spans="1:13">
      <c r="A16" s="2" t="s">
        <v>795</v>
      </c>
      <c r="B16" s="74">
        <v>45017</v>
      </c>
      <c r="C16" s="2">
        <v>8</v>
      </c>
      <c r="D16" s="74"/>
      <c r="E16" s="26"/>
      <c r="F16" s="2">
        <v>5</v>
      </c>
      <c r="G16" s="2">
        <v>2</v>
      </c>
      <c r="H16" s="2" t="s">
        <v>796</v>
      </c>
      <c r="I16" s="74">
        <v>40804</v>
      </c>
      <c r="J16" s="2"/>
      <c r="K16" s="26"/>
      <c r="L16" s="2">
        <v>1</v>
      </c>
      <c r="M16" s="2" t="s">
        <v>797</v>
      </c>
    </row>
    <row r="17" spans="1:13">
      <c r="A17" s="2" t="s">
        <v>798</v>
      </c>
      <c r="B17" s="74">
        <v>45017</v>
      </c>
      <c r="C17" s="2">
        <v>5</v>
      </c>
      <c r="D17" s="74"/>
      <c r="E17" s="26"/>
      <c r="F17" s="2">
        <v>5</v>
      </c>
      <c r="G17" s="2">
        <v>3</v>
      </c>
      <c r="H17" s="2" t="s">
        <v>799</v>
      </c>
      <c r="I17" s="74">
        <v>40715</v>
      </c>
      <c r="J17" s="2"/>
      <c r="K17" s="26"/>
      <c r="L17" s="2">
        <v>2</v>
      </c>
      <c r="M17" s="2" t="s">
        <v>800</v>
      </c>
    </row>
    <row r="18" spans="1:13">
      <c r="A18" s="2" t="s">
        <v>801</v>
      </c>
      <c r="B18" s="74">
        <v>45026</v>
      </c>
      <c r="C18" s="2">
        <v>6</v>
      </c>
      <c r="D18" s="74"/>
      <c r="E18" s="26"/>
      <c r="F18" s="2">
        <v>5</v>
      </c>
      <c r="G18" s="2">
        <v>4</v>
      </c>
      <c r="H18" s="2" t="s">
        <v>802</v>
      </c>
      <c r="I18" s="74">
        <v>40878</v>
      </c>
      <c r="J18" s="2"/>
      <c r="K18" s="26"/>
      <c r="L18" s="2">
        <v>3</v>
      </c>
      <c r="M18" s="2" t="s">
        <v>803</v>
      </c>
    </row>
    <row r="19" spans="1:13">
      <c r="A19" s="2" t="s">
        <v>804</v>
      </c>
      <c r="B19" s="74">
        <v>45026</v>
      </c>
      <c r="C19" s="2">
        <v>7</v>
      </c>
      <c r="D19" s="74"/>
      <c r="E19" s="26"/>
      <c r="F19" s="2">
        <v>5</v>
      </c>
      <c r="G19" s="2">
        <v>5</v>
      </c>
      <c r="H19" s="2" t="s">
        <v>805</v>
      </c>
      <c r="I19" s="74">
        <v>40749</v>
      </c>
      <c r="J19" s="2"/>
      <c r="K19" s="26"/>
      <c r="L19" s="2">
        <v>4</v>
      </c>
      <c r="M19" s="2" t="s">
        <v>806</v>
      </c>
    </row>
    <row r="20" spans="1:13">
      <c r="A20" s="2" t="s">
        <v>807</v>
      </c>
      <c r="B20" s="74">
        <v>45026</v>
      </c>
      <c r="C20" s="2">
        <v>9</v>
      </c>
      <c r="D20" s="74"/>
      <c r="E20" s="26"/>
      <c r="F20" s="2">
        <v>6</v>
      </c>
      <c r="G20" s="2">
        <v>1</v>
      </c>
      <c r="H20" s="2" t="s">
        <v>808</v>
      </c>
      <c r="I20" s="74">
        <v>40273</v>
      </c>
      <c r="J20" s="2"/>
      <c r="K20" s="26"/>
      <c r="L20" s="2">
        <v>5</v>
      </c>
      <c r="M20" s="2" t="s">
        <v>809</v>
      </c>
    </row>
    <row r="21" spans="1:13">
      <c r="A21" s="2" t="s">
        <v>810</v>
      </c>
      <c r="B21" s="74">
        <v>45026</v>
      </c>
      <c r="C21" s="2">
        <v>4</v>
      </c>
      <c r="D21" s="74"/>
      <c r="E21" s="26"/>
      <c r="F21" s="2">
        <v>6</v>
      </c>
      <c r="G21" s="2">
        <v>2</v>
      </c>
      <c r="H21" s="2" t="s">
        <v>811</v>
      </c>
      <c r="I21" s="74">
        <v>40403</v>
      </c>
      <c r="J21" s="2"/>
      <c r="K21" s="26"/>
      <c r="L21" s="2">
        <v>6</v>
      </c>
      <c r="M21" s="2" t="s">
        <v>812</v>
      </c>
    </row>
    <row r="22" spans="1:13">
      <c r="A22" s="2" t="s">
        <v>813</v>
      </c>
      <c r="B22" s="74">
        <v>45032</v>
      </c>
      <c r="C22" s="2">
        <v>8</v>
      </c>
      <c r="D22" s="74"/>
      <c r="E22" s="26"/>
      <c r="F22" s="2">
        <v>6</v>
      </c>
      <c r="G22" s="2">
        <v>3</v>
      </c>
      <c r="H22" s="2" t="s">
        <v>814</v>
      </c>
      <c r="I22" s="74">
        <v>40491</v>
      </c>
      <c r="J22" s="2"/>
      <c r="K22" s="26"/>
      <c r="L22" s="2">
        <v>7</v>
      </c>
      <c r="M22" s="2" t="s">
        <v>815</v>
      </c>
    </row>
    <row r="23" spans="1:13">
      <c r="A23" s="2" t="s">
        <v>816</v>
      </c>
      <c r="B23" s="74">
        <v>45032</v>
      </c>
      <c r="C23" s="2">
        <v>5</v>
      </c>
      <c r="D23" s="74"/>
      <c r="E23" s="26"/>
      <c r="F23" s="2">
        <v>6</v>
      </c>
      <c r="G23" s="2">
        <v>4</v>
      </c>
      <c r="H23" s="2" t="s">
        <v>817</v>
      </c>
      <c r="I23" s="74">
        <v>40370</v>
      </c>
      <c r="J23" s="2"/>
      <c r="K23" s="26"/>
      <c r="L23" s="26"/>
      <c r="M23" s="26"/>
    </row>
    <row r="24" spans="1:13">
      <c r="A24" s="2" t="s">
        <v>818</v>
      </c>
      <c r="B24" s="74">
        <v>45032</v>
      </c>
      <c r="C24" s="2">
        <v>7</v>
      </c>
      <c r="D24" s="74"/>
      <c r="E24" s="26"/>
      <c r="F24" s="2">
        <v>6</v>
      </c>
      <c r="G24" s="2">
        <v>5</v>
      </c>
      <c r="H24" s="2" t="s">
        <v>819</v>
      </c>
      <c r="I24" s="74">
        <v>40398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24"/>
  <sheetViews>
    <sheetView workbookViewId="0"/>
  </sheetViews>
  <sheetFormatPr defaultRowHeight="17"/>
  <cols>
    <col min="2" max="2" width="16.75" bestFit="1" customWidth="1"/>
    <col min="3" max="3" width="15.33203125" customWidth="1"/>
    <col min="4" max="4" width="13.5" customWidth="1"/>
    <col min="5" max="5" width="1.58203125" customWidth="1"/>
    <col min="8" max="8" width="11.08203125" bestFit="1" customWidth="1"/>
    <col min="9" max="9" width="16.33203125" bestFit="1" customWidth="1"/>
    <col min="10" max="10" width="11.08203125" bestFit="1" customWidth="1"/>
    <col min="11" max="11" width="1.58203125" customWidth="1"/>
  </cols>
  <sheetData>
    <row r="1" spans="1:13">
      <c r="A1" s="26" t="s">
        <v>65</v>
      </c>
      <c r="B1" s="27" t="s">
        <v>732</v>
      </c>
      <c r="C1" s="26"/>
      <c r="D1" s="26"/>
      <c r="E1" s="26"/>
      <c r="F1" s="26" t="s">
        <v>67</v>
      </c>
      <c r="G1" s="27" t="s">
        <v>372</v>
      </c>
      <c r="H1" s="26"/>
      <c r="I1" s="72" t="s">
        <v>734</v>
      </c>
      <c r="J1" s="73">
        <v>44928</v>
      </c>
      <c r="K1" s="26"/>
      <c r="L1" s="26"/>
      <c r="M1" s="26"/>
    </row>
    <row r="2" spans="1:13">
      <c r="A2" s="5" t="s">
        <v>177</v>
      </c>
      <c r="B2" s="5" t="s">
        <v>175</v>
      </c>
      <c r="C2" s="5" t="s">
        <v>736</v>
      </c>
      <c r="D2" s="91" t="s">
        <v>320</v>
      </c>
      <c r="E2" s="26"/>
      <c r="F2" s="85" t="s">
        <v>75</v>
      </c>
      <c r="G2" s="85" t="s">
        <v>496</v>
      </c>
      <c r="H2" s="85" t="s">
        <v>737</v>
      </c>
      <c r="I2" s="85" t="s">
        <v>736</v>
      </c>
      <c r="J2" s="90" t="s">
        <v>738</v>
      </c>
      <c r="K2" s="26"/>
      <c r="L2" s="26"/>
      <c r="M2" s="26"/>
    </row>
    <row r="3" spans="1:13">
      <c r="A3" s="85" t="s">
        <v>739</v>
      </c>
      <c r="B3" s="85" t="s">
        <v>740</v>
      </c>
      <c r="C3" s="85" t="s">
        <v>741</v>
      </c>
      <c r="D3" s="106">
        <f t="shared" ref="D3:D11" si="0">DATE(MID(C3,1,2),MID(C3,3,2),MID(C3,5,2))</f>
        <v>32478</v>
      </c>
      <c r="E3" s="26"/>
      <c r="F3" s="85" t="s">
        <v>742</v>
      </c>
      <c r="G3" s="87" t="s">
        <v>248</v>
      </c>
      <c r="H3" s="75">
        <v>43549</v>
      </c>
      <c r="I3" s="87" t="s">
        <v>744</v>
      </c>
      <c r="J3" s="97" t="str">
        <f t="shared" ref="J3:J11" si="1">YEAR($J$1)-YEAR(H3)&amp;"년차("&amp;YEAR($J$1)-(1900+LEFT(I3,2))&amp;")"</f>
        <v>4년차(31)</v>
      </c>
      <c r="K3" s="26"/>
      <c r="L3" s="26"/>
      <c r="M3" s="26"/>
    </row>
    <row r="4" spans="1:13">
      <c r="A4" s="85" t="s">
        <v>745</v>
      </c>
      <c r="B4" s="85" t="s">
        <v>746</v>
      </c>
      <c r="C4" s="85" t="s">
        <v>747</v>
      </c>
      <c r="D4" s="106">
        <f t="shared" si="0"/>
        <v>30522</v>
      </c>
      <c r="E4" s="26"/>
      <c r="F4" s="85" t="s">
        <v>748</v>
      </c>
      <c r="G4" s="87" t="s">
        <v>383</v>
      </c>
      <c r="H4" s="75">
        <v>42156</v>
      </c>
      <c r="I4" s="87" t="s">
        <v>749</v>
      </c>
      <c r="J4" s="97" t="str">
        <f t="shared" si="1"/>
        <v>8년차(38)</v>
      </c>
      <c r="K4" s="26"/>
      <c r="L4" s="26"/>
      <c r="M4" s="26"/>
    </row>
    <row r="5" spans="1:13">
      <c r="A5" s="85" t="s">
        <v>750</v>
      </c>
      <c r="B5" s="85" t="s">
        <v>751</v>
      </c>
      <c r="C5" s="85" t="s">
        <v>752</v>
      </c>
      <c r="D5" s="106">
        <f t="shared" si="0"/>
        <v>31658</v>
      </c>
      <c r="E5" s="26"/>
      <c r="F5" s="85" t="s">
        <v>753</v>
      </c>
      <c r="G5" s="87" t="s">
        <v>228</v>
      </c>
      <c r="H5" s="75">
        <v>43398</v>
      </c>
      <c r="I5" s="87" t="s">
        <v>754</v>
      </c>
      <c r="J5" s="97" t="str">
        <f t="shared" si="1"/>
        <v>5년차(34)</v>
      </c>
      <c r="K5" s="26"/>
      <c r="L5" s="26"/>
      <c r="M5" s="26"/>
    </row>
    <row r="6" spans="1:13">
      <c r="A6" s="85" t="s">
        <v>755</v>
      </c>
      <c r="B6" s="85" t="s">
        <v>756</v>
      </c>
      <c r="C6" s="85" t="s">
        <v>757</v>
      </c>
      <c r="D6" s="106">
        <f t="shared" si="0"/>
        <v>33833</v>
      </c>
      <c r="E6" s="26"/>
      <c r="F6" s="85" t="s">
        <v>758</v>
      </c>
      <c r="G6" s="87" t="s">
        <v>383</v>
      </c>
      <c r="H6" s="75">
        <v>42497</v>
      </c>
      <c r="I6" s="87" t="s">
        <v>759</v>
      </c>
      <c r="J6" s="97" t="str">
        <f t="shared" si="1"/>
        <v>7년차(39)</v>
      </c>
      <c r="K6" s="26"/>
      <c r="L6" s="26"/>
      <c r="M6" s="26"/>
    </row>
    <row r="7" spans="1:13">
      <c r="A7" s="85" t="s">
        <v>760</v>
      </c>
      <c r="B7" s="85" t="s">
        <v>746</v>
      </c>
      <c r="C7" s="85" t="s">
        <v>761</v>
      </c>
      <c r="D7" s="106">
        <f t="shared" si="0"/>
        <v>30999</v>
      </c>
      <c r="E7" s="26"/>
      <c r="F7" s="85" t="s">
        <v>762</v>
      </c>
      <c r="G7" s="87" t="s">
        <v>239</v>
      </c>
      <c r="H7" s="75">
        <v>41373</v>
      </c>
      <c r="I7" s="87" t="s">
        <v>763</v>
      </c>
      <c r="J7" s="97" t="str">
        <f t="shared" si="1"/>
        <v>10년차(32)</v>
      </c>
      <c r="K7" s="26"/>
      <c r="L7" s="26"/>
      <c r="M7" s="26"/>
    </row>
    <row r="8" spans="1:13">
      <c r="A8" s="85" t="s">
        <v>764</v>
      </c>
      <c r="B8" s="85" t="s">
        <v>740</v>
      </c>
      <c r="C8" s="85" t="s">
        <v>765</v>
      </c>
      <c r="D8" s="106">
        <f t="shared" si="0"/>
        <v>29882</v>
      </c>
      <c r="E8" s="26"/>
      <c r="F8" s="85" t="s">
        <v>766</v>
      </c>
      <c r="G8" s="87" t="s">
        <v>248</v>
      </c>
      <c r="H8" s="75">
        <v>43419</v>
      </c>
      <c r="I8" s="87" t="s">
        <v>767</v>
      </c>
      <c r="J8" s="97" t="str">
        <f t="shared" si="1"/>
        <v>5년차(28)</v>
      </c>
      <c r="K8" s="26"/>
      <c r="L8" s="26"/>
      <c r="M8" s="26"/>
    </row>
    <row r="9" spans="1:13">
      <c r="A9" s="85" t="s">
        <v>768</v>
      </c>
      <c r="B9" s="85" t="s">
        <v>740</v>
      </c>
      <c r="C9" s="85" t="s">
        <v>769</v>
      </c>
      <c r="D9" s="106">
        <f t="shared" si="0"/>
        <v>33241</v>
      </c>
      <c r="E9" s="26"/>
      <c r="F9" s="85" t="s">
        <v>770</v>
      </c>
      <c r="G9" s="87" t="s">
        <v>228</v>
      </c>
      <c r="H9" s="75">
        <v>40194</v>
      </c>
      <c r="I9" s="87" t="s">
        <v>771</v>
      </c>
      <c r="J9" s="97" t="str">
        <f t="shared" si="1"/>
        <v>13년차(37)</v>
      </c>
      <c r="K9" s="26"/>
      <c r="L9" s="26"/>
      <c r="M9" s="26"/>
    </row>
    <row r="10" spans="1:13">
      <c r="A10" s="85" t="s">
        <v>772</v>
      </c>
      <c r="B10" s="85" t="s">
        <v>756</v>
      </c>
      <c r="C10" s="85" t="s">
        <v>773</v>
      </c>
      <c r="D10" s="106">
        <f t="shared" si="0"/>
        <v>32357</v>
      </c>
      <c r="E10" s="26"/>
      <c r="F10" s="85" t="s">
        <v>774</v>
      </c>
      <c r="G10" s="87" t="s">
        <v>239</v>
      </c>
      <c r="H10" s="75">
        <v>42986</v>
      </c>
      <c r="I10" s="87" t="s">
        <v>776</v>
      </c>
      <c r="J10" s="97" t="str">
        <f t="shared" si="1"/>
        <v>6년차(34)</v>
      </c>
      <c r="K10" s="26"/>
      <c r="L10" s="26"/>
      <c r="M10" s="26"/>
    </row>
    <row r="11" spans="1:13">
      <c r="A11" s="85" t="s">
        <v>777</v>
      </c>
      <c r="B11" s="85" t="s">
        <v>751</v>
      </c>
      <c r="C11" s="85" t="s">
        <v>779</v>
      </c>
      <c r="D11" s="106">
        <f t="shared" si="0"/>
        <v>33041</v>
      </c>
      <c r="E11" s="26"/>
      <c r="F11" s="85" t="s">
        <v>780</v>
      </c>
      <c r="G11" s="87" t="s">
        <v>239</v>
      </c>
      <c r="H11" s="75">
        <v>42229</v>
      </c>
      <c r="I11" s="87" t="s">
        <v>781</v>
      </c>
      <c r="J11" s="97" t="str">
        <f t="shared" si="1"/>
        <v>8년차(33)</v>
      </c>
      <c r="K11" s="26"/>
      <c r="L11" s="26"/>
      <c r="M11" s="26"/>
    </row>
    <row r="12" spans="1:1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>
      <c r="A13" s="26" t="s">
        <v>112</v>
      </c>
      <c r="B13" s="27" t="s">
        <v>782</v>
      </c>
      <c r="C13" s="26"/>
      <c r="D13" s="26"/>
      <c r="E13" s="26"/>
      <c r="F13" s="26" t="s">
        <v>114</v>
      </c>
      <c r="G13" s="27" t="s">
        <v>783</v>
      </c>
      <c r="H13" s="26"/>
      <c r="I13" s="26"/>
      <c r="J13" s="26"/>
      <c r="K13" s="26"/>
      <c r="L13" s="26"/>
      <c r="M13" s="26"/>
    </row>
    <row r="14" spans="1:13">
      <c r="A14" s="85" t="s">
        <v>177</v>
      </c>
      <c r="B14" s="85" t="s">
        <v>784</v>
      </c>
      <c r="C14" s="85" t="s">
        <v>785</v>
      </c>
      <c r="D14" s="90" t="s">
        <v>786</v>
      </c>
      <c r="E14" s="26"/>
      <c r="F14" s="85" t="s">
        <v>787</v>
      </c>
      <c r="G14" s="85" t="s">
        <v>788</v>
      </c>
      <c r="H14" s="85" t="s">
        <v>177</v>
      </c>
      <c r="I14" s="85" t="s">
        <v>320</v>
      </c>
      <c r="J14" s="90" t="s">
        <v>789</v>
      </c>
      <c r="K14" s="26"/>
      <c r="L14" s="275" t="s">
        <v>790</v>
      </c>
      <c r="M14" s="275"/>
    </row>
    <row r="15" spans="1:13">
      <c r="A15" s="85" t="s">
        <v>791</v>
      </c>
      <c r="B15" s="74">
        <v>45017</v>
      </c>
      <c r="C15" s="85">
        <v>4</v>
      </c>
      <c r="D15" s="106">
        <f>WORKDAY(B15,C15)</f>
        <v>45022</v>
      </c>
      <c r="E15" s="26"/>
      <c r="F15" s="85">
        <v>5</v>
      </c>
      <c r="G15" s="85">
        <v>1</v>
      </c>
      <c r="H15" s="85" t="s">
        <v>792</v>
      </c>
      <c r="I15" s="74">
        <v>40607</v>
      </c>
      <c r="J15" s="97" t="str">
        <f>VLOOKUP(WEEKDAY(I15,2),$L$16:$M$22,2,0)</f>
        <v>토요일</v>
      </c>
      <c r="K15" s="26"/>
      <c r="L15" s="85" t="s">
        <v>69</v>
      </c>
      <c r="M15" s="85" t="s">
        <v>794</v>
      </c>
    </row>
    <row r="16" spans="1:13">
      <c r="A16" s="85" t="s">
        <v>795</v>
      </c>
      <c r="B16" s="74">
        <v>45017</v>
      </c>
      <c r="C16" s="85">
        <v>8</v>
      </c>
      <c r="D16" s="106">
        <f t="shared" ref="D16:D24" si="2">WORKDAY(B16,C16)</f>
        <v>45028</v>
      </c>
      <c r="E16" s="26"/>
      <c r="F16" s="85">
        <v>5</v>
      </c>
      <c r="G16" s="85">
        <v>2</v>
      </c>
      <c r="H16" s="85" t="s">
        <v>796</v>
      </c>
      <c r="I16" s="74">
        <v>40804</v>
      </c>
      <c r="J16" s="97" t="str">
        <f t="shared" ref="J16:J24" si="3">VLOOKUP(WEEKDAY(I16,2),$L$16:$M$22,2,0)</f>
        <v>일요일</v>
      </c>
      <c r="K16" s="26"/>
      <c r="L16" s="85">
        <v>1</v>
      </c>
      <c r="M16" s="85" t="s">
        <v>797</v>
      </c>
    </row>
    <row r="17" spans="1:13">
      <c r="A17" s="85" t="s">
        <v>798</v>
      </c>
      <c r="B17" s="74">
        <v>45017</v>
      </c>
      <c r="C17" s="85">
        <v>5</v>
      </c>
      <c r="D17" s="106">
        <f t="shared" si="2"/>
        <v>45023</v>
      </c>
      <c r="E17" s="26"/>
      <c r="F17" s="85">
        <v>5</v>
      </c>
      <c r="G17" s="85">
        <v>3</v>
      </c>
      <c r="H17" s="85" t="s">
        <v>799</v>
      </c>
      <c r="I17" s="74">
        <v>40715</v>
      </c>
      <c r="J17" s="97" t="str">
        <f t="shared" si="3"/>
        <v>화요일</v>
      </c>
      <c r="K17" s="26"/>
      <c r="L17" s="85">
        <v>2</v>
      </c>
      <c r="M17" s="85" t="s">
        <v>800</v>
      </c>
    </row>
    <row r="18" spans="1:13">
      <c r="A18" s="85" t="s">
        <v>801</v>
      </c>
      <c r="B18" s="74">
        <v>45026</v>
      </c>
      <c r="C18" s="85">
        <v>6</v>
      </c>
      <c r="D18" s="106">
        <f t="shared" si="2"/>
        <v>45034</v>
      </c>
      <c r="E18" s="26"/>
      <c r="F18" s="85">
        <v>5</v>
      </c>
      <c r="G18" s="85">
        <v>4</v>
      </c>
      <c r="H18" s="85" t="s">
        <v>802</v>
      </c>
      <c r="I18" s="74">
        <v>40878</v>
      </c>
      <c r="J18" s="97" t="str">
        <f t="shared" si="3"/>
        <v>목요일</v>
      </c>
      <c r="K18" s="26"/>
      <c r="L18" s="85">
        <v>3</v>
      </c>
      <c r="M18" s="85" t="s">
        <v>803</v>
      </c>
    </row>
    <row r="19" spans="1:13">
      <c r="A19" s="85" t="s">
        <v>804</v>
      </c>
      <c r="B19" s="74">
        <v>45026</v>
      </c>
      <c r="C19" s="85">
        <v>7</v>
      </c>
      <c r="D19" s="106">
        <f t="shared" si="2"/>
        <v>45035</v>
      </c>
      <c r="E19" s="26"/>
      <c r="F19" s="85">
        <v>5</v>
      </c>
      <c r="G19" s="85">
        <v>5</v>
      </c>
      <c r="H19" s="85" t="s">
        <v>805</v>
      </c>
      <c r="I19" s="74">
        <v>40749</v>
      </c>
      <c r="J19" s="97" t="str">
        <f t="shared" si="3"/>
        <v>월요일</v>
      </c>
      <c r="K19" s="26"/>
      <c r="L19" s="85">
        <v>4</v>
      </c>
      <c r="M19" s="85" t="s">
        <v>806</v>
      </c>
    </row>
    <row r="20" spans="1:13">
      <c r="A20" s="85" t="s">
        <v>807</v>
      </c>
      <c r="B20" s="74">
        <v>45026</v>
      </c>
      <c r="C20" s="85">
        <v>9</v>
      </c>
      <c r="D20" s="106">
        <f t="shared" si="2"/>
        <v>45037</v>
      </c>
      <c r="E20" s="26"/>
      <c r="F20" s="85">
        <v>6</v>
      </c>
      <c r="G20" s="85">
        <v>1</v>
      </c>
      <c r="H20" s="85" t="s">
        <v>199</v>
      </c>
      <c r="I20" s="74">
        <v>40273</v>
      </c>
      <c r="J20" s="97" t="str">
        <f t="shared" si="3"/>
        <v>월요일</v>
      </c>
      <c r="K20" s="26"/>
      <c r="L20" s="85">
        <v>5</v>
      </c>
      <c r="M20" s="85" t="s">
        <v>809</v>
      </c>
    </row>
    <row r="21" spans="1:13">
      <c r="A21" s="85" t="s">
        <v>810</v>
      </c>
      <c r="B21" s="74">
        <v>45026</v>
      </c>
      <c r="C21" s="85">
        <v>4</v>
      </c>
      <c r="D21" s="106">
        <f t="shared" si="2"/>
        <v>45030</v>
      </c>
      <c r="E21" s="26"/>
      <c r="F21" s="85">
        <v>6</v>
      </c>
      <c r="G21" s="85">
        <v>2</v>
      </c>
      <c r="H21" s="85" t="s">
        <v>811</v>
      </c>
      <c r="I21" s="74">
        <v>40403</v>
      </c>
      <c r="J21" s="97" t="str">
        <f t="shared" si="3"/>
        <v>금요일</v>
      </c>
      <c r="K21" s="26"/>
      <c r="L21" s="85">
        <v>6</v>
      </c>
      <c r="M21" s="85" t="s">
        <v>812</v>
      </c>
    </row>
    <row r="22" spans="1:13">
      <c r="A22" s="85" t="s">
        <v>813</v>
      </c>
      <c r="B22" s="74">
        <v>45032</v>
      </c>
      <c r="C22" s="85">
        <v>8</v>
      </c>
      <c r="D22" s="106">
        <f t="shared" si="2"/>
        <v>45042</v>
      </c>
      <c r="E22" s="26"/>
      <c r="F22" s="85">
        <v>6</v>
      </c>
      <c r="G22" s="85">
        <v>3</v>
      </c>
      <c r="H22" s="85" t="s">
        <v>814</v>
      </c>
      <c r="I22" s="74">
        <v>40491</v>
      </c>
      <c r="J22" s="97" t="str">
        <f t="shared" si="3"/>
        <v>화요일</v>
      </c>
      <c r="K22" s="26"/>
      <c r="L22" s="85">
        <v>7</v>
      </c>
      <c r="M22" s="85" t="s">
        <v>815</v>
      </c>
    </row>
    <row r="23" spans="1:13">
      <c r="A23" s="85" t="s">
        <v>816</v>
      </c>
      <c r="B23" s="74">
        <v>45032</v>
      </c>
      <c r="C23" s="85">
        <v>5</v>
      </c>
      <c r="D23" s="106">
        <f t="shared" si="2"/>
        <v>45037</v>
      </c>
      <c r="E23" s="26"/>
      <c r="F23" s="85">
        <v>6</v>
      </c>
      <c r="G23" s="85">
        <v>4</v>
      </c>
      <c r="H23" s="85" t="s">
        <v>817</v>
      </c>
      <c r="I23" s="74">
        <v>40370</v>
      </c>
      <c r="J23" s="97" t="str">
        <f t="shared" si="3"/>
        <v>일요일</v>
      </c>
      <c r="K23" s="26"/>
      <c r="L23" s="26"/>
      <c r="M23" s="26"/>
    </row>
    <row r="24" spans="1:13">
      <c r="A24" s="85" t="s">
        <v>818</v>
      </c>
      <c r="B24" s="74">
        <v>45032</v>
      </c>
      <c r="C24" s="85">
        <v>7</v>
      </c>
      <c r="D24" s="106">
        <f t="shared" si="2"/>
        <v>45041</v>
      </c>
      <c r="E24" s="26"/>
      <c r="F24" s="85">
        <v>6</v>
      </c>
      <c r="G24" s="85">
        <v>5</v>
      </c>
      <c r="H24" s="85" t="s">
        <v>819</v>
      </c>
      <c r="I24" s="74">
        <v>40398</v>
      </c>
      <c r="J24" s="97" t="str">
        <f t="shared" si="3"/>
        <v>일요일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20"/>
  <sheetViews>
    <sheetView workbookViewId="0"/>
  </sheetViews>
  <sheetFormatPr defaultRowHeight="17"/>
  <cols>
    <col min="2" max="2" width="14" bestFit="1" customWidth="1"/>
    <col min="3" max="3" width="13.5" customWidth="1"/>
    <col min="4" max="4" width="13.25" customWidth="1"/>
    <col min="5" max="5" width="1.58203125" customWidth="1"/>
    <col min="8" max="8" width="12.75" customWidth="1"/>
    <col min="9" max="9" width="13.58203125" customWidth="1"/>
  </cols>
  <sheetData>
    <row r="1" spans="1:9">
      <c r="A1" s="26" t="s">
        <v>65</v>
      </c>
      <c r="B1" s="76" t="s">
        <v>820</v>
      </c>
      <c r="C1" s="34"/>
      <c r="D1" s="34"/>
      <c r="E1" s="26"/>
      <c r="F1" s="3" t="s">
        <v>821</v>
      </c>
      <c r="G1" s="77" t="s">
        <v>822</v>
      </c>
      <c r="H1" s="17"/>
      <c r="I1" s="7"/>
    </row>
    <row r="2" spans="1:9">
      <c r="A2" s="35" t="s">
        <v>823</v>
      </c>
      <c r="B2" s="35" t="s">
        <v>177</v>
      </c>
      <c r="C2" s="35" t="s">
        <v>824</v>
      </c>
      <c r="D2" s="93" t="s">
        <v>794</v>
      </c>
      <c r="E2" s="26"/>
      <c r="F2" s="85" t="s">
        <v>825</v>
      </c>
      <c r="G2" s="85" t="s">
        <v>415</v>
      </c>
      <c r="H2" s="85" t="s">
        <v>827</v>
      </c>
      <c r="I2" s="90" t="s">
        <v>828</v>
      </c>
    </row>
    <row r="3" spans="1:9">
      <c r="A3" s="35" t="s">
        <v>829</v>
      </c>
      <c r="B3" s="35" t="s">
        <v>830</v>
      </c>
      <c r="C3" s="36">
        <v>45061</v>
      </c>
      <c r="D3" s="35"/>
      <c r="E3" s="26"/>
      <c r="F3" s="85" t="s">
        <v>831</v>
      </c>
      <c r="G3" s="85" t="s">
        <v>832</v>
      </c>
      <c r="H3" s="74">
        <v>37428</v>
      </c>
      <c r="I3" s="78"/>
    </row>
    <row r="4" spans="1:9">
      <c r="A4" s="35" t="s">
        <v>720</v>
      </c>
      <c r="B4" s="35" t="s">
        <v>833</v>
      </c>
      <c r="C4" s="36">
        <v>45223</v>
      </c>
      <c r="D4" s="35"/>
      <c r="E4" s="26"/>
      <c r="F4" s="85" t="s">
        <v>834</v>
      </c>
      <c r="G4" s="85" t="s">
        <v>835</v>
      </c>
      <c r="H4" s="74">
        <v>42900</v>
      </c>
      <c r="I4" s="78"/>
    </row>
    <row r="5" spans="1:9">
      <c r="A5" s="35" t="s">
        <v>204</v>
      </c>
      <c r="B5" s="35" t="s">
        <v>837</v>
      </c>
      <c r="C5" s="36">
        <v>44990</v>
      </c>
      <c r="D5" s="35"/>
      <c r="E5" s="26"/>
      <c r="F5" s="85" t="s">
        <v>838</v>
      </c>
      <c r="G5" s="85" t="s">
        <v>832</v>
      </c>
      <c r="H5" s="74">
        <v>37171</v>
      </c>
      <c r="I5" s="78"/>
    </row>
    <row r="6" spans="1:9">
      <c r="A6" s="35" t="s">
        <v>722</v>
      </c>
      <c r="B6" s="35" t="s">
        <v>839</v>
      </c>
      <c r="C6" s="36">
        <v>45155</v>
      </c>
      <c r="D6" s="35"/>
      <c r="E6" s="26"/>
      <c r="F6" s="85" t="s">
        <v>840</v>
      </c>
      <c r="G6" s="85" t="s">
        <v>841</v>
      </c>
      <c r="H6" s="74">
        <v>40878</v>
      </c>
      <c r="I6" s="78"/>
    </row>
    <row r="7" spans="1:9">
      <c r="A7" s="35" t="s">
        <v>842</v>
      </c>
      <c r="B7" s="35" t="s">
        <v>843</v>
      </c>
      <c r="C7" s="36">
        <v>45242</v>
      </c>
      <c r="D7" s="35"/>
      <c r="E7" s="26"/>
      <c r="F7" s="85" t="s">
        <v>844</v>
      </c>
      <c r="G7" s="85" t="s">
        <v>845</v>
      </c>
      <c r="H7" s="74">
        <v>42088</v>
      </c>
      <c r="I7" s="78"/>
    </row>
    <row r="8" spans="1:9">
      <c r="A8" s="35" t="s">
        <v>846</v>
      </c>
      <c r="B8" s="35" t="s">
        <v>847</v>
      </c>
      <c r="C8" s="36">
        <v>45272</v>
      </c>
      <c r="D8" s="35"/>
      <c r="E8" s="26"/>
      <c r="F8" s="85" t="s">
        <v>848</v>
      </c>
      <c r="G8" s="85" t="s">
        <v>835</v>
      </c>
      <c r="H8" s="74">
        <v>41008</v>
      </c>
      <c r="I8" s="78"/>
    </row>
    <row r="9" spans="1:9">
      <c r="A9" s="35" t="s">
        <v>849</v>
      </c>
      <c r="B9" s="35" t="s">
        <v>850</v>
      </c>
      <c r="C9" s="36">
        <v>44982</v>
      </c>
      <c r="D9" s="35"/>
      <c r="E9" s="26"/>
      <c r="F9" s="85" t="s">
        <v>851</v>
      </c>
      <c r="G9" s="85" t="s">
        <v>841</v>
      </c>
      <c r="H9" s="74">
        <v>42479</v>
      </c>
      <c r="I9" s="78"/>
    </row>
    <row r="10" spans="1:9">
      <c r="A10" s="26"/>
      <c r="B10" s="26"/>
      <c r="C10" s="26"/>
      <c r="D10" s="26"/>
      <c r="E10" s="26"/>
      <c r="F10" s="26"/>
      <c r="G10" s="26"/>
      <c r="H10" s="26"/>
      <c r="I10" s="26"/>
    </row>
    <row r="11" spans="1:9">
      <c r="A11" s="26" t="s">
        <v>112</v>
      </c>
      <c r="B11" s="26"/>
      <c r="C11" s="26"/>
      <c r="D11" s="26"/>
      <c r="E11" s="26"/>
      <c r="F11" s="26" t="s">
        <v>114</v>
      </c>
      <c r="G11" s="26" t="s">
        <v>852</v>
      </c>
      <c r="H11" s="26"/>
      <c r="I11" s="26"/>
    </row>
    <row r="12" spans="1:9">
      <c r="A12" s="79" t="s">
        <v>32</v>
      </c>
      <c r="B12" s="79" t="s">
        <v>853</v>
      </c>
      <c r="C12" s="94" t="s">
        <v>854</v>
      </c>
      <c r="D12" s="26"/>
      <c r="E12" s="26"/>
      <c r="F12" s="85" t="s">
        <v>855</v>
      </c>
      <c r="G12" s="85" t="s">
        <v>856</v>
      </c>
      <c r="H12" s="85" t="s">
        <v>857</v>
      </c>
      <c r="I12" s="90" t="s">
        <v>858</v>
      </c>
    </row>
    <row r="13" spans="1:9">
      <c r="A13" s="79" t="s">
        <v>859</v>
      </c>
      <c r="B13" s="80">
        <v>45433</v>
      </c>
      <c r="C13" s="85"/>
      <c r="D13" s="26"/>
      <c r="E13" s="26"/>
      <c r="F13" s="85" t="s">
        <v>860</v>
      </c>
      <c r="G13" s="85" t="s">
        <v>861</v>
      </c>
      <c r="H13" s="81">
        <v>0.54861111111111105</v>
      </c>
      <c r="I13" s="85"/>
    </row>
    <row r="14" spans="1:9">
      <c r="A14" s="79" t="s">
        <v>862</v>
      </c>
      <c r="B14" s="80">
        <v>45404</v>
      </c>
      <c r="C14" s="85"/>
      <c r="D14" s="26"/>
      <c r="E14" s="26"/>
      <c r="F14" s="85" t="s">
        <v>863</v>
      </c>
      <c r="G14" s="85" t="s">
        <v>864</v>
      </c>
      <c r="H14" s="81">
        <v>0.63194444444444442</v>
      </c>
      <c r="I14" s="85"/>
    </row>
    <row r="15" spans="1:9">
      <c r="A15" s="79" t="s">
        <v>865</v>
      </c>
      <c r="B15" s="80">
        <v>45314</v>
      </c>
      <c r="C15" s="85"/>
      <c r="D15" s="26"/>
      <c r="E15" s="26"/>
      <c r="F15" s="85" t="s">
        <v>866</v>
      </c>
      <c r="G15" s="85" t="s">
        <v>867</v>
      </c>
      <c r="H15" s="81">
        <v>0.59027777777777779</v>
      </c>
      <c r="I15" s="85"/>
    </row>
    <row r="16" spans="1:9">
      <c r="A16" s="79" t="s">
        <v>868</v>
      </c>
      <c r="B16" s="80">
        <v>45497</v>
      </c>
      <c r="C16" s="85"/>
      <c r="D16" s="26"/>
      <c r="E16" s="26"/>
      <c r="F16" s="85" t="s">
        <v>179</v>
      </c>
      <c r="G16" s="85" t="s">
        <v>870</v>
      </c>
      <c r="H16" s="81">
        <v>0.63194444444444442</v>
      </c>
      <c r="I16" s="85"/>
    </row>
    <row r="17" spans="1:9">
      <c r="A17" s="79" t="s">
        <v>871</v>
      </c>
      <c r="B17" s="80">
        <v>45376</v>
      </c>
      <c r="C17" s="85"/>
      <c r="D17" s="26"/>
      <c r="E17" s="26"/>
      <c r="F17" s="85" t="s">
        <v>872</v>
      </c>
      <c r="G17" s="85" t="s">
        <v>873</v>
      </c>
      <c r="H17" s="81">
        <v>0.54861111111111105</v>
      </c>
      <c r="I17" s="85"/>
    </row>
    <row r="18" spans="1:9">
      <c r="A18" s="79" t="s">
        <v>874</v>
      </c>
      <c r="B18" s="80">
        <v>45410</v>
      </c>
      <c r="C18" s="85"/>
      <c r="D18" s="26"/>
      <c r="E18" s="26"/>
      <c r="F18" s="26"/>
      <c r="G18" s="26"/>
      <c r="H18" s="26"/>
      <c r="I18" s="26"/>
    </row>
    <row r="19" spans="1:9">
      <c r="A19" s="79" t="s">
        <v>875</v>
      </c>
      <c r="B19" s="80">
        <v>45502</v>
      </c>
      <c r="C19" s="85"/>
      <c r="D19" s="26"/>
      <c r="E19" s="26"/>
      <c r="F19" s="26"/>
      <c r="G19" s="26"/>
      <c r="H19" s="26"/>
      <c r="I19" s="26"/>
    </row>
    <row r="20" spans="1:9">
      <c r="A20" s="79" t="s">
        <v>876</v>
      </c>
      <c r="B20" s="80">
        <v>45473</v>
      </c>
      <c r="C20" s="85"/>
      <c r="D20" s="26"/>
      <c r="E20" s="26"/>
      <c r="F20" s="26"/>
      <c r="G20" s="26"/>
      <c r="H20" s="26"/>
      <c r="I20" s="26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20"/>
  <sheetViews>
    <sheetView workbookViewId="0"/>
  </sheetViews>
  <sheetFormatPr defaultRowHeight="17"/>
  <cols>
    <col min="2" max="2" width="14" bestFit="1" customWidth="1"/>
    <col min="3" max="3" width="13.5" customWidth="1"/>
    <col min="4" max="4" width="13.25" customWidth="1"/>
    <col min="5" max="5" width="1.58203125" customWidth="1"/>
    <col min="8" max="8" width="12.75" customWidth="1"/>
    <col min="9" max="9" width="13.58203125" customWidth="1"/>
  </cols>
  <sheetData>
    <row r="1" spans="1:9">
      <c r="A1" s="26" t="s">
        <v>214</v>
      </c>
      <c r="B1" s="76" t="s">
        <v>820</v>
      </c>
      <c r="C1" s="34"/>
      <c r="D1" s="34"/>
      <c r="E1" s="26"/>
      <c r="F1" s="3" t="s">
        <v>821</v>
      </c>
      <c r="G1" s="77" t="s">
        <v>822</v>
      </c>
      <c r="H1" s="17"/>
      <c r="I1" s="7"/>
    </row>
    <row r="2" spans="1:9">
      <c r="A2" s="35" t="s">
        <v>823</v>
      </c>
      <c r="B2" s="35" t="s">
        <v>374</v>
      </c>
      <c r="C2" s="35" t="s">
        <v>824</v>
      </c>
      <c r="D2" s="93" t="s">
        <v>794</v>
      </c>
      <c r="E2" s="26"/>
      <c r="F2" s="2" t="s">
        <v>825</v>
      </c>
      <c r="G2" s="2" t="s">
        <v>826</v>
      </c>
      <c r="H2" s="2" t="s">
        <v>827</v>
      </c>
      <c r="I2" s="89" t="s">
        <v>828</v>
      </c>
    </row>
    <row r="3" spans="1:9">
      <c r="A3" s="35" t="s">
        <v>829</v>
      </c>
      <c r="B3" s="35" t="s">
        <v>830</v>
      </c>
      <c r="C3" s="36">
        <v>45061</v>
      </c>
      <c r="D3" s="107" t="str">
        <f t="shared" ref="D3:D9" si="0">IF(WEEKDAY(C3,2)&lt;=5,"평일","주말")</f>
        <v>평일</v>
      </c>
      <c r="E3" s="26"/>
      <c r="F3" s="2" t="s">
        <v>831</v>
      </c>
      <c r="G3" s="2" t="s">
        <v>832</v>
      </c>
      <c r="H3" s="74">
        <v>37428</v>
      </c>
      <c r="I3" s="108">
        <f ca="1">YEAR(TODAY())-YEAR(H3)</f>
        <v>20</v>
      </c>
    </row>
    <row r="4" spans="1:9">
      <c r="A4" s="35" t="s">
        <v>727</v>
      </c>
      <c r="B4" s="35" t="s">
        <v>833</v>
      </c>
      <c r="C4" s="36">
        <v>45223</v>
      </c>
      <c r="D4" s="107" t="str">
        <f t="shared" si="0"/>
        <v>평일</v>
      </c>
      <c r="E4" s="26"/>
      <c r="F4" s="2" t="s">
        <v>834</v>
      </c>
      <c r="G4" s="2" t="s">
        <v>835</v>
      </c>
      <c r="H4" s="74">
        <v>42900</v>
      </c>
      <c r="I4" s="108">
        <f t="shared" ref="I4:I9" ca="1" si="1">YEAR(TODAY())-YEAR(H4)</f>
        <v>5</v>
      </c>
    </row>
    <row r="5" spans="1:9">
      <c r="A5" s="35" t="s">
        <v>836</v>
      </c>
      <c r="B5" s="35" t="s">
        <v>837</v>
      </c>
      <c r="C5" s="36">
        <v>44990</v>
      </c>
      <c r="D5" s="107" t="str">
        <f t="shared" si="0"/>
        <v>주말</v>
      </c>
      <c r="E5" s="26"/>
      <c r="F5" s="2" t="s">
        <v>838</v>
      </c>
      <c r="G5" s="2" t="s">
        <v>832</v>
      </c>
      <c r="H5" s="74">
        <v>37171</v>
      </c>
      <c r="I5" s="108">
        <f t="shared" ca="1" si="1"/>
        <v>21</v>
      </c>
    </row>
    <row r="6" spans="1:9">
      <c r="A6" s="35" t="s">
        <v>722</v>
      </c>
      <c r="B6" s="35" t="s">
        <v>839</v>
      </c>
      <c r="C6" s="36">
        <v>45155</v>
      </c>
      <c r="D6" s="107" t="str">
        <f t="shared" si="0"/>
        <v>평일</v>
      </c>
      <c r="E6" s="26"/>
      <c r="F6" s="2" t="s">
        <v>840</v>
      </c>
      <c r="G6" s="2" t="s">
        <v>841</v>
      </c>
      <c r="H6" s="74">
        <v>40878</v>
      </c>
      <c r="I6" s="108">
        <f t="shared" ca="1" si="1"/>
        <v>11</v>
      </c>
    </row>
    <row r="7" spans="1:9">
      <c r="A7" s="35" t="s">
        <v>842</v>
      </c>
      <c r="B7" s="35" t="s">
        <v>843</v>
      </c>
      <c r="C7" s="36">
        <v>45242</v>
      </c>
      <c r="D7" s="107" t="str">
        <f t="shared" si="0"/>
        <v>주말</v>
      </c>
      <c r="E7" s="26"/>
      <c r="F7" s="2" t="s">
        <v>844</v>
      </c>
      <c r="G7" s="2" t="s">
        <v>845</v>
      </c>
      <c r="H7" s="74">
        <v>42088</v>
      </c>
      <c r="I7" s="108">
        <f t="shared" ca="1" si="1"/>
        <v>7</v>
      </c>
    </row>
    <row r="8" spans="1:9">
      <c r="A8" s="35" t="s">
        <v>846</v>
      </c>
      <c r="B8" s="35" t="s">
        <v>847</v>
      </c>
      <c r="C8" s="36">
        <v>45272</v>
      </c>
      <c r="D8" s="107" t="str">
        <f t="shared" si="0"/>
        <v>평일</v>
      </c>
      <c r="E8" s="26"/>
      <c r="F8" s="2" t="s">
        <v>848</v>
      </c>
      <c r="G8" s="2" t="s">
        <v>835</v>
      </c>
      <c r="H8" s="74">
        <v>41008</v>
      </c>
      <c r="I8" s="108">
        <f t="shared" ca="1" si="1"/>
        <v>10</v>
      </c>
    </row>
    <row r="9" spans="1:9">
      <c r="A9" s="35" t="s">
        <v>849</v>
      </c>
      <c r="B9" s="35" t="s">
        <v>850</v>
      </c>
      <c r="C9" s="36">
        <v>44982</v>
      </c>
      <c r="D9" s="107" t="str">
        <f t="shared" si="0"/>
        <v>주말</v>
      </c>
      <c r="E9" s="26"/>
      <c r="F9" s="2" t="s">
        <v>851</v>
      </c>
      <c r="G9" s="2" t="s">
        <v>841</v>
      </c>
      <c r="H9" s="74">
        <v>42479</v>
      </c>
      <c r="I9" s="108">
        <f t="shared" ca="1" si="1"/>
        <v>6</v>
      </c>
    </row>
    <row r="10" spans="1:9">
      <c r="A10" s="26"/>
      <c r="B10" s="26"/>
      <c r="C10" s="26"/>
      <c r="D10" s="26"/>
      <c r="E10" s="26"/>
      <c r="F10" s="26"/>
      <c r="G10" s="26"/>
      <c r="H10" s="26"/>
      <c r="I10" s="26"/>
    </row>
    <row r="11" spans="1:9">
      <c r="A11" s="26" t="s">
        <v>112</v>
      </c>
      <c r="B11" s="26"/>
      <c r="C11" s="26"/>
      <c r="D11" s="26"/>
      <c r="E11" s="26"/>
      <c r="F11" s="26" t="s">
        <v>262</v>
      </c>
      <c r="G11" s="26" t="s">
        <v>852</v>
      </c>
      <c r="H11" s="26"/>
      <c r="I11" s="26"/>
    </row>
    <row r="12" spans="1:9">
      <c r="A12" s="79" t="s">
        <v>32</v>
      </c>
      <c r="B12" s="79" t="s">
        <v>853</v>
      </c>
      <c r="C12" s="94" t="s">
        <v>854</v>
      </c>
      <c r="D12" s="26"/>
      <c r="E12" s="26"/>
      <c r="F12" s="2" t="s">
        <v>855</v>
      </c>
      <c r="G12" s="2" t="s">
        <v>856</v>
      </c>
      <c r="H12" s="2" t="s">
        <v>857</v>
      </c>
      <c r="I12" s="89" t="s">
        <v>858</v>
      </c>
    </row>
    <row r="13" spans="1:9">
      <c r="A13" s="79" t="s">
        <v>859</v>
      </c>
      <c r="B13" s="80">
        <v>45433</v>
      </c>
      <c r="C13" s="97">
        <f ca="1">_xlfn.DAYS(B13,TODAY())</f>
        <v>757</v>
      </c>
      <c r="D13" s="26"/>
      <c r="E13" s="26"/>
      <c r="F13" s="2" t="s">
        <v>860</v>
      </c>
      <c r="G13" s="2" t="s">
        <v>861</v>
      </c>
      <c r="H13" s="81">
        <v>0.54861111111111105</v>
      </c>
      <c r="I13" s="97" t="str">
        <f>HOUR(H13)&amp;"시"</f>
        <v>13시</v>
      </c>
    </row>
    <row r="14" spans="1:9">
      <c r="A14" s="79" t="s">
        <v>862</v>
      </c>
      <c r="B14" s="80">
        <v>45404</v>
      </c>
      <c r="C14" s="248">
        <f t="shared" ref="C14:C20" ca="1" si="2">_xlfn.DAYS(B14,TODAY())</f>
        <v>728</v>
      </c>
      <c r="D14" s="26"/>
      <c r="E14" s="26"/>
      <c r="F14" s="2" t="s">
        <v>863</v>
      </c>
      <c r="G14" s="2" t="s">
        <v>864</v>
      </c>
      <c r="H14" s="81">
        <v>0.63194444444444442</v>
      </c>
      <c r="I14" s="97" t="str">
        <f t="shared" ref="I14:I17" si="3">HOUR(H14)&amp;"시"</f>
        <v>15시</v>
      </c>
    </row>
    <row r="15" spans="1:9">
      <c r="A15" s="79" t="s">
        <v>865</v>
      </c>
      <c r="B15" s="80">
        <v>45314</v>
      </c>
      <c r="C15" s="248">
        <f t="shared" ca="1" si="2"/>
        <v>638</v>
      </c>
      <c r="D15" s="26"/>
      <c r="E15" s="26"/>
      <c r="F15" s="2" t="s">
        <v>866</v>
      </c>
      <c r="G15" s="2" t="s">
        <v>867</v>
      </c>
      <c r="H15" s="81">
        <v>0.59027777777777779</v>
      </c>
      <c r="I15" s="97" t="str">
        <f t="shared" si="3"/>
        <v>14시</v>
      </c>
    </row>
    <row r="16" spans="1:9">
      <c r="A16" s="79" t="s">
        <v>868</v>
      </c>
      <c r="B16" s="80">
        <v>45497</v>
      </c>
      <c r="C16" s="248">
        <f t="shared" ca="1" si="2"/>
        <v>821</v>
      </c>
      <c r="D16" s="26"/>
      <c r="E16" s="26"/>
      <c r="F16" s="2" t="s">
        <v>869</v>
      </c>
      <c r="G16" s="2" t="s">
        <v>870</v>
      </c>
      <c r="H16" s="81">
        <v>0.63194444444444442</v>
      </c>
      <c r="I16" s="97" t="str">
        <f t="shared" si="3"/>
        <v>15시</v>
      </c>
    </row>
    <row r="17" spans="1:9">
      <c r="A17" s="79" t="s">
        <v>871</v>
      </c>
      <c r="B17" s="80">
        <v>45376</v>
      </c>
      <c r="C17" s="248">
        <f t="shared" ca="1" si="2"/>
        <v>700</v>
      </c>
      <c r="D17" s="26"/>
      <c r="E17" s="26"/>
      <c r="F17" s="2" t="s">
        <v>872</v>
      </c>
      <c r="G17" s="2" t="s">
        <v>873</v>
      </c>
      <c r="H17" s="81">
        <v>0.54861111111111105</v>
      </c>
      <c r="I17" s="97" t="str">
        <f t="shared" si="3"/>
        <v>13시</v>
      </c>
    </row>
    <row r="18" spans="1:9">
      <c r="A18" s="79" t="s">
        <v>874</v>
      </c>
      <c r="B18" s="80">
        <v>45410</v>
      </c>
      <c r="C18" s="248">
        <f t="shared" ca="1" si="2"/>
        <v>734</v>
      </c>
      <c r="D18" s="26"/>
      <c r="E18" s="26"/>
      <c r="F18" s="26"/>
      <c r="G18" s="26"/>
      <c r="H18" s="26"/>
      <c r="I18" s="26"/>
    </row>
    <row r="19" spans="1:9">
      <c r="A19" s="79" t="s">
        <v>875</v>
      </c>
      <c r="B19" s="80">
        <v>45502</v>
      </c>
      <c r="C19" s="248">
        <f t="shared" ca="1" si="2"/>
        <v>826</v>
      </c>
      <c r="D19" s="26"/>
      <c r="E19" s="26"/>
      <c r="F19" s="26"/>
      <c r="G19" s="26"/>
      <c r="H19" s="26"/>
      <c r="I19" s="26"/>
    </row>
    <row r="20" spans="1:9">
      <c r="A20" s="79" t="s">
        <v>876</v>
      </c>
      <c r="B20" s="80">
        <v>45473</v>
      </c>
      <c r="C20" s="248">
        <f t="shared" ca="1" si="2"/>
        <v>797</v>
      </c>
      <c r="D20" s="26"/>
      <c r="E20" s="26"/>
      <c r="F20" s="26"/>
      <c r="G20" s="26"/>
      <c r="H20" s="26"/>
      <c r="I20" s="2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25"/>
  <sheetViews>
    <sheetView workbookViewId="0"/>
  </sheetViews>
  <sheetFormatPr defaultRowHeight="17"/>
  <cols>
    <col min="3" max="4" width="10.75" bestFit="1" customWidth="1"/>
    <col min="5" max="5" width="1.58203125" customWidth="1"/>
    <col min="6" max="6" width="11.4140625" bestFit="1" customWidth="1"/>
    <col min="7" max="7" width="10.4140625" bestFit="1" customWidth="1"/>
    <col min="8" max="8" width="1.58203125" customWidth="1"/>
    <col min="9" max="9" width="11.4140625" bestFit="1" customWidth="1"/>
    <col min="10" max="10" width="23.08203125" customWidth="1"/>
    <col min="11" max="11" width="1.58203125" customWidth="1"/>
    <col min="13" max="13" width="12.08203125" customWidth="1"/>
    <col min="14" max="14" width="1.58203125" customWidth="1"/>
    <col min="15" max="15" width="10" bestFit="1" customWidth="1"/>
    <col min="17" max="17" width="10.75" bestFit="1" customWidth="1"/>
    <col min="18" max="18" width="13.58203125" bestFit="1" customWidth="1"/>
    <col min="19" max="19" width="10.75" bestFit="1" customWidth="1"/>
  </cols>
  <sheetData>
    <row r="1" spans="1:19">
      <c r="A1" t="s">
        <v>65</v>
      </c>
      <c r="C1" s="143" t="s">
        <v>1301</v>
      </c>
      <c r="D1" s="144">
        <v>44958</v>
      </c>
      <c r="F1" t="s">
        <v>1302</v>
      </c>
      <c r="I1" t="s">
        <v>1303</v>
      </c>
      <c r="L1" t="s">
        <v>1304</v>
      </c>
      <c r="O1" t="s">
        <v>171</v>
      </c>
      <c r="R1" s="143" t="s">
        <v>734</v>
      </c>
      <c r="S1" s="144">
        <v>45056</v>
      </c>
    </row>
    <row r="2" spans="1:19">
      <c r="A2" s="116" t="s">
        <v>177</v>
      </c>
      <c r="B2" s="116" t="s">
        <v>1305</v>
      </c>
      <c r="C2" s="116" t="s">
        <v>1306</v>
      </c>
      <c r="D2" s="145" t="s">
        <v>1307</v>
      </c>
      <c r="F2" s="116" t="s">
        <v>1308</v>
      </c>
      <c r="G2" s="116" t="s">
        <v>1309</v>
      </c>
      <c r="I2" s="146" t="s">
        <v>1310</v>
      </c>
      <c r="J2" s="145" t="s">
        <v>1311</v>
      </c>
      <c r="L2" s="116" t="s">
        <v>1312</v>
      </c>
      <c r="M2" s="145" t="s">
        <v>1313</v>
      </c>
      <c r="O2" s="116" t="s">
        <v>120</v>
      </c>
      <c r="P2" s="116" t="s">
        <v>123</v>
      </c>
      <c r="Q2" s="116" t="s">
        <v>1314</v>
      </c>
      <c r="R2" s="116" t="s">
        <v>1315</v>
      </c>
      <c r="S2" s="145" t="s">
        <v>675</v>
      </c>
    </row>
    <row r="3" spans="1:19">
      <c r="A3" s="116" t="s">
        <v>1316</v>
      </c>
      <c r="B3" s="116" t="s">
        <v>1317</v>
      </c>
      <c r="C3" s="147">
        <v>45021</v>
      </c>
      <c r="D3" s="116"/>
      <c r="F3" s="148">
        <v>44927</v>
      </c>
      <c r="G3" s="116" t="s">
        <v>1318</v>
      </c>
      <c r="I3" s="147">
        <v>44943</v>
      </c>
      <c r="J3" s="147"/>
      <c r="L3" s="149">
        <v>44990</v>
      </c>
      <c r="M3" s="116"/>
      <c r="O3" s="116" t="s">
        <v>1319</v>
      </c>
      <c r="P3" s="150">
        <v>198000</v>
      </c>
      <c r="Q3" s="147">
        <v>45017</v>
      </c>
      <c r="R3" s="151">
        <v>12</v>
      </c>
      <c r="S3" s="150"/>
    </row>
    <row r="4" spans="1:19">
      <c r="A4" s="116" t="s">
        <v>1320</v>
      </c>
      <c r="B4" s="116" t="s">
        <v>1317</v>
      </c>
      <c r="C4" s="147">
        <v>44966</v>
      </c>
      <c r="D4" s="116"/>
      <c r="F4" s="148">
        <v>44986</v>
      </c>
      <c r="G4" s="116" t="s">
        <v>1321</v>
      </c>
      <c r="I4" s="147">
        <v>44951</v>
      </c>
      <c r="J4" s="147"/>
      <c r="L4" s="149">
        <v>45005</v>
      </c>
      <c r="M4" s="116"/>
      <c r="O4" s="116" t="s">
        <v>1322</v>
      </c>
      <c r="P4" s="150">
        <v>126000</v>
      </c>
      <c r="Q4" s="147">
        <v>45041</v>
      </c>
      <c r="R4" s="151">
        <v>36</v>
      </c>
      <c r="S4" s="150"/>
    </row>
    <row r="5" spans="1:19">
      <c r="A5" s="116" t="s">
        <v>1323</v>
      </c>
      <c r="B5" s="116" t="s">
        <v>1317</v>
      </c>
      <c r="C5" s="147">
        <v>45269</v>
      </c>
      <c r="D5" s="116"/>
      <c r="F5" s="148">
        <v>45051</v>
      </c>
      <c r="G5" s="116" t="s">
        <v>1324</v>
      </c>
      <c r="I5" s="147">
        <v>44960</v>
      </c>
      <c r="J5" s="147"/>
      <c r="L5" s="149">
        <v>44990</v>
      </c>
      <c r="M5" s="116"/>
      <c r="O5" s="116" t="s">
        <v>1325</v>
      </c>
      <c r="P5" s="150">
        <v>200000</v>
      </c>
      <c r="Q5" s="147">
        <v>44956</v>
      </c>
      <c r="R5" s="151">
        <v>12</v>
      </c>
      <c r="S5" s="150"/>
    </row>
    <row r="6" spans="1:19">
      <c r="A6" s="116" t="s">
        <v>1326</v>
      </c>
      <c r="B6" s="116" t="s">
        <v>1317</v>
      </c>
      <c r="C6" s="147">
        <v>45049</v>
      </c>
      <c r="D6" s="116"/>
      <c r="F6" s="148">
        <v>45083</v>
      </c>
      <c r="G6" s="116" t="s">
        <v>1327</v>
      </c>
      <c r="I6" s="147">
        <v>44997</v>
      </c>
      <c r="J6" s="147"/>
      <c r="L6" s="149">
        <v>45005</v>
      </c>
      <c r="M6" s="116"/>
      <c r="O6" s="116" t="s">
        <v>1328</v>
      </c>
      <c r="P6" s="150">
        <v>35000</v>
      </c>
      <c r="Q6" s="147">
        <v>44929</v>
      </c>
      <c r="R6" s="151">
        <v>24</v>
      </c>
      <c r="S6" s="150"/>
    </row>
    <row r="7" spans="1:19">
      <c r="A7" s="116" t="s">
        <v>1329</v>
      </c>
      <c r="B7" s="116" t="s">
        <v>1330</v>
      </c>
      <c r="C7" s="147">
        <v>45020</v>
      </c>
      <c r="D7" s="116"/>
      <c r="F7" s="148">
        <v>45153</v>
      </c>
      <c r="G7" s="116" t="s">
        <v>1331</v>
      </c>
      <c r="I7" s="147">
        <v>45008</v>
      </c>
      <c r="J7" s="147"/>
      <c r="L7" s="149">
        <v>45000</v>
      </c>
      <c r="M7" s="116"/>
      <c r="O7" s="116" t="s">
        <v>1332</v>
      </c>
      <c r="P7" s="150">
        <v>70000</v>
      </c>
      <c r="Q7" s="147">
        <v>44870</v>
      </c>
      <c r="R7" s="151">
        <v>12</v>
      </c>
      <c r="S7" s="150"/>
    </row>
    <row r="8" spans="1:19">
      <c r="A8" s="116" t="s">
        <v>1333</v>
      </c>
      <c r="B8" s="116" t="s">
        <v>1317</v>
      </c>
      <c r="C8" s="147">
        <v>44962</v>
      </c>
      <c r="D8" s="116"/>
      <c r="F8" s="148">
        <v>45202</v>
      </c>
      <c r="G8" s="116" t="s">
        <v>1335</v>
      </c>
      <c r="I8" s="147">
        <v>45015</v>
      </c>
      <c r="J8" s="147"/>
      <c r="L8" s="149">
        <v>44990</v>
      </c>
      <c r="M8" s="116"/>
      <c r="O8" s="116" t="s">
        <v>1336</v>
      </c>
      <c r="P8" s="150">
        <v>100000</v>
      </c>
      <c r="Q8" s="147">
        <v>44946</v>
      </c>
      <c r="R8" s="151">
        <v>12</v>
      </c>
      <c r="S8" s="150"/>
    </row>
    <row r="9" spans="1:19">
      <c r="A9" s="116" t="s">
        <v>1337</v>
      </c>
      <c r="B9" s="116" t="s">
        <v>1330</v>
      </c>
      <c r="C9" s="147">
        <v>44987</v>
      </c>
      <c r="D9" s="116"/>
      <c r="F9" s="148">
        <v>45208</v>
      </c>
      <c r="G9" s="116" t="s">
        <v>1338</v>
      </c>
      <c r="I9" s="147">
        <v>45037</v>
      </c>
      <c r="J9" s="147"/>
      <c r="L9" s="149">
        <v>44995</v>
      </c>
      <c r="M9" s="116"/>
      <c r="O9" s="116" t="s">
        <v>1339</v>
      </c>
      <c r="P9" s="150">
        <v>35000</v>
      </c>
      <c r="Q9" s="147">
        <v>44967</v>
      </c>
      <c r="R9" s="151">
        <v>24</v>
      </c>
      <c r="S9" s="150"/>
    </row>
    <row r="10" spans="1:19">
      <c r="A10" s="116" t="s">
        <v>1340</v>
      </c>
      <c r="B10" s="116" t="s">
        <v>1341</v>
      </c>
      <c r="C10" s="147">
        <v>44929</v>
      </c>
      <c r="D10" s="116"/>
      <c r="F10" s="148">
        <v>45285</v>
      </c>
      <c r="G10" s="116" t="s">
        <v>1342</v>
      </c>
      <c r="I10" s="147">
        <v>45047</v>
      </c>
      <c r="J10" s="147"/>
      <c r="L10" s="149">
        <v>45005</v>
      </c>
      <c r="M10" s="116"/>
      <c r="O10" s="116" t="s">
        <v>1343</v>
      </c>
      <c r="P10" s="150">
        <v>59000</v>
      </c>
      <c r="Q10" s="147">
        <v>44920</v>
      </c>
      <c r="R10" s="151">
        <v>12</v>
      </c>
      <c r="S10" s="150"/>
    </row>
    <row r="11" spans="1:19">
      <c r="A11" s="116" t="s">
        <v>1344</v>
      </c>
      <c r="B11" s="116" t="s">
        <v>1317</v>
      </c>
      <c r="C11" s="147">
        <v>44977</v>
      </c>
      <c r="D11" s="116"/>
      <c r="I11" s="147">
        <v>45063</v>
      </c>
      <c r="J11" s="147"/>
      <c r="L11" s="149">
        <v>44990</v>
      </c>
      <c r="M11" s="116"/>
      <c r="O11" s="116" t="s">
        <v>1345</v>
      </c>
      <c r="P11" s="150">
        <v>50000</v>
      </c>
      <c r="Q11" s="147">
        <v>45035</v>
      </c>
      <c r="R11" s="151">
        <v>24</v>
      </c>
      <c r="S11" s="150"/>
    </row>
    <row r="12" spans="1:19">
      <c r="A12" s="116" t="s">
        <v>1346</v>
      </c>
      <c r="B12" s="116" t="s">
        <v>1317</v>
      </c>
      <c r="C12" s="147">
        <v>44963</v>
      </c>
      <c r="D12" s="116"/>
      <c r="I12" s="147">
        <v>45066</v>
      </c>
      <c r="J12" s="147"/>
      <c r="L12" s="149">
        <v>45005</v>
      </c>
      <c r="M12" s="116"/>
      <c r="O12" s="116" t="s">
        <v>1347</v>
      </c>
      <c r="P12" s="150">
        <v>30000</v>
      </c>
      <c r="Q12" s="147">
        <v>44904</v>
      </c>
      <c r="R12" s="152">
        <v>12</v>
      </c>
      <c r="S12" s="150"/>
    </row>
    <row r="13" spans="1:19">
      <c r="A13" s="116" t="s">
        <v>1348</v>
      </c>
      <c r="B13" s="116" t="s">
        <v>1317</v>
      </c>
      <c r="C13" s="147">
        <v>45049</v>
      </c>
      <c r="D13" s="116"/>
      <c r="I13" s="147">
        <v>45081</v>
      </c>
      <c r="J13" s="147"/>
      <c r="L13" s="149">
        <v>45005</v>
      </c>
      <c r="M13" s="116"/>
      <c r="O13" s="116" t="s">
        <v>1349</v>
      </c>
      <c r="P13" s="150">
        <v>120000</v>
      </c>
      <c r="Q13" s="147">
        <v>45041</v>
      </c>
      <c r="R13" s="151">
        <v>12</v>
      </c>
      <c r="S13" s="150"/>
    </row>
    <row r="14" spans="1:19">
      <c r="A14" s="116" t="s">
        <v>1350</v>
      </c>
      <c r="B14" s="116" t="s">
        <v>1330</v>
      </c>
      <c r="C14" s="147">
        <v>45036</v>
      </c>
      <c r="D14" s="116"/>
      <c r="I14" s="147">
        <v>45158</v>
      </c>
      <c r="J14" s="147"/>
      <c r="L14" s="149">
        <v>44995</v>
      </c>
      <c r="M14" s="116"/>
      <c r="O14" s="116" t="s">
        <v>1351</v>
      </c>
      <c r="P14" s="150">
        <v>35000</v>
      </c>
      <c r="Q14" s="147">
        <v>44857</v>
      </c>
      <c r="R14" s="151">
        <v>12</v>
      </c>
      <c r="S14" s="150"/>
    </row>
    <row r="15" spans="1:19">
      <c r="A15" s="116" t="s">
        <v>1352</v>
      </c>
      <c r="B15" s="116" t="s">
        <v>1341</v>
      </c>
      <c r="C15" s="147">
        <v>45000</v>
      </c>
      <c r="D15" s="116"/>
      <c r="I15" s="147">
        <v>45196</v>
      </c>
      <c r="J15" s="147"/>
      <c r="L15" s="149">
        <v>45000</v>
      </c>
      <c r="M15" s="116"/>
      <c r="O15" s="116" t="s">
        <v>1353</v>
      </c>
      <c r="P15" s="150">
        <v>40000</v>
      </c>
      <c r="Q15" s="147">
        <v>44566</v>
      </c>
      <c r="R15" s="151">
        <v>24</v>
      </c>
      <c r="S15" s="150"/>
    </row>
    <row r="16" spans="1:19">
      <c r="A16" s="116" t="s">
        <v>1354</v>
      </c>
      <c r="B16" s="116" t="s">
        <v>1330</v>
      </c>
      <c r="C16" s="147">
        <v>45041</v>
      </c>
      <c r="D16" s="116"/>
      <c r="I16" s="147">
        <v>45197</v>
      </c>
      <c r="J16" s="147"/>
      <c r="L16" s="149">
        <v>44995</v>
      </c>
      <c r="M16" s="116"/>
      <c r="O16" s="116" t="s">
        <v>1355</v>
      </c>
      <c r="P16" s="150">
        <v>165000</v>
      </c>
      <c r="Q16" s="147">
        <v>44900</v>
      </c>
      <c r="R16" s="151">
        <v>12</v>
      </c>
      <c r="S16" s="150"/>
    </row>
    <row r="17" spans="1:19">
      <c r="A17" s="116" t="s">
        <v>1356</v>
      </c>
      <c r="B17" s="116" t="s">
        <v>1341</v>
      </c>
      <c r="C17" s="147">
        <v>45076</v>
      </c>
      <c r="D17" s="116"/>
      <c r="I17" s="147">
        <v>45216</v>
      </c>
      <c r="J17" s="147"/>
      <c r="L17" s="149">
        <v>44995</v>
      </c>
      <c r="M17" s="116"/>
      <c r="O17" s="116" t="s">
        <v>1357</v>
      </c>
      <c r="P17" s="150">
        <v>140000</v>
      </c>
      <c r="Q17" s="147">
        <v>44870</v>
      </c>
      <c r="R17" s="151">
        <v>12</v>
      </c>
      <c r="S17" s="150"/>
    </row>
    <row r="18" spans="1:19">
      <c r="A18" s="116" t="s">
        <v>1358</v>
      </c>
      <c r="B18" s="116" t="s">
        <v>1330</v>
      </c>
      <c r="C18" s="147">
        <v>44976</v>
      </c>
      <c r="D18" s="116"/>
      <c r="I18" s="147">
        <v>45278</v>
      </c>
      <c r="J18" s="147"/>
      <c r="L18" s="149">
        <v>45005</v>
      </c>
      <c r="M18" s="116"/>
      <c r="O18" s="116" t="s">
        <v>1359</v>
      </c>
      <c r="P18" s="150">
        <v>51000</v>
      </c>
      <c r="Q18" s="147">
        <v>45039</v>
      </c>
      <c r="R18" s="151">
        <v>24</v>
      </c>
      <c r="S18" s="150"/>
    </row>
    <row r="19" spans="1:19">
      <c r="I19" s="147">
        <v>45282</v>
      </c>
      <c r="J19" s="147"/>
      <c r="O19" s="116" t="s">
        <v>1360</v>
      </c>
      <c r="P19" s="150">
        <v>20000</v>
      </c>
      <c r="Q19" s="147">
        <v>44782</v>
      </c>
      <c r="R19" s="151">
        <v>24</v>
      </c>
      <c r="S19" s="150"/>
    </row>
    <row r="20" spans="1:19">
      <c r="L20" t="s">
        <v>1361</v>
      </c>
      <c r="O20" s="116" t="s">
        <v>1362</v>
      </c>
      <c r="P20" s="150">
        <v>99000</v>
      </c>
      <c r="Q20" s="147">
        <v>45004</v>
      </c>
      <c r="R20" s="151">
        <v>12</v>
      </c>
      <c r="S20" s="150"/>
    </row>
    <row r="21" spans="1:19">
      <c r="L21" s="116" t="s">
        <v>1363</v>
      </c>
      <c r="M21" s="116" t="s">
        <v>1364</v>
      </c>
      <c r="O21" s="116" t="s">
        <v>1365</v>
      </c>
      <c r="P21" s="150">
        <v>290000</v>
      </c>
      <c r="Q21" s="147">
        <v>44977</v>
      </c>
      <c r="R21" s="151">
        <v>12</v>
      </c>
      <c r="S21" s="150"/>
    </row>
    <row r="22" spans="1:19">
      <c r="L22" s="151">
        <v>1</v>
      </c>
      <c r="M22" s="120">
        <v>0.3</v>
      </c>
      <c r="O22" s="116" t="s">
        <v>1366</v>
      </c>
      <c r="P22" s="150">
        <v>84000</v>
      </c>
      <c r="Q22" s="147">
        <v>44984</v>
      </c>
      <c r="R22" s="151">
        <v>12</v>
      </c>
      <c r="S22" s="150"/>
    </row>
    <row r="23" spans="1:19">
      <c r="L23" s="151">
        <v>7</v>
      </c>
      <c r="M23" s="120">
        <v>0.2</v>
      </c>
      <c r="O23" s="116" t="s">
        <v>1367</v>
      </c>
      <c r="P23" s="150">
        <v>53000</v>
      </c>
      <c r="Q23" s="147">
        <v>44935</v>
      </c>
      <c r="R23" s="151">
        <v>36</v>
      </c>
      <c r="S23" s="150"/>
    </row>
    <row r="24" spans="1:19">
      <c r="L24" s="151">
        <v>12</v>
      </c>
      <c r="M24" s="120">
        <v>0.15</v>
      </c>
      <c r="O24" s="116" t="s">
        <v>1368</v>
      </c>
      <c r="P24" s="150">
        <v>27000</v>
      </c>
      <c r="Q24" s="147">
        <v>44824</v>
      </c>
      <c r="R24" s="151">
        <v>24</v>
      </c>
      <c r="S24" s="150"/>
    </row>
    <row r="25" spans="1:19">
      <c r="L25" s="151">
        <v>24</v>
      </c>
      <c r="M25" s="120">
        <v>0.1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S25"/>
  <sheetViews>
    <sheetView workbookViewId="0"/>
  </sheetViews>
  <sheetFormatPr defaultRowHeight="17"/>
  <cols>
    <col min="3" max="4" width="10.75" bestFit="1" customWidth="1"/>
    <col min="5" max="5" width="1.58203125" customWidth="1"/>
    <col min="6" max="6" width="11.4140625" bestFit="1" customWidth="1"/>
    <col min="7" max="7" width="10.4140625" bestFit="1" customWidth="1"/>
    <col min="8" max="8" width="1.58203125" customWidth="1"/>
    <col min="9" max="9" width="11.4140625" bestFit="1" customWidth="1"/>
    <col min="10" max="10" width="23.08203125" bestFit="1" customWidth="1"/>
    <col min="11" max="11" width="1.58203125" customWidth="1"/>
    <col min="13" max="13" width="12.08203125" bestFit="1" customWidth="1"/>
    <col min="14" max="14" width="1.58203125" customWidth="1"/>
    <col min="15" max="15" width="10" bestFit="1" customWidth="1"/>
    <col min="17" max="17" width="10.75" bestFit="1" customWidth="1"/>
    <col min="18" max="18" width="13.58203125" bestFit="1" customWidth="1"/>
    <col min="19" max="19" width="10.75" bestFit="1" customWidth="1"/>
  </cols>
  <sheetData>
    <row r="1" spans="1:19">
      <c r="A1" t="s">
        <v>65</v>
      </c>
      <c r="C1" s="143" t="s">
        <v>1301</v>
      </c>
      <c r="D1" s="144">
        <v>44958</v>
      </c>
      <c r="F1" t="s">
        <v>1302</v>
      </c>
      <c r="I1" t="s">
        <v>1303</v>
      </c>
      <c r="L1" t="s">
        <v>1304</v>
      </c>
      <c r="O1" t="s">
        <v>171</v>
      </c>
      <c r="R1" s="143" t="s">
        <v>734</v>
      </c>
      <c r="S1" s="144">
        <v>45056</v>
      </c>
    </row>
    <row r="2" spans="1:19">
      <c r="A2" s="116" t="s">
        <v>177</v>
      </c>
      <c r="B2" s="116" t="s">
        <v>1305</v>
      </c>
      <c r="C2" s="116" t="s">
        <v>1306</v>
      </c>
      <c r="D2" s="145" t="s">
        <v>1307</v>
      </c>
      <c r="F2" s="116" t="s">
        <v>1308</v>
      </c>
      <c r="G2" s="116" t="s">
        <v>1309</v>
      </c>
      <c r="I2" s="146" t="s">
        <v>1310</v>
      </c>
      <c r="J2" s="145" t="s">
        <v>1311</v>
      </c>
      <c r="L2" s="116" t="s">
        <v>1312</v>
      </c>
      <c r="M2" s="145" t="s">
        <v>1313</v>
      </c>
      <c r="O2" s="116" t="s">
        <v>120</v>
      </c>
      <c r="P2" s="116" t="s">
        <v>123</v>
      </c>
      <c r="Q2" s="116" t="s">
        <v>1314</v>
      </c>
      <c r="R2" s="116" t="s">
        <v>1315</v>
      </c>
      <c r="S2" s="145" t="s">
        <v>675</v>
      </c>
    </row>
    <row r="3" spans="1:19">
      <c r="A3" s="116" t="s">
        <v>1316</v>
      </c>
      <c r="B3" s="116" t="s">
        <v>1317</v>
      </c>
      <c r="C3" s="147">
        <v>45021</v>
      </c>
      <c r="D3" s="116" t="str">
        <f t="shared" ref="D3:D18" si="0">IF(NETWORKDAYS($D$1,C3,$F$3:$F$10)&lt;0,"",TEXT(NETWORKDAYS($D$1,C3,$F$3:$F$10),"000"))</f>
        <v>045</v>
      </c>
      <c r="F3" s="148">
        <v>44927</v>
      </c>
      <c r="G3" s="116" t="s">
        <v>1369</v>
      </c>
      <c r="I3" s="147">
        <v>44943</v>
      </c>
      <c r="J3" s="147" t="str">
        <f>TEXT(WORKDAY(I3,3,$F$3:$F$10),"yyyy년 m월 d일 aaaa")</f>
        <v>2023년 1월 20일 금요일</v>
      </c>
      <c r="L3" s="149">
        <v>44990</v>
      </c>
      <c r="M3" s="116" t="str">
        <f t="shared" ref="M3:M18" si="1">TEXT(EDATE(L3,-1)+1,"mm/dd") &amp; "~" &amp; TEXT(L3,"mm/dd")</f>
        <v>02/06~03/05</v>
      </c>
      <c r="O3" s="116" t="s">
        <v>1319</v>
      </c>
      <c r="P3" s="150">
        <v>198000</v>
      </c>
      <c r="Q3" s="147">
        <v>45017</v>
      </c>
      <c r="R3" s="151">
        <v>12</v>
      </c>
      <c r="S3" s="150">
        <f t="shared" ref="S3:S24" si="2">P3*(1-VLOOKUP(QUOTIENT(EDATE(Q3,R3)-$S$1,30),$L$22:$M$25,2))</f>
        <v>158400</v>
      </c>
    </row>
    <row r="4" spans="1:19">
      <c r="A4" s="116" t="s">
        <v>1320</v>
      </c>
      <c r="B4" s="116" t="s">
        <v>1317</v>
      </c>
      <c r="C4" s="147">
        <v>44966</v>
      </c>
      <c r="D4" s="116" t="str">
        <f t="shared" si="0"/>
        <v>007</v>
      </c>
      <c r="F4" s="148">
        <v>44986</v>
      </c>
      <c r="G4" s="116" t="s">
        <v>1370</v>
      </c>
      <c r="I4" s="147">
        <v>44951</v>
      </c>
      <c r="J4" s="147" t="str">
        <f t="shared" ref="J4:J19" si="3">TEXT(WORKDAY(I4,3,$F$3:$F$10),"yyyy년 m월 d일 aaaa")</f>
        <v>2023년 1월 30일 월요일</v>
      </c>
      <c r="L4" s="149">
        <v>45005</v>
      </c>
      <c r="M4" s="116" t="str">
        <f t="shared" si="1"/>
        <v>02/21~03/20</v>
      </c>
      <c r="O4" s="116" t="s">
        <v>1322</v>
      </c>
      <c r="P4" s="150">
        <v>126000</v>
      </c>
      <c r="Q4" s="147">
        <v>45041</v>
      </c>
      <c r="R4" s="151">
        <v>36</v>
      </c>
      <c r="S4" s="150">
        <f t="shared" si="2"/>
        <v>113400</v>
      </c>
    </row>
    <row r="5" spans="1:19">
      <c r="A5" s="116" t="s">
        <v>1323</v>
      </c>
      <c r="B5" s="116" t="s">
        <v>1317</v>
      </c>
      <c r="C5" s="147">
        <v>45269</v>
      </c>
      <c r="D5" s="116" t="str">
        <f t="shared" si="0"/>
        <v>217</v>
      </c>
      <c r="F5" s="148">
        <v>45051</v>
      </c>
      <c r="G5" s="116" t="s">
        <v>1371</v>
      </c>
      <c r="I5" s="147">
        <v>44960</v>
      </c>
      <c r="J5" s="147" t="str">
        <f t="shared" si="3"/>
        <v>2023년 2월 8일 수요일</v>
      </c>
      <c r="L5" s="149">
        <v>44990</v>
      </c>
      <c r="M5" s="116" t="str">
        <f t="shared" si="1"/>
        <v>02/06~03/05</v>
      </c>
      <c r="O5" s="116" t="s">
        <v>1325</v>
      </c>
      <c r="P5" s="150">
        <v>200000</v>
      </c>
      <c r="Q5" s="147">
        <v>44956</v>
      </c>
      <c r="R5" s="151">
        <v>12</v>
      </c>
      <c r="S5" s="150">
        <f t="shared" si="2"/>
        <v>160000</v>
      </c>
    </row>
    <row r="6" spans="1:19">
      <c r="A6" s="116" t="s">
        <v>1326</v>
      </c>
      <c r="B6" s="116" t="s">
        <v>1317</v>
      </c>
      <c r="C6" s="147">
        <v>45049</v>
      </c>
      <c r="D6" s="116" t="str">
        <f t="shared" si="0"/>
        <v>065</v>
      </c>
      <c r="F6" s="148">
        <v>45083</v>
      </c>
      <c r="G6" s="116" t="s">
        <v>1372</v>
      </c>
      <c r="I6" s="147">
        <v>44997</v>
      </c>
      <c r="J6" s="147" t="str">
        <f t="shared" si="3"/>
        <v>2023년 3월 15일 수요일</v>
      </c>
      <c r="L6" s="149">
        <v>45005</v>
      </c>
      <c r="M6" s="116" t="str">
        <f t="shared" si="1"/>
        <v>02/21~03/20</v>
      </c>
      <c r="O6" s="116" t="s">
        <v>1328</v>
      </c>
      <c r="P6" s="150">
        <v>35000</v>
      </c>
      <c r="Q6" s="147">
        <v>44929</v>
      </c>
      <c r="R6" s="151">
        <v>24</v>
      </c>
      <c r="S6" s="150">
        <f t="shared" si="2"/>
        <v>29750</v>
      </c>
    </row>
    <row r="7" spans="1:19">
      <c r="A7" s="116" t="s">
        <v>1329</v>
      </c>
      <c r="B7" s="116" t="s">
        <v>1330</v>
      </c>
      <c r="C7" s="147">
        <v>45020</v>
      </c>
      <c r="D7" s="116" t="str">
        <f t="shared" si="0"/>
        <v>044</v>
      </c>
      <c r="F7" s="148">
        <v>45153</v>
      </c>
      <c r="G7" s="116" t="s">
        <v>1373</v>
      </c>
      <c r="I7" s="147">
        <v>45008</v>
      </c>
      <c r="J7" s="147" t="str">
        <f t="shared" si="3"/>
        <v>2023년 3월 28일 화요일</v>
      </c>
      <c r="L7" s="149">
        <v>45000</v>
      </c>
      <c r="M7" s="116" t="str">
        <f t="shared" si="1"/>
        <v>02/16~03/15</v>
      </c>
      <c r="O7" s="116" t="s">
        <v>1332</v>
      </c>
      <c r="P7" s="150">
        <v>70000</v>
      </c>
      <c r="Q7" s="147">
        <v>44870</v>
      </c>
      <c r="R7" s="151">
        <v>12</v>
      </c>
      <c r="S7" s="150">
        <f t="shared" si="2"/>
        <v>49000</v>
      </c>
    </row>
    <row r="8" spans="1:19">
      <c r="A8" s="116" t="s">
        <v>1333</v>
      </c>
      <c r="B8" s="116" t="s">
        <v>1317</v>
      </c>
      <c r="C8" s="147">
        <v>44962</v>
      </c>
      <c r="D8" s="116" t="str">
        <f t="shared" si="0"/>
        <v>003</v>
      </c>
      <c r="F8" s="148">
        <v>45202</v>
      </c>
      <c r="G8" s="116" t="s">
        <v>1334</v>
      </c>
      <c r="I8" s="147">
        <v>45015</v>
      </c>
      <c r="J8" s="147" t="str">
        <f t="shared" si="3"/>
        <v>2023년 4월 4일 화요일</v>
      </c>
      <c r="L8" s="149">
        <v>44990</v>
      </c>
      <c r="M8" s="116" t="str">
        <f t="shared" si="1"/>
        <v>02/06~03/05</v>
      </c>
      <c r="O8" s="116" t="s">
        <v>1336</v>
      </c>
      <c r="P8" s="150">
        <v>100000</v>
      </c>
      <c r="Q8" s="147">
        <v>44946</v>
      </c>
      <c r="R8" s="151">
        <v>12</v>
      </c>
      <c r="S8" s="150">
        <f t="shared" si="2"/>
        <v>80000</v>
      </c>
    </row>
    <row r="9" spans="1:19">
      <c r="A9" s="116" t="s">
        <v>1337</v>
      </c>
      <c r="B9" s="116" t="s">
        <v>1330</v>
      </c>
      <c r="C9" s="147">
        <v>44987</v>
      </c>
      <c r="D9" s="116" t="str">
        <f t="shared" si="0"/>
        <v>021</v>
      </c>
      <c r="F9" s="148">
        <v>45208</v>
      </c>
      <c r="G9" s="116" t="s">
        <v>1374</v>
      </c>
      <c r="I9" s="147">
        <v>45037</v>
      </c>
      <c r="J9" s="147" t="str">
        <f t="shared" si="3"/>
        <v>2023년 4월 26일 수요일</v>
      </c>
      <c r="L9" s="149">
        <v>44995</v>
      </c>
      <c r="M9" s="116" t="str">
        <f t="shared" si="1"/>
        <v>02/11~03/10</v>
      </c>
      <c r="O9" s="116" t="s">
        <v>1339</v>
      </c>
      <c r="P9" s="150">
        <v>35000</v>
      </c>
      <c r="Q9" s="147">
        <v>44967</v>
      </c>
      <c r="R9" s="151">
        <v>24</v>
      </c>
      <c r="S9" s="150">
        <f t="shared" si="2"/>
        <v>29750</v>
      </c>
    </row>
    <row r="10" spans="1:19">
      <c r="A10" s="116" t="s">
        <v>1340</v>
      </c>
      <c r="B10" s="116" t="s">
        <v>1341</v>
      </c>
      <c r="C10" s="147">
        <v>44929</v>
      </c>
      <c r="D10" s="116" t="str">
        <f t="shared" si="0"/>
        <v/>
      </c>
      <c r="F10" s="148">
        <v>45285</v>
      </c>
      <c r="G10" s="116" t="s">
        <v>1375</v>
      </c>
      <c r="I10" s="147">
        <v>45047</v>
      </c>
      <c r="J10" s="147" t="str">
        <f t="shared" si="3"/>
        <v>2023년 5월 4일 목요일</v>
      </c>
      <c r="L10" s="149">
        <v>45005</v>
      </c>
      <c r="M10" s="116" t="str">
        <f t="shared" si="1"/>
        <v>02/21~03/20</v>
      </c>
      <c r="O10" s="116" t="s">
        <v>1343</v>
      </c>
      <c r="P10" s="150">
        <v>59000</v>
      </c>
      <c r="Q10" s="147">
        <v>44920</v>
      </c>
      <c r="R10" s="151">
        <v>12</v>
      </c>
      <c r="S10" s="150">
        <f t="shared" si="2"/>
        <v>47200</v>
      </c>
    </row>
    <row r="11" spans="1:19">
      <c r="A11" s="116" t="s">
        <v>1344</v>
      </c>
      <c r="B11" s="116" t="s">
        <v>1317</v>
      </c>
      <c r="C11" s="147">
        <v>44977</v>
      </c>
      <c r="D11" s="116" t="str">
        <f t="shared" si="0"/>
        <v>014</v>
      </c>
      <c r="I11" s="147">
        <v>45063</v>
      </c>
      <c r="J11" s="147" t="str">
        <f t="shared" si="3"/>
        <v>2023년 5월 22일 월요일</v>
      </c>
      <c r="L11" s="149">
        <v>44990</v>
      </c>
      <c r="M11" s="116" t="str">
        <f t="shared" si="1"/>
        <v>02/06~03/05</v>
      </c>
      <c r="O11" s="116" t="s">
        <v>1345</v>
      </c>
      <c r="P11" s="150">
        <v>50000</v>
      </c>
      <c r="Q11" s="147">
        <v>45035</v>
      </c>
      <c r="R11" s="151">
        <v>24</v>
      </c>
      <c r="S11" s="150">
        <f t="shared" si="2"/>
        <v>42500</v>
      </c>
    </row>
    <row r="12" spans="1:19">
      <c r="A12" s="116" t="s">
        <v>1346</v>
      </c>
      <c r="B12" s="116" t="s">
        <v>1317</v>
      </c>
      <c r="C12" s="147">
        <v>44963</v>
      </c>
      <c r="D12" s="116" t="str">
        <f t="shared" si="0"/>
        <v>004</v>
      </c>
      <c r="I12" s="147">
        <v>45066</v>
      </c>
      <c r="J12" s="147" t="str">
        <f t="shared" si="3"/>
        <v>2023년 5월 24일 수요일</v>
      </c>
      <c r="L12" s="149">
        <v>45005</v>
      </c>
      <c r="M12" s="116" t="str">
        <f t="shared" si="1"/>
        <v>02/21~03/20</v>
      </c>
      <c r="O12" s="116" t="s">
        <v>1347</v>
      </c>
      <c r="P12" s="150">
        <v>30000</v>
      </c>
      <c r="Q12" s="147">
        <v>44904</v>
      </c>
      <c r="R12" s="152">
        <v>12</v>
      </c>
      <c r="S12" s="150">
        <f t="shared" si="2"/>
        <v>24000</v>
      </c>
    </row>
    <row r="13" spans="1:19">
      <c r="A13" s="116" t="s">
        <v>1348</v>
      </c>
      <c r="B13" s="116" t="s">
        <v>1317</v>
      </c>
      <c r="C13" s="147">
        <v>45049</v>
      </c>
      <c r="D13" s="116" t="str">
        <f t="shared" si="0"/>
        <v>065</v>
      </c>
      <c r="I13" s="147">
        <v>45081</v>
      </c>
      <c r="J13" s="147" t="str">
        <f t="shared" si="3"/>
        <v>2023년 6월 8일 목요일</v>
      </c>
      <c r="L13" s="149">
        <v>45005</v>
      </c>
      <c r="M13" s="116" t="str">
        <f t="shared" si="1"/>
        <v>02/21~03/20</v>
      </c>
      <c r="O13" s="116" t="s">
        <v>1349</v>
      </c>
      <c r="P13" s="150">
        <v>120000</v>
      </c>
      <c r="Q13" s="147">
        <v>45041</v>
      </c>
      <c r="R13" s="151">
        <v>12</v>
      </c>
      <c r="S13" s="150">
        <f t="shared" si="2"/>
        <v>96000</v>
      </c>
    </row>
    <row r="14" spans="1:19">
      <c r="A14" s="116" t="s">
        <v>1350</v>
      </c>
      <c r="B14" s="116" t="s">
        <v>1330</v>
      </c>
      <c r="C14" s="147">
        <v>45036</v>
      </c>
      <c r="D14" s="116" t="str">
        <f t="shared" si="0"/>
        <v>056</v>
      </c>
      <c r="I14" s="147">
        <v>45158</v>
      </c>
      <c r="J14" s="147" t="str">
        <f t="shared" si="3"/>
        <v>2023년 8월 23일 수요일</v>
      </c>
      <c r="L14" s="149">
        <v>44995</v>
      </c>
      <c r="M14" s="116" t="str">
        <f t="shared" si="1"/>
        <v>02/11~03/10</v>
      </c>
      <c r="O14" s="116" t="s">
        <v>1351</v>
      </c>
      <c r="P14" s="150">
        <v>35000</v>
      </c>
      <c r="Q14" s="147">
        <v>44857</v>
      </c>
      <c r="R14" s="151">
        <v>12</v>
      </c>
      <c r="S14" s="150">
        <f t="shared" si="2"/>
        <v>24500</v>
      </c>
    </row>
    <row r="15" spans="1:19">
      <c r="A15" s="116" t="s">
        <v>1352</v>
      </c>
      <c r="B15" s="116" t="s">
        <v>1341</v>
      </c>
      <c r="C15" s="147">
        <v>45000</v>
      </c>
      <c r="D15" s="116" t="str">
        <f t="shared" si="0"/>
        <v>030</v>
      </c>
      <c r="I15" s="147">
        <v>45196</v>
      </c>
      <c r="J15" s="147" t="str">
        <f t="shared" si="3"/>
        <v>2023년 10월 2일 월요일</v>
      </c>
      <c r="L15" s="149">
        <v>45000</v>
      </c>
      <c r="M15" s="116" t="str">
        <f t="shared" si="1"/>
        <v>02/16~03/15</v>
      </c>
      <c r="O15" s="116" t="s">
        <v>1353</v>
      </c>
      <c r="P15" s="150">
        <v>40000</v>
      </c>
      <c r="Q15" s="147">
        <v>44566</v>
      </c>
      <c r="R15" s="151">
        <v>24</v>
      </c>
      <c r="S15" s="150">
        <f t="shared" si="2"/>
        <v>32000</v>
      </c>
    </row>
    <row r="16" spans="1:19">
      <c r="A16" s="116" t="s">
        <v>1354</v>
      </c>
      <c r="B16" s="116" t="s">
        <v>1330</v>
      </c>
      <c r="C16" s="147">
        <v>45041</v>
      </c>
      <c r="D16" s="116" t="str">
        <f t="shared" si="0"/>
        <v>059</v>
      </c>
      <c r="I16" s="147">
        <v>45197</v>
      </c>
      <c r="J16" s="147" t="str">
        <f t="shared" si="3"/>
        <v>2023년 10월 4일 수요일</v>
      </c>
      <c r="L16" s="149">
        <v>44995</v>
      </c>
      <c r="M16" s="116" t="str">
        <f t="shared" si="1"/>
        <v>02/11~03/10</v>
      </c>
      <c r="O16" s="116" t="s">
        <v>1355</v>
      </c>
      <c r="P16" s="150">
        <v>165000</v>
      </c>
      <c r="Q16" s="147">
        <v>44900</v>
      </c>
      <c r="R16" s="151">
        <v>12</v>
      </c>
      <c r="S16" s="150">
        <f t="shared" si="2"/>
        <v>115499.99999999999</v>
      </c>
    </row>
    <row r="17" spans="1:19">
      <c r="A17" s="116" t="s">
        <v>1356</v>
      </c>
      <c r="B17" s="116" t="s">
        <v>1341</v>
      </c>
      <c r="C17" s="147">
        <v>45076</v>
      </c>
      <c r="D17" s="116" t="str">
        <f t="shared" si="0"/>
        <v>083</v>
      </c>
      <c r="I17" s="147">
        <v>45216</v>
      </c>
      <c r="J17" s="147" t="str">
        <f t="shared" si="3"/>
        <v>2023년 10월 20일 금요일</v>
      </c>
      <c r="L17" s="149">
        <v>44995</v>
      </c>
      <c r="M17" s="116" t="str">
        <f t="shared" si="1"/>
        <v>02/11~03/10</v>
      </c>
      <c r="O17" s="116" t="s">
        <v>1357</v>
      </c>
      <c r="P17" s="150">
        <v>140000</v>
      </c>
      <c r="Q17" s="147">
        <v>44870</v>
      </c>
      <c r="R17" s="151">
        <v>12</v>
      </c>
      <c r="S17" s="150">
        <f t="shared" si="2"/>
        <v>98000</v>
      </c>
    </row>
    <row r="18" spans="1:19">
      <c r="A18" s="116" t="s">
        <v>1358</v>
      </c>
      <c r="B18" s="116" t="s">
        <v>1330</v>
      </c>
      <c r="C18" s="147">
        <v>44976</v>
      </c>
      <c r="D18" s="116" t="str">
        <f t="shared" si="0"/>
        <v>013</v>
      </c>
      <c r="I18" s="147">
        <v>45278</v>
      </c>
      <c r="J18" s="147" t="str">
        <f t="shared" si="3"/>
        <v>2023년 12월 21일 목요일</v>
      </c>
      <c r="L18" s="149">
        <v>45005</v>
      </c>
      <c r="M18" s="116" t="str">
        <f t="shared" si="1"/>
        <v>02/21~03/20</v>
      </c>
      <c r="O18" s="116" t="s">
        <v>1359</v>
      </c>
      <c r="P18" s="150">
        <v>51000</v>
      </c>
      <c r="Q18" s="147">
        <v>45039</v>
      </c>
      <c r="R18" s="151">
        <v>24</v>
      </c>
      <c r="S18" s="150">
        <f t="shared" si="2"/>
        <v>43350</v>
      </c>
    </row>
    <row r="19" spans="1:19">
      <c r="I19" s="147">
        <v>45282</v>
      </c>
      <c r="J19" s="147" t="str">
        <f t="shared" si="3"/>
        <v>2023년 12월 28일 목요일</v>
      </c>
      <c r="O19" s="116" t="s">
        <v>1360</v>
      </c>
      <c r="P19" s="150">
        <v>20000</v>
      </c>
      <c r="Q19" s="147">
        <v>44782</v>
      </c>
      <c r="R19" s="151">
        <v>24</v>
      </c>
      <c r="S19" s="150">
        <f t="shared" si="2"/>
        <v>17000</v>
      </c>
    </row>
    <row r="20" spans="1:19">
      <c r="L20" t="s">
        <v>1376</v>
      </c>
      <c r="O20" s="116" t="s">
        <v>1362</v>
      </c>
      <c r="P20" s="150">
        <v>99000</v>
      </c>
      <c r="Q20" s="147">
        <v>45004</v>
      </c>
      <c r="R20" s="151">
        <v>12</v>
      </c>
      <c r="S20" s="150">
        <f t="shared" si="2"/>
        <v>79200</v>
      </c>
    </row>
    <row r="21" spans="1:19">
      <c r="L21" s="116" t="s">
        <v>1377</v>
      </c>
      <c r="M21" s="116" t="s">
        <v>1378</v>
      </c>
      <c r="O21" s="116" t="s">
        <v>1365</v>
      </c>
      <c r="P21" s="150">
        <v>290000</v>
      </c>
      <c r="Q21" s="147">
        <v>44977</v>
      </c>
      <c r="R21" s="151">
        <v>12</v>
      </c>
      <c r="S21" s="150">
        <f t="shared" si="2"/>
        <v>232000</v>
      </c>
    </row>
    <row r="22" spans="1:19">
      <c r="L22" s="151">
        <v>1</v>
      </c>
      <c r="M22" s="120">
        <v>0.3</v>
      </c>
      <c r="O22" s="116" t="s">
        <v>1366</v>
      </c>
      <c r="P22" s="150">
        <v>84000</v>
      </c>
      <c r="Q22" s="147">
        <v>44984</v>
      </c>
      <c r="R22" s="151">
        <v>12</v>
      </c>
      <c r="S22" s="150">
        <f t="shared" si="2"/>
        <v>67200</v>
      </c>
    </row>
    <row r="23" spans="1:19">
      <c r="L23" s="151">
        <v>7</v>
      </c>
      <c r="M23" s="120">
        <v>0.2</v>
      </c>
      <c r="O23" s="116" t="s">
        <v>1367</v>
      </c>
      <c r="P23" s="150">
        <v>53000</v>
      </c>
      <c r="Q23" s="147">
        <v>44935</v>
      </c>
      <c r="R23" s="151">
        <v>36</v>
      </c>
      <c r="S23" s="150">
        <f t="shared" si="2"/>
        <v>47700</v>
      </c>
    </row>
    <row r="24" spans="1:19">
      <c r="L24" s="151">
        <v>12</v>
      </c>
      <c r="M24" s="120">
        <v>0.15</v>
      </c>
      <c r="O24" s="116" t="s">
        <v>1368</v>
      </c>
      <c r="P24" s="150">
        <v>27000</v>
      </c>
      <c r="Q24" s="147">
        <v>44824</v>
      </c>
      <c r="R24" s="151">
        <v>24</v>
      </c>
      <c r="S24" s="150">
        <f t="shared" si="2"/>
        <v>22950</v>
      </c>
    </row>
    <row r="25" spans="1:19">
      <c r="L25" s="151">
        <v>24</v>
      </c>
      <c r="M25" s="120">
        <v>0.1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J33"/>
  <sheetViews>
    <sheetView workbookViewId="0"/>
  </sheetViews>
  <sheetFormatPr defaultRowHeight="17"/>
  <cols>
    <col min="2" max="2" width="14.58203125" bestFit="1" customWidth="1"/>
    <col min="5" max="5" width="15" customWidth="1"/>
    <col min="6" max="6" width="1.58203125" customWidth="1"/>
    <col min="7" max="7" width="15" bestFit="1" customWidth="1"/>
    <col min="8" max="8" width="18.83203125" bestFit="1" customWidth="1"/>
    <col min="9" max="9" width="16.83203125" customWidth="1"/>
    <col min="10" max="10" width="19.25" bestFit="1" customWidth="1"/>
  </cols>
  <sheetData>
    <row r="1" spans="1:10">
      <c r="A1" s="26" t="s">
        <v>214</v>
      </c>
      <c r="B1" s="27" t="s">
        <v>877</v>
      </c>
      <c r="C1" s="26"/>
      <c r="D1" s="26"/>
      <c r="E1" s="26"/>
      <c r="F1" s="26"/>
      <c r="G1" s="26" t="s">
        <v>67</v>
      </c>
      <c r="H1" s="27" t="s">
        <v>878</v>
      </c>
      <c r="I1" s="26"/>
      <c r="J1" s="26"/>
    </row>
    <row r="2" spans="1:10">
      <c r="A2" s="2" t="s">
        <v>879</v>
      </c>
      <c r="B2" s="2" t="s">
        <v>880</v>
      </c>
      <c r="C2" s="2" t="s">
        <v>881</v>
      </c>
      <c r="D2" s="2" t="s">
        <v>882</v>
      </c>
      <c r="E2" s="89" t="s">
        <v>883</v>
      </c>
      <c r="F2" s="26"/>
      <c r="G2" s="2" t="s">
        <v>884</v>
      </c>
      <c r="H2" s="2" t="s">
        <v>885</v>
      </c>
      <c r="I2" s="89" t="s">
        <v>886</v>
      </c>
      <c r="J2" s="2" t="s">
        <v>887</v>
      </c>
    </row>
    <row r="3" spans="1:10">
      <c r="A3" s="2">
        <v>1</v>
      </c>
      <c r="B3" s="2">
        <v>45</v>
      </c>
      <c r="C3" s="2" t="s">
        <v>888</v>
      </c>
      <c r="D3" s="2" t="s">
        <v>889</v>
      </c>
      <c r="E3" s="2"/>
      <c r="F3" s="26"/>
      <c r="G3" s="2" t="s">
        <v>890</v>
      </c>
      <c r="H3" s="2" t="s">
        <v>891</v>
      </c>
      <c r="I3" s="2"/>
      <c r="J3" s="2" t="s">
        <v>892</v>
      </c>
    </row>
    <row r="4" spans="1:10">
      <c r="A4" s="2">
        <v>2</v>
      </c>
      <c r="B4" s="2">
        <v>43</v>
      </c>
      <c r="C4" s="2" t="s">
        <v>893</v>
      </c>
      <c r="D4" s="2" t="s">
        <v>894</v>
      </c>
      <c r="E4" s="2"/>
      <c r="F4" s="26"/>
      <c r="G4" s="2" t="s">
        <v>895</v>
      </c>
      <c r="H4" s="2" t="s">
        <v>896</v>
      </c>
      <c r="I4" s="2"/>
      <c r="J4" s="2" t="s">
        <v>897</v>
      </c>
    </row>
    <row r="5" spans="1:10">
      <c r="A5" s="2">
        <v>3</v>
      </c>
      <c r="B5" s="2">
        <v>40</v>
      </c>
      <c r="C5" s="2" t="s">
        <v>898</v>
      </c>
      <c r="D5" s="2" t="s">
        <v>899</v>
      </c>
      <c r="E5" s="2"/>
      <c r="F5" s="26"/>
      <c r="G5" s="2" t="s">
        <v>900</v>
      </c>
      <c r="H5" s="2" t="s">
        <v>901</v>
      </c>
      <c r="I5" s="2"/>
      <c r="J5" s="2" t="s">
        <v>902</v>
      </c>
    </row>
    <row r="6" spans="1:10">
      <c r="A6" s="2">
        <v>4</v>
      </c>
      <c r="B6" s="2">
        <v>39</v>
      </c>
      <c r="C6" s="2" t="s">
        <v>903</v>
      </c>
      <c r="D6" s="2" t="s">
        <v>904</v>
      </c>
      <c r="E6" s="2"/>
      <c r="F6" s="26"/>
      <c r="G6" s="2" t="s">
        <v>905</v>
      </c>
      <c r="H6" s="2" t="s">
        <v>906</v>
      </c>
      <c r="I6" s="2"/>
      <c r="J6" s="2" t="s">
        <v>907</v>
      </c>
    </row>
    <row r="7" spans="1:10">
      <c r="A7" s="2">
        <v>5</v>
      </c>
      <c r="B7" s="2">
        <v>34</v>
      </c>
      <c r="C7" s="2" t="s">
        <v>908</v>
      </c>
      <c r="D7" s="2" t="s">
        <v>909</v>
      </c>
      <c r="E7" s="2"/>
      <c r="F7" s="26"/>
      <c r="G7" s="2" t="s">
        <v>910</v>
      </c>
      <c r="H7" s="2" t="s">
        <v>849</v>
      </c>
      <c r="I7" s="2"/>
      <c r="J7" s="2" t="s">
        <v>911</v>
      </c>
    </row>
    <row r="8" spans="1:10">
      <c r="A8" s="2">
        <v>6</v>
      </c>
      <c r="B8" s="2">
        <v>32</v>
      </c>
      <c r="C8" s="2" t="s">
        <v>912</v>
      </c>
      <c r="D8" s="2" t="s">
        <v>913</v>
      </c>
      <c r="E8" s="2"/>
      <c r="F8" s="26"/>
      <c r="G8" s="2" t="s">
        <v>914</v>
      </c>
      <c r="H8" s="2" t="s">
        <v>915</v>
      </c>
      <c r="I8" s="2"/>
      <c r="J8" s="2" t="s">
        <v>916</v>
      </c>
    </row>
    <row r="9" spans="1:10">
      <c r="A9" s="2">
        <v>7</v>
      </c>
      <c r="B9" s="2">
        <v>30</v>
      </c>
      <c r="C9" s="2" t="s">
        <v>917</v>
      </c>
      <c r="D9" s="2" t="s">
        <v>918</v>
      </c>
      <c r="E9" s="2"/>
      <c r="F9" s="26"/>
      <c r="G9" s="2" t="s">
        <v>919</v>
      </c>
      <c r="H9" s="2" t="s">
        <v>829</v>
      </c>
      <c r="I9" s="2"/>
      <c r="J9" s="2" t="s">
        <v>920</v>
      </c>
    </row>
    <row r="10" spans="1:10">
      <c r="A10" s="2">
        <v>8</v>
      </c>
      <c r="B10" s="2">
        <v>29</v>
      </c>
      <c r="C10" s="2" t="s">
        <v>921</v>
      </c>
      <c r="D10" s="2" t="s">
        <v>922</v>
      </c>
      <c r="E10" s="2"/>
      <c r="F10" s="26"/>
      <c r="G10" s="2" t="s">
        <v>923</v>
      </c>
      <c r="H10" s="2" t="s">
        <v>924</v>
      </c>
      <c r="I10" s="2"/>
      <c r="J10" s="2" t="s">
        <v>925</v>
      </c>
    </row>
    <row r="11" spans="1:10">
      <c r="A11" s="2">
        <v>9</v>
      </c>
      <c r="B11" s="2">
        <v>27</v>
      </c>
      <c r="C11" s="2" t="s">
        <v>926</v>
      </c>
      <c r="D11" s="2" t="s">
        <v>927</v>
      </c>
      <c r="E11" s="2"/>
      <c r="F11" s="26"/>
      <c r="G11" s="2" t="s">
        <v>928</v>
      </c>
      <c r="H11" s="2" t="s">
        <v>929</v>
      </c>
      <c r="I11" s="2"/>
      <c r="J11" s="2" t="s">
        <v>930</v>
      </c>
    </row>
    <row r="12" spans="1:10">
      <c r="A12" s="2">
        <v>10</v>
      </c>
      <c r="B12" s="2">
        <v>26</v>
      </c>
      <c r="C12" s="2" t="s">
        <v>931</v>
      </c>
      <c r="D12" s="2" t="s">
        <v>932</v>
      </c>
      <c r="E12" s="2"/>
      <c r="F12" s="26"/>
      <c r="G12" s="26"/>
      <c r="H12" s="26"/>
      <c r="I12" s="26"/>
      <c r="J12" s="26"/>
    </row>
    <row r="13" spans="1:10">
      <c r="A13" s="26"/>
      <c r="B13" s="26"/>
      <c r="C13" s="26"/>
      <c r="D13" s="26"/>
      <c r="E13" s="26"/>
      <c r="F13" s="26"/>
      <c r="G13" s="26"/>
      <c r="H13" s="26"/>
      <c r="I13" s="26"/>
      <c r="J13" s="26"/>
    </row>
    <row r="14" spans="1:10">
      <c r="A14" s="26" t="s">
        <v>933</v>
      </c>
      <c r="B14" s="27" t="s">
        <v>622</v>
      </c>
      <c r="C14" s="26"/>
      <c r="D14" s="26"/>
      <c r="E14" s="26"/>
      <c r="F14" s="26"/>
      <c r="G14" s="26" t="s">
        <v>934</v>
      </c>
      <c r="H14" s="26"/>
      <c r="I14" s="26"/>
      <c r="J14" s="26"/>
    </row>
    <row r="15" spans="1:10">
      <c r="A15" s="2" t="s">
        <v>935</v>
      </c>
      <c r="B15" s="2" t="s">
        <v>936</v>
      </c>
      <c r="C15" s="2" t="s">
        <v>937</v>
      </c>
      <c r="D15" s="89" t="s">
        <v>793</v>
      </c>
      <c r="E15" s="26"/>
      <c r="F15" s="26"/>
      <c r="G15" s="35" t="s">
        <v>938</v>
      </c>
      <c r="H15" s="35" t="s">
        <v>939</v>
      </c>
      <c r="I15" s="93" t="s">
        <v>940</v>
      </c>
      <c r="J15" s="26"/>
    </row>
    <row r="16" spans="1:10">
      <c r="A16" s="2" t="s">
        <v>941</v>
      </c>
      <c r="B16" s="28">
        <v>35000</v>
      </c>
      <c r="C16" s="29">
        <v>65</v>
      </c>
      <c r="D16" s="2"/>
      <c r="E16" s="26"/>
      <c r="F16" s="26"/>
      <c r="G16" s="35" t="s">
        <v>942</v>
      </c>
      <c r="H16" s="36">
        <v>43161</v>
      </c>
      <c r="I16" s="35"/>
      <c r="J16" s="26"/>
    </row>
    <row r="17" spans="1:10">
      <c r="A17" s="2" t="s">
        <v>943</v>
      </c>
      <c r="B17" s="28">
        <v>42000</v>
      </c>
      <c r="C17" s="29">
        <v>24</v>
      </c>
      <c r="D17" s="2"/>
      <c r="E17" s="26"/>
      <c r="F17" s="26"/>
      <c r="G17" s="35" t="s">
        <v>942</v>
      </c>
      <c r="H17" s="36">
        <v>43893</v>
      </c>
      <c r="I17" s="35"/>
      <c r="J17" s="26"/>
    </row>
    <row r="18" spans="1:10">
      <c r="A18" s="2" t="s">
        <v>944</v>
      </c>
      <c r="B18" s="28">
        <v>31500</v>
      </c>
      <c r="C18" s="29">
        <v>22</v>
      </c>
      <c r="D18" s="2"/>
      <c r="E18" s="26"/>
      <c r="F18" s="26"/>
      <c r="G18" s="35" t="s">
        <v>945</v>
      </c>
      <c r="H18" s="36">
        <v>43161</v>
      </c>
      <c r="I18" s="35"/>
      <c r="J18" s="26"/>
    </row>
    <row r="19" spans="1:10">
      <c r="A19" s="2" t="s">
        <v>946</v>
      </c>
      <c r="B19" s="28">
        <v>28000</v>
      </c>
      <c r="C19" s="29">
        <v>28</v>
      </c>
      <c r="D19" s="2"/>
      <c r="E19" s="26"/>
      <c r="F19" s="26"/>
      <c r="G19" s="35" t="s">
        <v>945</v>
      </c>
      <c r="H19" s="36">
        <v>43892</v>
      </c>
      <c r="I19" s="35"/>
      <c r="J19" s="26"/>
    </row>
    <row r="20" spans="1:10">
      <c r="A20" s="2" t="s">
        <v>947</v>
      </c>
      <c r="B20" s="28">
        <v>30000</v>
      </c>
      <c r="C20" s="29">
        <v>19</v>
      </c>
      <c r="D20" s="2"/>
      <c r="E20" s="26"/>
      <c r="F20" s="26"/>
      <c r="G20" s="35" t="s">
        <v>948</v>
      </c>
      <c r="H20" s="36">
        <v>42796</v>
      </c>
      <c r="I20" s="35"/>
      <c r="J20" s="26"/>
    </row>
    <row r="21" spans="1:10">
      <c r="A21" s="2" t="s">
        <v>949</v>
      </c>
      <c r="B21" s="28">
        <v>40000</v>
      </c>
      <c r="C21" s="29">
        <v>43</v>
      </c>
      <c r="D21" s="2"/>
      <c r="E21" s="26"/>
      <c r="F21" s="26"/>
      <c r="G21" s="35" t="s">
        <v>948</v>
      </c>
      <c r="H21" s="36">
        <v>43526</v>
      </c>
      <c r="I21" s="35"/>
      <c r="J21" s="26"/>
    </row>
    <row r="22" spans="1:10">
      <c r="A22" s="2" t="s">
        <v>950</v>
      </c>
      <c r="B22" s="28">
        <v>29500</v>
      </c>
      <c r="C22" s="29">
        <v>33</v>
      </c>
      <c r="D22" s="2"/>
      <c r="E22" s="26"/>
      <c r="F22" s="26"/>
      <c r="G22" s="35" t="s">
        <v>951</v>
      </c>
      <c r="H22" s="36">
        <v>42431</v>
      </c>
      <c r="I22" s="35"/>
      <c r="J22" s="26"/>
    </row>
    <row r="23" spans="1:10">
      <c r="A23" s="2" t="s">
        <v>952</v>
      </c>
      <c r="B23" s="28">
        <v>37000</v>
      </c>
      <c r="C23" s="29">
        <v>27</v>
      </c>
      <c r="D23" s="2"/>
      <c r="E23" s="26"/>
      <c r="F23" s="26"/>
      <c r="G23" s="35" t="s">
        <v>951</v>
      </c>
      <c r="H23" s="36">
        <v>43526</v>
      </c>
      <c r="I23" s="35"/>
      <c r="J23" s="26"/>
    </row>
    <row r="24" spans="1:10">
      <c r="A24" s="26"/>
      <c r="B24" s="26"/>
      <c r="C24" s="26"/>
      <c r="D24" s="26"/>
      <c r="E24" s="26"/>
      <c r="F24" s="26"/>
      <c r="G24" s="26"/>
      <c r="H24" s="26"/>
      <c r="I24" s="26"/>
      <c r="J24" s="26"/>
    </row>
    <row r="25" spans="1:10">
      <c r="A25" s="26" t="s">
        <v>953</v>
      </c>
      <c r="B25" s="82" t="s">
        <v>954</v>
      </c>
      <c r="C25" s="83"/>
      <c r="D25" s="83"/>
      <c r="E25" s="26"/>
      <c r="F25" s="26"/>
      <c r="G25" s="26" t="s">
        <v>955</v>
      </c>
      <c r="H25" s="7"/>
      <c r="I25" s="7"/>
      <c r="J25" s="7"/>
    </row>
    <row r="26" spans="1:10">
      <c r="A26" s="1" t="s">
        <v>956</v>
      </c>
      <c r="B26" s="1" t="s">
        <v>957</v>
      </c>
      <c r="C26" s="1" t="s">
        <v>958</v>
      </c>
      <c r="D26" s="96" t="s">
        <v>959</v>
      </c>
      <c r="E26" s="26"/>
      <c r="F26" s="26"/>
      <c r="G26" s="53" t="s">
        <v>960</v>
      </c>
      <c r="H26" s="53" t="s">
        <v>961</v>
      </c>
      <c r="I26" s="53" t="s">
        <v>962</v>
      </c>
      <c r="J26" s="95" t="s">
        <v>963</v>
      </c>
    </row>
    <row r="27" spans="1:10">
      <c r="A27" s="1" t="s">
        <v>964</v>
      </c>
      <c r="B27" s="249">
        <v>45241</v>
      </c>
      <c r="C27" s="1" t="s">
        <v>965</v>
      </c>
      <c r="D27" s="1"/>
      <c r="E27" s="26"/>
      <c r="F27" s="26"/>
      <c r="G27" s="84" t="s">
        <v>966</v>
      </c>
      <c r="H27" s="53" t="s">
        <v>967</v>
      </c>
      <c r="I27" s="2">
        <v>2019</v>
      </c>
      <c r="J27" s="53"/>
    </row>
    <row r="28" spans="1:10">
      <c r="A28" s="1" t="s">
        <v>968</v>
      </c>
      <c r="B28" s="249">
        <v>45168</v>
      </c>
      <c r="C28" s="1" t="s">
        <v>969</v>
      </c>
      <c r="D28" s="1"/>
      <c r="E28" s="26"/>
      <c r="F28" s="26"/>
      <c r="G28" s="84" t="s">
        <v>970</v>
      </c>
      <c r="H28" s="53" t="s">
        <v>971</v>
      </c>
      <c r="I28" s="2">
        <v>2020</v>
      </c>
      <c r="J28" s="53"/>
    </row>
    <row r="29" spans="1:10">
      <c r="A29" s="1" t="s">
        <v>972</v>
      </c>
      <c r="B29" s="249">
        <v>45290</v>
      </c>
      <c r="C29" s="1" t="s">
        <v>973</v>
      </c>
      <c r="D29" s="1"/>
      <c r="E29" s="26"/>
      <c r="F29" s="26"/>
      <c r="G29" s="84" t="s">
        <v>974</v>
      </c>
      <c r="H29" s="53" t="s">
        <v>975</v>
      </c>
      <c r="I29" s="2">
        <v>2018</v>
      </c>
      <c r="J29" s="53"/>
    </row>
    <row r="30" spans="1:10">
      <c r="A30" s="1" t="s">
        <v>976</v>
      </c>
      <c r="B30" s="249">
        <v>45214</v>
      </c>
      <c r="C30" s="1" t="s">
        <v>977</v>
      </c>
      <c r="D30" s="1"/>
      <c r="E30" s="26"/>
      <c r="F30" s="26"/>
      <c r="G30" s="84" t="s">
        <v>978</v>
      </c>
      <c r="H30" s="53" t="s">
        <v>979</v>
      </c>
      <c r="I30" s="2">
        <v>2019</v>
      </c>
      <c r="J30" s="53"/>
    </row>
    <row r="31" spans="1:10">
      <c r="A31" s="1" t="s">
        <v>980</v>
      </c>
      <c r="B31" s="249">
        <v>45252</v>
      </c>
      <c r="C31" s="1" t="s">
        <v>981</v>
      </c>
      <c r="D31" s="1"/>
      <c r="E31" s="26"/>
      <c r="F31" s="26"/>
      <c r="G31" s="84" t="s">
        <v>982</v>
      </c>
      <c r="H31" s="53" t="s">
        <v>983</v>
      </c>
      <c r="I31" s="2">
        <v>2020</v>
      </c>
      <c r="J31" s="53"/>
    </row>
    <row r="32" spans="1:10">
      <c r="A32" s="1" t="s">
        <v>984</v>
      </c>
      <c r="B32" s="249">
        <v>45270</v>
      </c>
      <c r="C32" s="1" t="s">
        <v>985</v>
      </c>
      <c r="D32" s="1"/>
      <c r="E32" s="26"/>
      <c r="F32" s="26"/>
      <c r="G32" s="84" t="s">
        <v>986</v>
      </c>
      <c r="H32" s="53" t="s">
        <v>987</v>
      </c>
      <c r="I32" s="2">
        <v>2017</v>
      </c>
      <c r="J32" s="53"/>
    </row>
    <row r="33" spans="1:10">
      <c r="A33" s="1" t="s">
        <v>988</v>
      </c>
      <c r="B33" s="249">
        <v>45172</v>
      </c>
      <c r="C33" s="1" t="s">
        <v>989</v>
      </c>
      <c r="D33" s="1"/>
      <c r="E33" s="26"/>
      <c r="F33" s="26"/>
      <c r="G33" s="84" t="s">
        <v>990</v>
      </c>
      <c r="H33" s="53" t="s">
        <v>991</v>
      </c>
      <c r="I33" s="2">
        <v>2018</v>
      </c>
      <c r="J33" s="53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33"/>
  <sheetViews>
    <sheetView workbookViewId="0"/>
  </sheetViews>
  <sheetFormatPr defaultRowHeight="17"/>
  <cols>
    <col min="2" max="2" width="14.58203125" bestFit="1" customWidth="1"/>
    <col min="5" max="5" width="15" customWidth="1"/>
    <col min="6" max="6" width="1.58203125" customWidth="1"/>
    <col min="7" max="7" width="15" bestFit="1" customWidth="1"/>
    <col min="8" max="8" width="18.83203125" bestFit="1" customWidth="1"/>
    <col min="9" max="9" width="16.83203125" customWidth="1"/>
    <col min="10" max="10" width="19.25" bestFit="1" customWidth="1"/>
  </cols>
  <sheetData>
    <row r="1" spans="1:10">
      <c r="A1" s="26" t="s">
        <v>65</v>
      </c>
      <c r="B1" s="27" t="s">
        <v>877</v>
      </c>
      <c r="C1" s="26"/>
      <c r="D1" s="26"/>
      <c r="E1" s="26"/>
      <c r="F1" s="26"/>
      <c r="G1" s="26" t="s">
        <v>67</v>
      </c>
      <c r="H1" s="27" t="s">
        <v>878</v>
      </c>
      <c r="I1" s="26"/>
      <c r="J1" s="26"/>
    </row>
    <row r="2" spans="1:10">
      <c r="A2" s="85" t="s">
        <v>879</v>
      </c>
      <c r="B2" s="85" t="s">
        <v>880</v>
      </c>
      <c r="C2" s="85" t="s">
        <v>490</v>
      </c>
      <c r="D2" s="85" t="s">
        <v>882</v>
      </c>
      <c r="E2" s="90" t="s">
        <v>883</v>
      </c>
      <c r="F2" s="26"/>
      <c r="G2" s="85" t="s">
        <v>177</v>
      </c>
      <c r="H2" s="85" t="s">
        <v>175</v>
      </c>
      <c r="I2" s="90" t="s">
        <v>886</v>
      </c>
      <c r="J2" s="85" t="s">
        <v>887</v>
      </c>
    </row>
    <row r="3" spans="1:10">
      <c r="A3" s="85">
        <v>1</v>
      </c>
      <c r="B3" s="85">
        <v>45</v>
      </c>
      <c r="C3" s="85" t="s">
        <v>888</v>
      </c>
      <c r="D3" s="85" t="s">
        <v>889</v>
      </c>
      <c r="E3" s="97" t="str">
        <f>PROPER(D3)&amp;"("&amp;UPPER(C3)&amp;")"</f>
        <v>Kimkh(EAGLES)</v>
      </c>
      <c r="F3" s="26"/>
      <c r="G3" s="85" t="s">
        <v>890</v>
      </c>
      <c r="H3" s="85" t="s">
        <v>720</v>
      </c>
      <c r="I3" s="97" t="str">
        <f>MID(J3,1,SEARCH("@",J3,1)-1)</f>
        <v>love99</v>
      </c>
      <c r="J3" s="85" t="s">
        <v>892</v>
      </c>
    </row>
    <row r="4" spans="1:10">
      <c r="A4" s="85">
        <v>2</v>
      </c>
      <c r="B4" s="85">
        <v>43</v>
      </c>
      <c r="C4" s="85" t="s">
        <v>893</v>
      </c>
      <c r="D4" s="85" t="s">
        <v>894</v>
      </c>
      <c r="E4" s="97" t="str">
        <f t="shared" ref="E4:E12" si="0">PROPER(D4)&amp;"("&amp;UPPER(C4)&amp;")"</f>
        <v>Leesy(HEROES)</v>
      </c>
      <c r="F4" s="26"/>
      <c r="G4" s="85" t="s">
        <v>895</v>
      </c>
      <c r="H4" s="85" t="s">
        <v>896</v>
      </c>
      <c r="I4" s="97" t="str">
        <f t="shared" ref="I4:I11" si="1">MID(J4,1,SEARCH("@",J4,1)-1)</f>
        <v>muakiea</v>
      </c>
      <c r="J4" s="85" t="s">
        <v>897</v>
      </c>
    </row>
    <row r="5" spans="1:10">
      <c r="A5" s="85">
        <v>3</v>
      </c>
      <c r="B5" s="85">
        <v>40</v>
      </c>
      <c r="C5" s="85" t="s">
        <v>898</v>
      </c>
      <c r="D5" s="85" t="s">
        <v>899</v>
      </c>
      <c r="E5" s="97" t="str">
        <f t="shared" si="0"/>
        <v>Parkjm(LIONS)</v>
      </c>
      <c r="F5" s="26"/>
      <c r="G5" s="85" t="s">
        <v>900</v>
      </c>
      <c r="H5" s="85" t="s">
        <v>842</v>
      </c>
      <c r="I5" s="97" t="str">
        <f t="shared" si="1"/>
        <v>starcmk</v>
      </c>
      <c r="J5" s="85" t="s">
        <v>902</v>
      </c>
    </row>
    <row r="6" spans="1:10">
      <c r="A6" s="85">
        <v>4</v>
      </c>
      <c r="B6" s="85">
        <v>39</v>
      </c>
      <c r="C6" s="85" t="s">
        <v>903</v>
      </c>
      <c r="D6" s="85" t="s">
        <v>904</v>
      </c>
      <c r="E6" s="97" t="str">
        <f t="shared" si="0"/>
        <v>Kimjk(BEARS)</v>
      </c>
      <c r="F6" s="26"/>
      <c r="G6" s="85" t="s">
        <v>905</v>
      </c>
      <c r="H6" s="85" t="s">
        <v>722</v>
      </c>
      <c r="I6" s="97" t="str">
        <f t="shared" si="1"/>
        <v>99023</v>
      </c>
      <c r="J6" s="85" t="s">
        <v>907</v>
      </c>
    </row>
    <row r="7" spans="1:10">
      <c r="A7" s="85">
        <v>5</v>
      </c>
      <c r="B7" s="85">
        <v>34</v>
      </c>
      <c r="C7" s="85" t="s">
        <v>908</v>
      </c>
      <c r="D7" s="85" t="s">
        <v>909</v>
      </c>
      <c r="E7" s="97" t="str">
        <f t="shared" si="0"/>
        <v>Yoonbw(KTWIZ)</v>
      </c>
      <c r="F7" s="26"/>
      <c r="G7" s="85" t="s">
        <v>910</v>
      </c>
      <c r="H7" s="85" t="s">
        <v>849</v>
      </c>
      <c r="I7" s="97" t="str">
        <f t="shared" si="1"/>
        <v>yses</v>
      </c>
      <c r="J7" s="85" t="s">
        <v>911</v>
      </c>
    </row>
    <row r="8" spans="1:10">
      <c r="A8" s="85">
        <v>6</v>
      </c>
      <c r="B8" s="85">
        <v>32</v>
      </c>
      <c r="C8" s="85" t="s">
        <v>912</v>
      </c>
      <c r="D8" s="85" t="s">
        <v>913</v>
      </c>
      <c r="E8" s="97" t="str">
        <f t="shared" si="0"/>
        <v>Ohsh(TIGERS)</v>
      </c>
      <c r="F8" s="26"/>
      <c r="G8" s="85" t="s">
        <v>914</v>
      </c>
      <c r="H8" s="85" t="s">
        <v>915</v>
      </c>
      <c r="I8" s="97" t="str">
        <f t="shared" si="1"/>
        <v>newlive</v>
      </c>
      <c r="J8" s="85" t="s">
        <v>916</v>
      </c>
    </row>
    <row r="9" spans="1:10">
      <c r="A9" s="85">
        <v>7</v>
      </c>
      <c r="B9" s="85">
        <v>30</v>
      </c>
      <c r="C9" s="85" t="s">
        <v>917</v>
      </c>
      <c r="D9" s="85" t="s">
        <v>918</v>
      </c>
      <c r="E9" s="97" t="str">
        <f t="shared" si="0"/>
        <v>Songhm(TWINS)</v>
      </c>
      <c r="F9" s="26"/>
      <c r="G9" s="85" t="s">
        <v>919</v>
      </c>
      <c r="H9" s="85" t="s">
        <v>829</v>
      </c>
      <c r="I9" s="97" t="str">
        <f t="shared" si="1"/>
        <v>0908ar</v>
      </c>
      <c r="J9" s="85" t="s">
        <v>920</v>
      </c>
    </row>
    <row r="10" spans="1:10">
      <c r="A10" s="85">
        <v>8</v>
      </c>
      <c r="B10" s="85">
        <v>29</v>
      </c>
      <c r="C10" s="85" t="s">
        <v>921</v>
      </c>
      <c r="D10" s="85" t="s">
        <v>922</v>
      </c>
      <c r="E10" s="97" t="str">
        <f t="shared" si="0"/>
        <v>Jangjb(DINOS)</v>
      </c>
      <c r="F10" s="26"/>
      <c r="G10" s="85" t="s">
        <v>923</v>
      </c>
      <c r="H10" s="85" t="s">
        <v>924</v>
      </c>
      <c r="I10" s="97" t="str">
        <f t="shared" si="1"/>
        <v>tenhour</v>
      </c>
      <c r="J10" s="85" t="s">
        <v>925</v>
      </c>
    </row>
    <row r="11" spans="1:10">
      <c r="A11" s="85">
        <v>9</v>
      </c>
      <c r="B11" s="85">
        <v>27</v>
      </c>
      <c r="C11" s="85" t="s">
        <v>926</v>
      </c>
      <c r="D11" s="85" t="s">
        <v>927</v>
      </c>
      <c r="E11" s="97" t="str">
        <f t="shared" si="0"/>
        <v>Haneh(GIANTS)</v>
      </c>
      <c r="F11" s="26"/>
      <c r="G11" s="85" t="s">
        <v>928</v>
      </c>
      <c r="H11" s="85" t="s">
        <v>846</v>
      </c>
      <c r="I11" s="97" t="str">
        <f t="shared" si="1"/>
        <v>kji1004</v>
      </c>
      <c r="J11" s="85" t="s">
        <v>930</v>
      </c>
    </row>
    <row r="12" spans="1:10">
      <c r="A12" s="85">
        <v>10</v>
      </c>
      <c r="B12" s="85">
        <v>26</v>
      </c>
      <c r="C12" s="85" t="s">
        <v>931</v>
      </c>
      <c r="D12" s="85" t="s">
        <v>932</v>
      </c>
      <c r="E12" s="97" t="str">
        <f t="shared" si="0"/>
        <v>Jinch(WYVERNS)</v>
      </c>
      <c r="F12" s="26"/>
      <c r="G12" s="26"/>
      <c r="H12" s="26"/>
      <c r="I12" s="26"/>
      <c r="J12" s="26"/>
    </row>
    <row r="13" spans="1:10">
      <c r="A13" s="26"/>
      <c r="B13" s="26"/>
      <c r="C13" s="26"/>
      <c r="D13" s="26"/>
      <c r="E13" s="26"/>
      <c r="F13" s="26"/>
      <c r="G13" s="26"/>
      <c r="H13" s="26"/>
      <c r="I13" s="26"/>
      <c r="J13" s="26"/>
    </row>
    <row r="14" spans="1:10">
      <c r="A14" s="26" t="s">
        <v>112</v>
      </c>
      <c r="B14" s="27" t="s">
        <v>622</v>
      </c>
      <c r="C14" s="26"/>
      <c r="D14" s="26"/>
      <c r="E14" s="26"/>
      <c r="F14" s="26"/>
      <c r="G14" s="26" t="s">
        <v>114</v>
      </c>
      <c r="H14" s="26"/>
      <c r="I14" s="26"/>
      <c r="J14" s="26"/>
    </row>
    <row r="15" spans="1:10">
      <c r="A15" s="85" t="s">
        <v>120</v>
      </c>
      <c r="B15" s="85" t="s">
        <v>123</v>
      </c>
      <c r="C15" s="85" t="s">
        <v>76</v>
      </c>
      <c r="D15" s="90" t="s">
        <v>69</v>
      </c>
      <c r="E15" s="26"/>
      <c r="F15" s="26"/>
      <c r="G15" s="35" t="s">
        <v>318</v>
      </c>
      <c r="H15" s="35" t="s">
        <v>939</v>
      </c>
      <c r="I15" s="93" t="s">
        <v>940</v>
      </c>
      <c r="J15" s="26"/>
    </row>
    <row r="16" spans="1:10">
      <c r="A16" s="85" t="s">
        <v>941</v>
      </c>
      <c r="B16" s="28">
        <v>35000</v>
      </c>
      <c r="C16" s="87">
        <v>65</v>
      </c>
      <c r="D16" s="97" t="str">
        <f>IF(RIGHT(A16,1)="M","남성용",IF(RIGHT(A16,1)="W","여성용","아웃도어"))</f>
        <v>남성용</v>
      </c>
      <c r="E16" s="26"/>
      <c r="F16" s="26"/>
      <c r="G16" s="35" t="s">
        <v>942</v>
      </c>
      <c r="H16" s="36">
        <v>43161</v>
      </c>
      <c r="I16" s="107" t="str">
        <f>LOWER(LEFT(G16,3)&amp;YEAR(H16))</f>
        <v>hea2018</v>
      </c>
      <c r="J16" s="26"/>
    </row>
    <row r="17" spans="1:10">
      <c r="A17" s="85" t="s">
        <v>943</v>
      </c>
      <c r="B17" s="28">
        <v>42000</v>
      </c>
      <c r="C17" s="87">
        <v>24</v>
      </c>
      <c r="D17" s="97" t="str">
        <f t="shared" ref="D17:D23" si="2">IF(RIGHT(A17,1)="M","남성용",IF(RIGHT(A17,1)="W","여성용","아웃도어"))</f>
        <v>여성용</v>
      </c>
      <c r="E17" s="26"/>
      <c r="F17" s="26"/>
      <c r="G17" s="35" t="s">
        <v>942</v>
      </c>
      <c r="H17" s="36">
        <v>43893</v>
      </c>
      <c r="I17" s="107" t="str">
        <f t="shared" ref="I17:I23" si="3">LOWER(LEFT(G17,3)&amp;YEAR(H17))</f>
        <v>hea2020</v>
      </c>
      <c r="J17" s="26"/>
    </row>
    <row r="18" spans="1:10">
      <c r="A18" s="85" t="s">
        <v>944</v>
      </c>
      <c r="B18" s="28">
        <v>31500</v>
      </c>
      <c r="C18" s="87">
        <v>22</v>
      </c>
      <c r="D18" s="97" t="str">
        <f t="shared" si="2"/>
        <v>여성용</v>
      </c>
      <c r="E18" s="26"/>
      <c r="F18" s="26"/>
      <c r="G18" s="35" t="s">
        <v>945</v>
      </c>
      <c r="H18" s="36">
        <v>43161</v>
      </c>
      <c r="I18" s="107" t="str">
        <f t="shared" si="3"/>
        <v>com2018</v>
      </c>
      <c r="J18" s="26"/>
    </row>
    <row r="19" spans="1:10">
      <c r="A19" s="85" t="s">
        <v>946</v>
      </c>
      <c r="B19" s="28">
        <v>28000</v>
      </c>
      <c r="C19" s="87">
        <v>28</v>
      </c>
      <c r="D19" s="97" t="str">
        <f t="shared" si="2"/>
        <v>남성용</v>
      </c>
      <c r="E19" s="26"/>
      <c r="F19" s="26"/>
      <c r="G19" s="35" t="s">
        <v>945</v>
      </c>
      <c r="H19" s="36">
        <v>43892</v>
      </c>
      <c r="I19" s="107" t="str">
        <f t="shared" si="3"/>
        <v>com2020</v>
      </c>
      <c r="J19" s="26"/>
    </row>
    <row r="20" spans="1:10">
      <c r="A20" s="85" t="s">
        <v>947</v>
      </c>
      <c r="B20" s="28">
        <v>30000</v>
      </c>
      <c r="C20" s="87">
        <v>19</v>
      </c>
      <c r="D20" s="97" t="str">
        <f t="shared" si="2"/>
        <v>여성용</v>
      </c>
      <c r="E20" s="26"/>
      <c r="F20" s="26"/>
      <c r="G20" s="35" t="s">
        <v>948</v>
      </c>
      <c r="H20" s="36">
        <v>42796</v>
      </c>
      <c r="I20" s="107" t="str">
        <f t="shared" si="3"/>
        <v>des2017</v>
      </c>
      <c r="J20" s="26"/>
    </row>
    <row r="21" spans="1:10">
      <c r="A21" s="85" t="s">
        <v>949</v>
      </c>
      <c r="B21" s="28">
        <v>40000</v>
      </c>
      <c r="C21" s="87">
        <v>43</v>
      </c>
      <c r="D21" s="97" t="str">
        <f t="shared" si="2"/>
        <v>남성용</v>
      </c>
      <c r="E21" s="26"/>
      <c r="F21" s="26"/>
      <c r="G21" s="35" t="s">
        <v>948</v>
      </c>
      <c r="H21" s="36">
        <v>43526</v>
      </c>
      <c r="I21" s="107" t="str">
        <f t="shared" si="3"/>
        <v>des2019</v>
      </c>
      <c r="J21" s="26"/>
    </row>
    <row r="22" spans="1:10">
      <c r="A22" s="85" t="s">
        <v>950</v>
      </c>
      <c r="B22" s="28">
        <v>29500</v>
      </c>
      <c r="C22" s="87">
        <v>33</v>
      </c>
      <c r="D22" s="97" t="str">
        <f t="shared" si="2"/>
        <v>아웃도어</v>
      </c>
      <c r="E22" s="26"/>
      <c r="F22" s="26"/>
      <c r="G22" s="35" t="s">
        <v>951</v>
      </c>
      <c r="H22" s="36">
        <v>42431</v>
      </c>
      <c r="I22" s="107" t="str">
        <f t="shared" si="3"/>
        <v>art2016</v>
      </c>
      <c r="J22" s="26"/>
    </row>
    <row r="23" spans="1:10">
      <c r="A23" s="85" t="s">
        <v>952</v>
      </c>
      <c r="B23" s="28">
        <v>37000</v>
      </c>
      <c r="C23" s="87">
        <v>27</v>
      </c>
      <c r="D23" s="97" t="str">
        <f t="shared" si="2"/>
        <v>아웃도어</v>
      </c>
      <c r="E23" s="26"/>
      <c r="F23" s="26"/>
      <c r="G23" s="35" t="s">
        <v>951</v>
      </c>
      <c r="H23" s="36">
        <v>43526</v>
      </c>
      <c r="I23" s="107" t="str">
        <f t="shared" si="3"/>
        <v>art2019</v>
      </c>
      <c r="J23" s="26"/>
    </row>
    <row r="24" spans="1:10">
      <c r="A24" s="26"/>
      <c r="B24" s="26"/>
      <c r="C24" s="26"/>
      <c r="D24" s="26"/>
      <c r="E24" s="26"/>
      <c r="F24" s="26"/>
      <c r="G24" s="26"/>
      <c r="H24" s="26"/>
      <c r="I24" s="26"/>
      <c r="J24" s="26"/>
    </row>
    <row r="25" spans="1:10">
      <c r="A25" s="26" t="s">
        <v>169</v>
      </c>
      <c r="B25" s="82" t="s">
        <v>954</v>
      </c>
      <c r="C25" s="83"/>
      <c r="D25" s="83"/>
      <c r="E25" s="26"/>
      <c r="F25" s="26"/>
      <c r="G25" s="26" t="s">
        <v>171</v>
      </c>
      <c r="H25" s="7"/>
      <c r="I25" s="7"/>
      <c r="J25" s="7"/>
    </row>
    <row r="26" spans="1:10">
      <c r="A26" s="1" t="s">
        <v>956</v>
      </c>
      <c r="B26" s="1" t="s">
        <v>957</v>
      </c>
      <c r="C26" s="1" t="s">
        <v>958</v>
      </c>
      <c r="D26" s="96" t="s">
        <v>959</v>
      </c>
      <c r="E26" s="26"/>
      <c r="F26" s="26"/>
      <c r="G26" s="88" t="s">
        <v>960</v>
      </c>
      <c r="H26" s="88" t="s">
        <v>961</v>
      </c>
      <c r="I26" s="88" t="s">
        <v>962</v>
      </c>
      <c r="J26" s="95" t="s">
        <v>963</v>
      </c>
    </row>
    <row r="27" spans="1:10">
      <c r="A27" s="1" t="s">
        <v>964</v>
      </c>
      <c r="B27" s="249">
        <v>45241</v>
      </c>
      <c r="C27" s="1" t="s">
        <v>965</v>
      </c>
      <c r="D27" s="109" t="str">
        <f>UPPER(A27) &amp; "-" &amp; MONTH(B27) &amp; "-" &amp; UPPER(C27)</f>
        <v>AG-11-W</v>
      </c>
      <c r="E27" s="26"/>
      <c r="F27" s="26"/>
      <c r="G27" s="84" t="s">
        <v>966</v>
      </c>
      <c r="H27" s="88" t="s">
        <v>967</v>
      </c>
      <c r="I27" s="85">
        <v>2019</v>
      </c>
      <c r="J27" s="103" t="str">
        <f>UPPER(TRIM(G27))&amp;"-KR"</f>
        <v>MNG-002-KR</v>
      </c>
    </row>
    <row r="28" spans="1:10">
      <c r="A28" s="1" t="s">
        <v>968</v>
      </c>
      <c r="B28" s="249">
        <v>45168</v>
      </c>
      <c r="C28" s="1" t="s">
        <v>969</v>
      </c>
      <c r="D28" s="109" t="str">
        <f t="shared" ref="D28:D33" si="4">UPPER(A28) &amp; "-" &amp; MONTH(B28) &amp; "-" &amp; UPPER(C28)</f>
        <v>RF-8-E</v>
      </c>
      <c r="E28" s="26"/>
      <c r="F28" s="26"/>
      <c r="G28" s="84" t="s">
        <v>970</v>
      </c>
      <c r="H28" s="88" t="s">
        <v>971</v>
      </c>
      <c r="I28" s="85">
        <v>2020</v>
      </c>
      <c r="J28" s="103" t="str">
        <f t="shared" ref="J28:J33" si="5">UPPER(TRIM(G28))&amp;"-KR"</f>
        <v>PSY-523-KR</v>
      </c>
    </row>
    <row r="29" spans="1:10">
      <c r="A29" s="1" t="s">
        <v>972</v>
      </c>
      <c r="B29" s="249">
        <v>45290</v>
      </c>
      <c r="C29" s="1" t="s">
        <v>973</v>
      </c>
      <c r="D29" s="109" t="str">
        <f t="shared" si="4"/>
        <v>DK-12-F</v>
      </c>
      <c r="E29" s="26"/>
      <c r="F29" s="26"/>
      <c r="G29" s="84" t="s">
        <v>974</v>
      </c>
      <c r="H29" s="88" t="s">
        <v>975</v>
      </c>
      <c r="I29" s="85">
        <v>2018</v>
      </c>
      <c r="J29" s="103" t="str">
        <f t="shared" si="5"/>
        <v>MNG-091-KR</v>
      </c>
    </row>
    <row r="30" spans="1:10">
      <c r="A30" s="1" t="s">
        <v>976</v>
      </c>
      <c r="B30" s="249">
        <v>45214</v>
      </c>
      <c r="C30" s="1" t="s">
        <v>977</v>
      </c>
      <c r="D30" s="109" t="str">
        <f t="shared" si="4"/>
        <v>IK-10-D</v>
      </c>
      <c r="E30" s="26"/>
      <c r="F30" s="26"/>
      <c r="G30" s="84" t="s">
        <v>978</v>
      </c>
      <c r="H30" s="88" t="s">
        <v>979</v>
      </c>
      <c r="I30" s="85">
        <v>2019</v>
      </c>
      <c r="J30" s="103" t="str">
        <f t="shared" si="5"/>
        <v>PSY-725-KR</v>
      </c>
    </row>
    <row r="31" spans="1:10">
      <c r="A31" s="1" t="s">
        <v>980</v>
      </c>
      <c r="B31" s="249">
        <v>45252</v>
      </c>
      <c r="C31" s="1" t="s">
        <v>969</v>
      </c>
      <c r="D31" s="109" t="str">
        <f t="shared" si="4"/>
        <v>WD-11-E</v>
      </c>
      <c r="E31" s="26"/>
      <c r="F31" s="26"/>
      <c r="G31" s="84" t="s">
        <v>982</v>
      </c>
      <c r="H31" s="88" t="s">
        <v>983</v>
      </c>
      <c r="I31" s="85">
        <v>2020</v>
      </c>
      <c r="J31" s="103" t="str">
        <f t="shared" si="5"/>
        <v>NOV-264-KR</v>
      </c>
    </row>
    <row r="32" spans="1:10">
      <c r="A32" s="1" t="s">
        <v>984</v>
      </c>
      <c r="B32" s="249">
        <v>45270</v>
      </c>
      <c r="C32" s="1" t="s">
        <v>965</v>
      </c>
      <c r="D32" s="109" t="str">
        <f t="shared" si="4"/>
        <v>OD-12-W</v>
      </c>
      <c r="E32" s="26"/>
      <c r="F32" s="26"/>
      <c r="G32" s="84" t="s">
        <v>986</v>
      </c>
      <c r="H32" s="88" t="s">
        <v>987</v>
      </c>
      <c r="I32" s="85">
        <v>2017</v>
      </c>
      <c r="J32" s="103" t="str">
        <f t="shared" si="5"/>
        <v>LAN-183-KR</v>
      </c>
    </row>
    <row r="33" spans="1:10">
      <c r="A33" s="1" t="s">
        <v>988</v>
      </c>
      <c r="B33" s="249">
        <v>45172</v>
      </c>
      <c r="C33" s="1" t="s">
        <v>989</v>
      </c>
      <c r="D33" s="109" t="str">
        <f t="shared" si="4"/>
        <v>UF-9-H</v>
      </c>
      <c r="E33" s="26"/>
      <c r="F33" s="26"/>
      <c r="G33" s="84" t="s">
        <v>990</v>
      </c>
      <c r="H33" s="88" t="s">
        <v>971</v>
      </c>
      <c r="I33" s="85">
        <v>2018</v>
      </c>
      <c r="J33" s="103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30"/>
  <sheetViews>
    <sheetView workbookViewId="0"/>
  </sheetViews>
  <sheetFormatPr defaultRowHeight="17"/>
  <cols>
    <col min="2" max="2" width="9.9140625" bestFit="1" customWidth="1"/>
    <col min="3" max="3" width="1.58203125" customWidth="1"/>
    <col min="4" max="4" width="40.08203125" bestFit="1" customWidth="1"/>
    <col min="5" max="5" width="18" bestFit="1" customWidth="1"/>
    <col min="7" max="7" width="20.25" bestFit="1" customWidth="1"/>
    <col min="8" max="8" width="1.58203125" customWidth="1"/>
    <col min="9" max="9" width="13.33203125" bestFit="1" customWidth="1"/>
    <col min="10" max="10" width="19.75" bestFit="1" customWidth="1"/>
    <col min="11" max="11" width="1.58203125" customWidth="1"/>
    <col min="12" max="12" width="12.25" customWidth="1"/>
    <col min="13" max="13" width="13.1640625" bestFit="1" customWidth="1"/>
  </cols>
  <sheetData>
    <row r="1" spans="1:13">
      <c r="A1" t="s">
        <v>1379</v>
      </c>
      <c r="D1" t="s">
        <v>1380</v>
      </c>
      <c r="I1" t="s">
        <v>1381</v>
      </c>
      <c r="L1" s="115" t="s">
        <v>1382</v>
      </c>
      <c r="M1" s="115"/>
    </row>
    <row r="2" spans="1:13">
      <c r="A2" s="116" t="s">
        <v>1383</v>
      </c>
      <c r="B2" s="117" t="s">
        <v>1384</v>
      </c>
      <c r="D2" s="116" t="s">
        <v>1385</v>
      </c>
      <c r="E2" s="116" t="s">
        <v>1386</v>
      </c>
      <c r="F2" s="116" t="s">
        <v>1387</v>
      </c>
      <c r="G2" s="117" t="s">
        <v>1388</v>
      </c>
      <c r="I2" s="116" t="s">
        <v>1389</v>
      </c>
      <c r="J2" s="117" t="s">
        <v>1390</v>
      </c>
      <c r="L2" s="97" t="s">
        <v>1391</v>
      </c>
      <c r="M2" s="117" t="s">
        <v>1392</v>
      </c>
    </row>
    <row r="3" spans="1:13">
      <c r="A3" s="116" t="s">
        <v>1393</v>
      </c>
      <c r="B3" s="116"/>
      <c r="D3" s="151" t="s">
        <v>1423</v>
      </c>
      <c r="E3" s="151" t="s">
        <v>1424</v>
      </c>
      <c r="F3" s="150">
        <v>4050</v>
      </c>
      <c r="G3" s="116"/>
      <c r="I3" s="151" t="s">
        <v>1425</v>
      </c>
      <c r="J3" s="151"/>
      <c r="L3" s="97" t="s">
        <v>1426</v>
      </c>
      <c r="M3" s="97"/>
    </row>
    <row r="4" spans="1:13">
      <c r="A4" s="116" t="s">
        <v>1394</v>
      </c>
      <c r="B4" s="116"/>
      <c r="D4" s="151" t="s">
        <v>1427</v>
      </c>
      <c r="E4" s="151" t="s">
        <v>1428</v>
      </c>
      <c r="F4" s="150">
        <v>2025</v>
      </c>
      <c r="G4" s="116"/>
      <c r="I4" s="151" t="s">
        <v>1429</v>
      </c>
      <c r="J4" s="151"/>
      <c r="L4" s="97" t="s">
        <v>1430</v>
      </c>
      <c r="M4" s="97"/>
    </row>
    <row r="5" spans="1:13">
      <c r="A5" s="116" t="s">
        <v>1395</v>
      </c>
      <c r="B5" s="116"/>
      <c r="D5" s="153" t="s">
        <v>1431</v>
      </c>
      <c r="E5" s="151" t="s">
        <v>1432</v>
      </c>
      <c r="F5" s="150">
        <v>7935</v>
      </c>
      <c r="G5" s="116"/>
      <c r="I5" s="151" t="s">
        <v>1433</v>
      </c>
      <c r="J5" s="151"/>
      <c r="L5" s="97" t="s">
        <v>1434</v>
      </c>
      <c r="M5" s="97"/>
    </row>
    <row r="6" spans="1:13">
      <c r="A6" s="116" t="s">
        <v>1396</v>
      </c>
      <c r="B6" s="116"/>
      <c r="D6" s="151" t="s">
        <v>1435</v>
      </c>
      <c r="E6" s="151" t="s">
        <v>1436</v>
      </c>
      <c r="F6" s="150">
        <v>945</v>
      </c>
      <c r="G6" s="116"/>
      <c r="I6" s="151" t="s">
        <v>1437</v>
      </c>
      <c r="J6" s="151"/>
      <c r="L6" s="97" t="s">
        <v>1438</v>
      </c>
      <c r="M6" s="97"/>
    </row>
    <row r="7" spans="1:13">
      <c r="A7" s="116" t="s">
        <v>1397</v>
      </c>
      <c r="B7" s="116"/>
      <c r="D7" s="151" t="s">
        <v>1439</v>
      </c>
      <c r="E7" s="151" t="s">
        <v>1440</v>
      </c>
      <c r="F7" s="150">
        <v>6075</v>
      </c>
      <c r="G7" s="116"/>
      <c r="I7" s="151" t="s">
        <v>1441</v>
      </c>
      <c r="J7" s="151"/>
      <c r="L7" s="97" t="s">
        <v>1442</v>
      </c>
      <c r="M7" s="97"/>
    </row>
    <row r="8" spans="1:13">
      <c r="A8" s="116" t="s">
        <v>1398</v>
      </c>
      <c r="B8" s="116"/>
      <c r="D8" s="151" t="s">
        <v>1443</v>
      </c>
      <c r="E8" s="151" t="s">
        <v>1399</v>
      </c>
      <c r="F8" s="150">
        <v>7452</v>
      </c>
      <c r="G8" s="116"/>
      <c r="I8" s="151" t="s">
        <v>1444</v>
      </c>
      <c r="J8" s="151"/>
      <c r="L8" s="97" t="s">
        <v>1445</v>
      </c>
      <c r="M8" s="97"/>
    </row>
    <row r="9" spans="1:13">
      <c r="A9" s="116" t="s">
        <v>1400</v>
      </c>
      <c r="B9" s="116"/>
      <c r="D9" s="151" t="s">
        <v>1446</v>
      </c>
      <c r="E9" s="151" t="s">
        <v>1447</v>
      </c>
      <c r="F9" s="150">
        <v>3888</v>
      </c>
      <c r="G9" s="116"/>
      <c r="I9" s="151" t="s">
        <v>1448</v>
      </c>
      <c r="J9" s="151"/>
      <c r="L9" s="97" t="s">
        <v>1449</v>
      </c>
      <c r="M9" s="97"/>
    </row>
    <row r="10" spans="1:13">
      <c r="A10" s="116" t="s">
        <v>1401</v>
      </c>
      <c r="B10" s="116"/>
      <c r="D10" s="151" t="s">
        <v>1450</v>
      </c>
      <c r="E10" s="151" t="s">
        <v>1451</v>
      </c>
      <c r="F10" s="150">
        <v>1395</v>
      </c>
      <c r="G10" s="116"/>
      <c r="I10" s="151" t="s">
        <v>1452</v>
      </c>
      <c r="J10" s="151"/>
      <c r="L10" s="97" t="s">
        <v>1453</v>
      </c>
      <c r="M10" s="97"/>
    </row>
    <row r="11" spans="1:13">
      <c r="A11" s="116" t="s">
        <v>1402</v>
      </c>
      <c r="B11" s="116"/>
      <c r="D11" s="151" t="s">
        <v>1454</v>
      </c>
      <c r="E11" s="151" t="s">
        <v>1455</v>
      </c>
      <c r="F11" s="150">
        <v>8645</v>
      </c>
      <c r="G11" s="116"/>
      <c r="I11" s="151" t="s">
        <v>1456</v>
      </c>
      <c r="J11" s="151"/>
      <c r="L11" s="97" t="s">
        <v>1457</v>
      </c>
      <c r="M11" s="97"/>
    </row>
    <row r="12" spans="1:13">
      <c r="A12" s="116" t="s">
        <v>1403</v>
      </c>
      <c r="B12" s="116"/>
      <c r="D12" s="151" t="s">
        <v>1404</v>
      </c>
      <c r="E12" s="151" t="s">
        <v>1458</v>
      </c>
      <c r="F12" s="150">
        <v>7425</v>
      </c>
      <c r="G12" s="116"/>
      <c r="I12" s="151" t="s">
        <v>1459</v>
      </c>
      <c r="J12" s="151"/>
      <c r="L12" s="97" t="s">
        <v>1460</v>
      </c>
      <c r="M12" s="97"/>
    </row>
    <row r="13" spans="1:13">
      <c r="A13" s="116" t="s">
        <v>1405</v>
      </c>
      <c r="B13" s="116"/>
      <c r="D13" s="151" t="s">
        <v>1461</v>
      </c>
      <c r="E13" s="151" t="s">
        <v>1462</v>
      </c>
      <c r="F13" s="150">
        <v>4734</v>
      </c>
      <c r="G13" s="116"/>
      <c r="I13" s="151" t="s">
        <v>1463</v>
      </c>
      <c r="J13" s="151"/>
      <c r="L13" s="97" t="s">
        <v>1464</v>
      </c>
      <c r="M13" s="97"/>
    </row>
    <row r="14" spans="1:13">
      <c r="A14" s="116" t="s">
        <v>1406</v>
      </c>
      <c r="B14" s="116"/>
      <c r="D14" s="151" t="s">
        <v>1465</v>
      </c>
      <c r="E14" s="151" t="s">
        <v>1466</v>
      </c>
      <c r="F14" s="150">
        <v>1701</v>
      </c>
      <c r="G14" s="116"/>
      <c r="I14" s="151" t="s">
        <v>1467</v>
      </c>
      <c r="J14" s="151"/>
      <c r="L14" s="97" t="s">
        <v>1468</v>
      </c>
      <c r="M14" s="97"/>
    </row>
    <row r="15" spans="1:13">
      <c r="A15" s="116" t="s">
        <v>1407</v>
      </c>
      <c r="B15" s="116"/>
      <c r="D15" s="151" t="s">
        <v>1469</v>
      </c>
      <c r="E15" s="151" t="s">
        <v>1470</v>
      </c>
      <c r="F15" s="150">
        <v>9508</v>
      </c>
      <c r="G15" s="116"/>
      <c r="I15" s="151" t="s">
        <v>1471</v>
      </c>
      <c r="J15" s="151"/>
      <c r="L15" s="97" t="s">
        <v>1472</v>
      </c>
      <c r="M15" s="97"/>
    </row>
    <row r="16" spans="1:13">
      <c r="A16" s="116" t="s">
        <v>1408</v>
      </c>
      <c r="B16" s="116"/>
      <c r="D16" s="151" t="s">
        <v>1473</v>
      </c>
      <c r="E16" s="151" t="s">
        <v>1474</v>
      </c>
      <c r="F16" s="150">
        <v>4815</v>
      </c>
      <c r="G16" s="116"/>
      <c r="I16" s="151" t="s">
        <v>1475</v>
      </c>
      <c r="J16" s="151"/>
      <c r="L16" s="97" t="s">
        <v>1476</v>
      </c>
      <c r="M16" s="97"/>
    </row>
    <row r="17" spans="1:10">
      <c r="A17" s="116" t="s">
        <v>1409</v>
      </c>
      <c r="B17" s="116"/>
      <c r="D17" s="151" t="s">
        <v>1477</v>
      </c>
      <c r="E17" s="151" t="s">
        <v>1478</v>
      </c>
      <c r="F17" s="150">
        <v>5025</v>
      </c>
      <c r="G17" s="116"/>
      <c r="I17" s="151" t="s">
        <v>1479</v>
      </c>
      <c r="J17" s="151"/>
    </row>
    <row r="18" spans="1:10">
      <c r="A18" s="116" t="s">
        <v>1410</v>
      </c>
      <c r="B18" s="116"/>
      <c r="D18" s="151" t="s">
        <v>1480</v>
      </c>
      <c r="E18" s="151" t="s">
        <v>1481</v>
      </c>
      <c r="F18" s="150">
        <v>6926</v>
      </c>
      <c r="G18" s="116"/>
      <c r="I18" s="151" t="s">
        <v>1482</v>
      </c>
      <c r="J18" s="151"/>
    </row>
    <row r="19" spans="1:10">
      <c r="A19" s="116" t="s">
        <v>1411</v>
      </c>
      <c r="B19" s="116"/>
      <c r="D19" s="151" t="s">
        <v>1483</v>
      </c>
      <c r="E19" s="151" t="s">
        <v>1484</v>
      </c>
      <c r="F19" s="150">
        <v>8415</v>
      </c>
      <c r="G19" s="116"/>
      <c r="I19" s="151" t="s">
        <v>1485</v>
      </c>
      <c r="J19" s="151"/>
    </row>
    <row r="20" spans="1:10">
      <c r="A20" s="116" t="s">
        <v>1412</v>
      </c>
      <c r="B20" s="116"/>
      <c r="D20" s="151" t="s">
        <v>1486</v>
      </c>
      <c r="E20" s="151" t="s">
        <v>1487</v>
      </c>
      <c r="F20" s="150">
        <v>3159</v>
      </c>
      <c r="G20" s="116"/>
      <c r="I20" s="151" t="s">
        <v>1488</v>
      </c>
      <c r="J20" s="151"/>
    </row>
    <row r="21" spans="1:10">
      <c r="A21" s="116" t="s">
        <v>1413</v>
      </c>
      <c r="B21" s="116"/>
      <c r="D21" s="151" t="s">
        <v>1489</v>
      </c>
      <c r="E21" s="151" t="s">
        <v>1490</v>
      </c>
      <c r="F21" s="150">
        <v>4131</v>
      </c>
      <c r="G21" s="116"/>
      <c r="I21" s="151" t="s">
        <v>1491</v>
      </c>
      <c r="J21" s="151"/>
    </row>
    <row r="22" spans="1:10">
      <c r="A22" s="116" t="s">
        <v>1414</v>
      </c>
      <c r="B22" s="116"/>
      <c r="D22" s="151" t="s">
        <v>1492</v>
      </c>
      <c r="E22" s="151" t="s">
        <v>1493</v>
      </c>
      <c r="F22" s="150">
        <v>7209</v>
      </c>
      <c r="G22" s="116"/>
    </row>
    <row r="23" spans="1:10">
      <c r="A23" s="116" t="s">
        <v>1415</v>
      </c>
      <c r="B23" s="116"/>
      <c r="D23" s="151" t="s">
        <v>1494</v>
      </c>
      <c r="E23" s="151" t="s">
        <v>1495</v>
      </c>
      <c r="F23" s="150">
        <v>4698</v>
      </c>
      <c r="G23" s="116"/>
    </row>
    <row r="24" spans="1:10">
      <c r="A24" s="116" t="s">
        <v>1416</v>
      </c>
      <c r="B24" s="116"/>
      <c r="D24" s="151" t="s">
        <v>1496</v>
      </c>
      <c r="E24" s="151" t="s">
        <v>1497</v>
      </c>
      <c r="F24" s="150">
        <v>3501</v>
      </c>
      <c r="G24" s="116"/>
    </row>
    <row r="25" spans="1:10">
      <c r="A25" s="116" t="s">
        <v>1417</v>
      </c>
      <c r="B25" s="116"/>
      <c r="D25" s="151" t="s">
        <v>1498</v>
      </c>
      <c r="E25" s="151" t="s">
        <v>1499</v>
      </c>
      <c r="F25" s="150">
        <v>7533</v>
      </c>
      <c r="G25" s="116"/>
    </row>
    <row r="26" spans="1:10">
      <c r="A26" s="116" t="s">
        <v>1418</v>
      </c>
      <c r="B26" s="116"/>
      <c r="D26" s="151" t="s">
        <v>1500</v>
      </c>
      <c r="E26" s="151" t="s">
        <v>1501</v>
      </c>
      <c r="F26" s="150">
        <v>5701</v>
      </c>
      <c r="G26" s="116"/>
    </row>
    <row r="27" spans="1:10">
      <c r="A27" s="116" t="s">
        <v>1419</v>
      </c>
      <c r="B27" s="116"/>
      <c r="D27" s="151" t="s">
        <v>1502</v>
      </c>
      <c r="E27" s="151" t="s">
        <v>1503</v>
      </c>
      <c r="F27" s="150">
        <v>5625</v>
      </c>
      <c r="G27" s="116"/>
    </row>
    <row r="28" spans="1:10">
      <c r="A28" s="116" t="s">
        <v>1420</v>
      </c>
      <c r="B28" s="116"/>
    </row>
    <row r="29" spans="1:10">
      <c r="A29" s="116" t="s">
        <v>1421</v>
      </c>
      <c r="B29" s="116"/>
    </row>
    <row r="30" spans="1:10">
      <c r="A30" s="116" t="s">
        <v>1422</v>
      </c>
      <c r="B30" s="116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30"/>
  <sheetViews>
    <sheetView workbookViewId="0"/>
  </sheetViews>
  <sheetFormatPr defaultRowHeight="17"/>
  <cols>
    <col min="2" max="2" width="9.9140625" bestFit="1" customWidth="1"/>
    <col min="3" max="3" width="1.58203125" customWidth="1"/>
    <col min="4" max="4" width="40.08203125" bestFit="1" customWidth="1"/>
    <col min="5" max="5" width="18" bestFit="1" customWidth="1"/>
    <col min="7" max="7" width="20.25" bestFit="1" customWidth="1"/>
    <col min="8" max="8" width="1.58203125" customWidth="1"/>
    <col min="9" max="9" width="13.33203125" bestFit="1" customWidth="1"/>
    <col min="10" max="10" width="19.75" bestFit="1" customWidth="1"/>
    <col min="11" max="11" width="1.58203125" customWidth="1"/>
    <col min="12" max="12" width="12.25" customWidth="1"/>
    <col min="13" max="13" width="13.1640625" bestFit="1" customWidth="1"/>
  </cols>
  <sheetData>
    <row r="1" spans="1:13">
      <c r="A1" t="s">
        <v>1379</v>
      </c>
      <c r="D1" t="s">
        <v>1380</v>
      </c>
      <c r="I1" t="s">
        <v>1381</v>
      </c>
      <c r="L1" s="115" t="s">
        <v>1382</v>
      </c>
      <c r="M1" s="115"/>
    </row>
    <row r="2" spans="1:13">
      <c r="A2" s="116" t="s">
        <v>1383</v>
      </c>
      <c r="B2" s="117" t="s">
        <v>1384</v>
      </c>
      <c r="D2" s="116" t="s">
        <v>1385</v>
      </c>
      <c r="E2" s="116" t="s">
        <v>1386</v>
      </c>
      <c r="F2" s="116" t="s">
        <v>1387</v>
      </c>
      <c r="G2" s="117" t="s">
        <v>1388</v>
      </c>
      <c r="I2" s="116" t="s">
        <v>1389</v>
      </c>
      <c r="J2" s="117" t="s">
        <v>1390</v>
      </c>
      <c r="L2" s="97" t="s">
        <v>1391</v>
      </c>
      <c r="M2" s="117" t="s">
        <v>1392</v>
      </c>
    </row>
    <row r="3" spans="1:13">
      <c r="A3" s="116" t="s">
        <v>1393</v>
      </c>
      <c r="B3" s="116" t="str">
        <f>CONCATENATE(SUBSTITUTE(A3,MID(A3,2,1),"*")," 가족")</f>
        <v>이*주 가족</v>
      </c>
      <c r="D3" s="151" t="s">
        <v>1423</v>
      </c>
      <c r="E3" s="151" t="s">
        <v>1424</v>
      </c>
      <c r="F3" s="150">
        <v>4050</v>
      </c>
      <c r="G3" s="116" t="str">
        <f>CONCATENATE(REPT("★",QUOTIENT(F3,1000)),REPT("☆",10-QUOTIENT(F3,1000)))</f>
        <v>★★★★☆☆☆☆☆☆</v>
      </c>
      <c r="I3" s="151" t="s">
        <v>1425</v>
      </c>
      <c r="J3" s="151" t="str">
        <f t="shared" ref="J3:J21" si="0">PROPER(SUBSTITUTE(I3,".kr","@상공.kr"))</f>
        <v>Naver05@상공.Kr</v>
      </c>
      <c r="L3" s="97" t="s">
        <v>1426</v>
      </c>
      <c r="M3" s="97" t="str">
        <f>CHOOSE(MOD(VALUE(RIGHT(L3,4)),4)+1,"수동녹화","수시/충격감지","충격감지","수시감지")</f>
        <v>수동녹화</v>
      </c>
    </row>
    <row r="4" spans="1:13">
      <c r="A4" s="116" t="s">
        <v>1394</v>
      </c>
      <c r="B4" s="116" t="str">
        <f t="shared" ref="B4:B30" si="1">CONCATENATE(SUBSTITUTE(A4,MID(A4,2,1),"*")," 가족")</f>
        <v>송*희 가족</v>
      </c>
      <c r="D4" s="151" t="s">
        <v>1427</v>
      </c>
      <c r="E4" s="151" t="s">
        <v>1428</v>
      </c>
      <c r="F4" s="150">
        <v>2025</v>
      </c>
      <c r="G4" s="116" t="str">
        <f t="shared" ref="G4:G27" si="2">CONCATENATE(REPT("★",QUOTIENT(F4,1000)),REPT("☆",10-QUOTIENT(F4,1000)))</f>
        <v>★★☆☆☆☆☆☆☆☆</v>
      </c>
      <c r="I4" s="151" t="s">
        <v>1429</v>
      </c>
      <c r="J4" s="151" t="str">
        <f t="shared" si="0"/>
        <v>Ckd9292@상공.Kr</v>
      </c>
      <c r="L4" s="97" t="s">
        <v>1430</v>
      </c>
      <c r="M4" s="97" t="str">
        <f t="shared" ref="M4:M16" si="3">CHOOSE(MOD(VALUE(RIGHT(L4,4)),4)+1,"수동녹화","수시/충격감지","충격감지","수시감지")</f>
        <v>수시/충격감지</v>
      </c>
    </row>
    <row r="5" spans="1:13">
      <c r="A5" s="116" t="s">
        <v>1395</v>
      </c>
      <c r="B5" s="116" t="str">
        <f t="shared" si="1"/>
        <v>박*주 가족</v>
      </c>
      <c r="D5" s="153" t="s">
        <v>1431</v>
      </c>
      <c r="E5" s="151" t="s">
        <v>1432</v>
      </c>
      <c r="F5" s="150">
        <v>7935</v>
      </c>
      <c r="G5" s="116" t="str">
        <f t="shared" si="2"/>
        <v>★★★★★★★☆☆☆</v>
      </c>
      <c r="I5" s="151" t="s">
        <v>1433</v>
      </c>
      <c r="J5" s="151" t="str">
        <f t="shared" si="0"/>
        <v>Korea7979@상공.Kr</v>
      </c>
      <c r="L5" s="97" t="s">
        <v>1434</v>
      </c>
      <c r="M5" s="97" t="str">
        <f t="shared" si="3"/>
        <v>수시/충격감지</v>
      </c>
    </row>
    <row r="6" spans="1:13">
      <c r="A6" s="116" t="s">
        <v>1396</v>
      </c>
      <c r="B6" s="116" t="str">
        <f t="shared" si="1"/>
        <v>김*아 가족</v>
      </c>
      <c r="D6" s="151" t="s">
        <v>1435</v>
      </c>
      <c r="E6" s="151" t="s">
        <v>1436</v>
      </c>
      <c r="F6" s="150">
        <v>945</v>
      </c>
      <c r="G6" s="116" t="str">
        <f t="shared" si="2"/>
        <v>☆☆☆☆☆☆☆☆☆☆</v>
      </c>
      <c r="I6" s="151" t="s">
        <v>1437</v>
      </c>
      <c r="J6" s="151" t="str">
        <f t="shared" si="0"/>
        <v>Doctorkim@상공.Kr</v>
      </c>
      <c r="L6" s="97" t="s">
        <v>1438</v>
      </c>
      <c r="M6" s="97" t="str">
        <f t="shared" si="3"/>
        <v>수시감지</v>
      </c>
    </row>
    <row r="7" spans="1:13">
      <c r="A7" s="116" t="s">
        <v>1397</v>
      </c>
      <c r="B7" s="116" t="str">
        <f t="shared" si="1"/>
        <v>윤*기 가족</v>
      </c>
      <c r="D7" s="151" t="s">
        <v>1439</v>
      </c>
      <c r="E7" s="151" t="s">
        <v>1440</v>
      </c>
      <c r="F7" s="150">
        <v>6075</v>
      </c>
      <c r="G7" s="116" t="str">
        <f t="shared" si="2"/>
        <v>★★★★★★☆☆☆☆</v>
      </c>
      <c r="I7" s="151" t="s">
        <v>1441</v>
      </c>
      <c r="J7" s="151" t="str">
        <f t="shared" si="0"/>
        <v>Kyh1254@상공.Kr</v>
      </c>
      <c r="L7" s="97" t="s">
        <v>1442</v>
      </c>
      <c r="M7" s="97" t="str">
        <f t="shared" si="3"/>
        <v>수시감지</v>
      </c>
    </row>
    <row r="8" spans="1:13">
      <c r="A8" s="116" t="s">
        <v>1398</v>
      </c>
      <c r="B8" s="116" t="str">
        <f t="shared" si="1"/>
        <v>김*수 가족</v>
      </c>
      <c r="D8" s="151" t="s">
        <v>1443</v>
      </c>
      <c r="E8" s="151" t="s">
        <v>1399</v>
      </c>
      <c r="F8" s="150">
        <v>7452</v>
      </c>
      <c r="G8" s="116" t="str">
        <f t="shared" si="2"/>
        <v>★★★★★★★☆☆☆</v>
      </c>
      <c r="I8" s="151" t="s">
        <v>1444</v>
      </c>
      <c r="J8" s="151" t="str">
        <f t="shared" si="0"/>
        <v>Allhappy@상공.Kr</v>
      </c>
      <c r="L8" s="97" t="s">
        <v>1445</v>
      </c>
      <c r="M8" s="97" t="str">
        <f t="shared" si="3"/>
        <v>수시/충격감지</v>
      </c>
    </row>
    <row r="9" spans="1:13">
      <c r="A9" s="116" t="s">
        <v>1400</v>
      </c>
      <c r="B9" s="116" t="str">
        <f t="shared" si="1"/>
        <v>하*재 가족</v>
      </c>
      <c r="D9" s="151" t="s">
        <v>1446</v>
      </c>
      <c r="E9" s="151" t="s">
        <v>1447</v>
      </c>
      <c r="F9" s="150">
        <v>3888</v>
      </c>
      <c r="G9" s="116" t="str">
        <f t="shared" si="2"/>
        <v>★★★☆☆☆☆☆☆☆</v>
      </c>
      <c r="I9" s="151" t="s">
        <v>1448</v>
      </c>
      <c r="J9" s="151" t="str">
        <f t="shared" si="0"/>
        <v>Baseballma@상공.Kr</v>
      </c>
      <c r="L9" s="97" t="s">
        <v>1449</v>
      </c>
      <c r="M9" s="97" t="str">
        <f t="shared" si="3"/>
        <v>충격감지</v>
      </c>
    </row>
    <row r="10" spans="1:13">
      <c r="A10" s="116" t="s">
        <v>1401</v>
      </c>
      <c r="B10" s="116" t="str">
        <f t="shared" si="1"/>
        <v>한*주 가족</v>
      </c>
      <c r="D10" s="151" t="s">
        <v>1450</v>
      </c>
      <c r="E10" s="151" t="s">
        <v>1451</v>
      </c>
      <c r="F10" s="150">
        <v>1395</v>
      </c>
      <c r="G10" s="116" t="str">
        <f t="shared" si="2"/>
        <v>★☆☆☆☆☆☆☆☆☆</v>
      </c>
      <c r="I10" s="151" t="s">
        <v>1452</v>
      </c>
      <c r="J10" s="151" t="str">
        <f t="shared" si="0"/>
        <v>Gusaud951@상공.Kr</v>
      </c>
      <c r="L10" s="97" t="s">
        <v>1453</v>
      </c>
      <c r="M10" s="97" t="str">
        <f t="shared" si="3"/>
        <v>충격감지</v>
      </c>
    </row>
    <row r="11" spans="1:13">
      <c r="A11" s="116" t="s">
        <v>1402</v>
      </c>
      <c r="B11" s="116" t="str">
        <f t="shared" si="1"/>
        <v>박*훈 가족</v>
      </c>
      <c r="D11" s="151" t="s">
        <v>1454</v>
      </c>
      <c r="E11" s="151" t="s">
        <v>1455</v>
      </c>
      <c r="F11" s="150">
        <v>8645</v>
      </c>
      <c r="G11" s="116" t="str">
        <f t="shared" si="2"/>
        <v>★★★★★★★★☆☆</v>
      </c>
      <c r="I11" s="151" t="s">
        <v>1456</v>
      </c>
      <c r="J11" s="151" t="str">
        <f t="shared" si="0"/>
        <v>Forever3003@상공.Kr</v>
      </c>
      <c r="L11" s="97" t="s">
        <v>1457</v>
      </c>
      <c r="M11" s="97" t="str">
        <f t="shared" si="3"/>
        <v>수시감지</v>
      </c>
    </row>
    <row r="12" spans="1:13">
      <c r="A12" s="116" t="s">
        <v>1403</v>
      </c>
      <c r="B12" s="116" t="str">
        <f t="shared" si="1"/>
        <v>김*진 가족</v>
      </c>
      <c r="D12" s="151" t="s">
        <v>1404</v>
      </c>
      <c r="E12" s="151" t="s">
        <v>1458</v>
      </c>
      <c r="F12" s="150">
        <v>7425</v>
      </c>
      <c r="G12" s="116" t="str">
        <f t="shared" si="2"/>
        <v>★★★★★★★☆☆☆</v>
      </c>
      <c r="I12" s="151" t="s">
        <v>1459</v>
      </c>
      <c r="J12" s="151" t="str">
        <f t="shared" si="0"/>
        <v>Mesweet@상공.Kr</v>
      </c>
      <c r="L12" s="97" t="s">
        <v>1460</v>
      </c>
      <c r="M12" s="97" t="str">
        <f t="shared" si="3"/>
        <v>수동녹화</v>
      </c>
    </row>
    <row r="13" spans="1:13">
      <c r="A13" s="116" t="s">
        <v>1405</v>
      </c>
      <c r="B13" s="116" t="str">
        <f t="shared" si="1"/>
        <v>김*영 가족</v>
      </c>
      <c r="D13" s="151" t="s">
        <v>1461</v>
      </c>
      <c r="E13" s="151" t="s">
        <v>1462</v>
      </c>
      <c r="F13" s="150">
        <v>4734</v>
      </c>
      <c r="G13" s="116" t="str">
        <f t="shared" si="2"/>
        <v>★★★★☆☆☆☆☆☆</v>
      </c>
      <c r="I13" s="151" t="s">
        <v>1463</v>
      </c>
      <c r="J13" s="151" t="str">
        <f t="shared" si="0"/>
        <v>Familylove@상공.Kr</v>
      </c>
      <c r="L13" s="97" t="s">
        <v>1464</v>
      </c>
      <c r="M13" s="97" t="str">
        <f t="shared" si="3"/>
        <v>수동녹화</v>
      </c>
    </row>
    <row r="14" spans="1:13">
      <c r="A14" s="116" t="s">
        <v>1406</v>
      </c>
      <c r="B14" s="116" t="str">
        <f t="shared" si="1"/>
        <v>이*정 가족</v>
      </c>
      <c r="D14" s="151" t="s">
        <v>1465</v>
      </c>
      <c r="E14" s="151" t="s">
        <v>1466</v>
      </c>
      <c r="F14" s="150">
        <v>1701</v>
      </c>
      <c r="G14" s="116" t="str">
        <f t="shared" si="2"/>
        <v>★☆☆☆☆☆☆☆☆☆</v>
      </c>
      <c r="I14" s="151" t="s">
        <v>1467</v>
      </c>
      <c r="J14" s="151" t="str">
        <f t="shared" si="0"/>
        <v>Cooking555@상공.Kr</v>
      </c>
      <c r="L14" s="97" t="s">
        <v>1468</v>
      </c>
      <c r="M14" s="97" t="str">
        <f t="shared" si="3"/>
        <v>수시감지</v>
      </c>
    </row>
    <row r="15" spans="1:13">
      <c r="A15" s="116" t="s">
        <v>1407</v>
      </c>
      <c r="B15" s="116" t="str">
        <f t="shared" si="1"/>
        <v>김*훈 가족</v>
      </c>
      <c r="D15" s="151" t="s">
        <v>1469</v>
      </c>
      <c r="E15" s="151" t="s">
        <v>1470</v>
      </c>
      <c r="F15" s="150">
        <v>9508</v>
      </c>
      <c r="G15" s="116" t="str">
        <f t="shared" si="2"/>
        <v>★★★★★★★★★☆</v>
      </c>
      <c r="I15" s="151" t="s">
        <v>1471</v>
      </c>
      <c r="J15" s="151" t="str">
        <f t="shared" si="0"/>
        <v>Teacherlee@상공.Kr</v>
      </c>
      <c r="L15" s="97" t="s">
        <v>1472</v>
      </c>
      <c r="M15" s="97" t="str">
        <f t="shared" si="3"/>
        <v>수동녹화</v>
      </c>
    </row>
    <row r="16" spans="1:13">
      <c r="A16" s="116" t="s">
        <v>1408</v>
      </c>
      <c r="B16" s="116" t="str">
        <f t="shared" si="1"/>
        <v>박*현 가족</v>
      </c>
      <c r="D16" s="151" t="s">
        <v>1473</v>
      </c>
      <c r="E16" s="151" t="s">
        <v>1474</v>
      </c>
      <c r="F16" s="150">
        <v>4815</v>
      </c>
      <c r="G16" s="116" t="str">
        <f t="shared" si="2"/>
        <v>★★★★☆☆☆☆☆☆</v>
      </c>
      <c r="I16" s="151" t="s">
        <v>1475</v>
      </c>
      <c r="J16" s="151" t="str">
        <f t="shared" si="0"/>
        <v>Abc097@상공.Kr</v>
      </c>
      <c r="L16" s="97" t="s">
        <v>1476</v>
      </c>
      <c r="M16" s="97" t="str">
        <f t="shared" si="3"/>
        <v>수시감지</v>
      </c>
    </row>
    <row r="17" spans="1:10">
      <c r="A17" s="116" t="s">
        <v>1409</v>
      </c>
      <c r="B17" s="116" t="str">
        <f t="shared" si="1"/>
        <v>차*철 가족</v>
      </c>
      <c r="D17" s="151" t="s">
        <v>1477</v>
      </c>
      <c r="E17" s="151" t="s">
        <v>1478</v>
      </c>
      <c r="F17" s="150">
        <v>5025</v>
      </c>
      <c r="G17" s="116" t="str">
        <f t="shared" si="2"/>
        <v>★★★★★☆☆☆☆☆</v>
      </c>
      <c r="I17" s="151" t="s">
        <v>1479</v>
      </c>
      <c r="J17" s="151" t="str">
        <f t="shared" si="0"/>
        <v>Suman12@상공.Kr</v>
      </c>
    </row>
    <row r="18" spans="1:10">
      <c r="A18" s="116" t="s">
        <v>1410</v>
      </c>
      <c r="B18" s="116" t="str">
        <f t="shared" si="1"/>
        <v>김*정 가족</v>
      </c>
      <c r="D18" s="151" t="s">
        <v>1480</v>
      </c>
      <c r="E18" s="151" t="s">
        <v>1481</v>
      </c>
      <c r="F18" s="150">
        <v>6926</v>
      </c>
      <c r="G18" s="116" t="str">
        <f t="shared" si="2"/>
        <v>★★★★★★☆☆☆☆</v>
      </c>
      <c r="I18" s="151" t="s">
        <v>1482</v>
      </c>
      <c r="J18" s="151" t="str">
        <f t="shared" si="0"/>
        <v>Jjs1234@상공.Kr</v>
      </c>
    </row>
    <row r="19" spans="1:10">
      <c r="A19" s="116" t="s">
        <v>1411</v>
      </c>
      <c r="B19" s="116" t="str">
        <f t="shared" si="1"/>
        <v>이*애 가족</v>
      </c>
      <c r="D19" s="151" t="s">
        <v>1483</v>
      </c>
      <c r="E19" s="151" t="s">
        <v>1484</v>
      </c>
      <c r="F19" s="150">
        <v>8415</v>
      </c>
      <c r="G19" s="116" t="str">
        <f t="shared" si="2"/>
        <v>★★★★★★★★☆☆</v>
      </c>
      <c r="I19" s="151" t="s">
        <v>1485</v>
      </c>
      <c r="J19" s="151" t="str">
        <f t="shared" si="0"/>
        <v>88Friend@상공.Kr</v>
      </c>
    </row>
    <row r="20" spans="1:10">
      <c r="A20" s="116" t="s">
        <v>1412</v>
      </c>
      <c r="B20" s="116" t="str">
        <f t="shared" si="1"/>
        <v>김*우 가족</v>
      </c>
      <c r="D20" s="151" t="s">
        <v>1486</v>
      </c>
      <c r="E20" s="151" t="s">
        <v>1487</v>
      </c>
      <c r="F20" s="150">
        <v>3159</v>
      </c>
      <c r="G20" s="116" t="str">
        <f t="shared" si="2"/>
        <v>★★★☆☆☆☆☆☆☆</v>
      </c>
      <c r="I20" s="151" t="s">
        <v>1488</v>
      </c>
      <c r="J20" s="151" t="str">
        <f t="shared" si="0"/>
        <v>Abcdef52@상공.Kr</v>
      </c>
    </row>
    <row r="21" spans="1:10">
      <c r="A21" s="116" t="s">
        <v>1413</v>
      </c>
      <c r="B21" s="116" t="str">
        <f t="shared" si="1"/>
        <v>한*영 가족</v>
      </c>
      <c r="D21" s="151" t="s">
        <v>1489</v>
      </c>
      <c r="E21" s="151" t="s">
        <v>1490</v>
      </c>
      <c r="F21" s="150">
        <v>4131</v>
      </c>
      <c r="G21" s="116" t="str">
        <f t="shared" si="2"/>
        <v>★★★★☆☆☆☆☆☆</v>
      </c>
      <c r="I21" s="151" t="s">
        <v>1491</v>
      </c>
      <c r="J21" s="151" t="str">
        <f t="shared" si="0"/>
        <v>Love5523@상공.Kr</v>
      </c>
    </row>
    <row r="22" spans="1:10">
      <c r="A22" s="116" t="s">
        <v>1414</v>
      </c>
      <c r="B22" s="116" t="str">
        <f t="shared" si="1"/>
        <v>신*란 가족</v>
      </c>
      <c r="D22" s="151" t="s">
        <v>1492</v>
      </c>
      <c r="E22" s="151" t="s">
        <v>1493</v>
      </c>
      <c r="F22" s="150">
        <v>7209</v>
      </c>
      <c r="G22" s="116" t="str">
        <f t="shared" si="2"/>
        <v>★★★★★★★☆☆☆</v>
      </c>
    </row>
    <row r="23" spans="1:10">
      <c r="A23" s="116" t="s">
        <v>1415</v>
      </c>
      <c r="B23" s="116" t="str">
        <f t="shared" si="1"/>
        <v>이*우 가족</v>
      </c>
      <c r="D23" s="151" t="s">
        <v>1494</v>
      </c>
      <c r="E23" s="151" t="s">
        <v>1495</v>
      </c>
      <c r="F23" s="150">
        <v>4698</v>
      </c>
      <c r="G23" s="116" t="str">
        <f t="shared" si="2"/>
        <v>★★★★☆☆☆☆☆☆</v>
      </c>
    </row>
    <row r="24" spans="1:10">
      <c r="A24" s="116" t="s">
        <v>1416</v>
      </c>
      <c r="B24" s="116" t="str">
        <f t="shared" si="1"/>
        <v>민*린 가족</v>
      </c>
      <c r="D24" s="151" t="s">
        <v>1496</v>
      </c>
      <c r="E24" s="151" t="s">
        <v>1497</v>
      </c>
      <c r="F24" s="150">
        <v>3501</v>
      </c>
      <c r="G24" s="116" t="str">
        <f t="shared" si="2"/>
        <v>★★★☆☆☆☆☆☆☆</v>
      </c>
    </row>
    <row r="25" spans="1:10">
      <c r="A25" s="116" t="s">
        <v>1417</v>
      </c>
      <c r="B25" s="116" t="str">
        <f t="shared" si="1"/>
        <v>구*호 가족</v>
      </c>
      <c r="D25" s="151" t="s">
        <v>1498</v>
      </c>
      <c r="E25" s="151" t="s">
        <v>1499</v>
      </c>
      <c r="F25" s="150">
        <v>7533</v>
      </c>
      <c r="G25" s="116" t="str">
        <f t="shared" si="2"/>
        <v>★★★★★★★☆☆☆</v>
      </c>
    </row>
    <row r="26" spans="1:10">
      <c r="A26" s="116" t="s">
        <v>1418</v>
      </c>
      <c r="B26" s="116" t="str">
        <f t="shared" si="1"/>
        <v>한*호 가족</v>
      </c>
      <c r="D26" s="151" t="s">
        <v>1500</v>
      </c>
      <c r="E26" s="151" t="s">
        <v>1501</v>
      </c>
      <c r="F26" s="150">
        <v>5701</v>
      </c>
      <c r="G26" s="116" t="str">
        <f t="shared" si="2"/>
        <v>★★★★★☆☆☆☆☆</v>
      </c>
    </row>
    <row r="27" spans="1:10">
      <c r="A27" s="116" t="s">
        <v>1419</v>
      </c>
      <c r="B27" s="116" t="str">
        <f t="shared" si="1"/>
        <v>이*구 가족</v>
      </c>
      <c r="D27" s="151" t="s">
        <v>1502</v>
      </c>
      <c r="E27" s="151" t="s">
        <v>1503</v>
      </c>
      <c r="F27" s="150">
        <v>5625</v>
      </c>
      <c r="G27" s="116" t="str">
        <f t="shared" si="2"/>
        <v>★★★★★☆☆☆☆☆</v>
      </c>
    </row>
    <row r="28" spans="1:10">
      <c r="A28" s="116" t="s">
        <v>1420</v>
      </c>
      <c r="B28" s="116" t="str">
        <f t="shared" si="1"/>
        <v>김*별 가족</v>
      </c>
    </row>
    <row r="29" spans="1:10">
      <c r="A29" s="116" t="s">
        <v>1421</v>
      </c>
      <c r="B29" s="116" t="str">
        <f t="shared" si="1"/>
        <v>이*진 가족</v>
      </c>
    </row>
    <row r="30" spans="1:10">
      <c r="A30" s="116" t="s">
        <v>1422</v>
      </c>
      <c r="B30" s="116" t="str">
        <f t="shared" si="1"/>
        <v>강*희 가족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33"/>
  <sheetViews>
    <sheetView workbookViewId="0"/>
  </sheetViews>
  <sheetFormatPr defaultColWidth="9" defaultRowHeight="17"/>
  <cols>
    <col min="7" max="7" width="11" bestFit="1" customWidth="1"/>
    <col min="8" max="8" width="1.58203125" customWidth="1"/>
    <col min="9" max="9" width="11" bestFit="1" customWidth="1"/>
    <col min="10" max="11" width="13.83203125" bestFit="1" customWidth="1"/>
    <col min="12" max="12" width="14.33203125" bestFit="1" customWidth="1"/>
    <col min="13" max="13" width="1.58203125" customWidth="1"/>
    <col min="15" max="15" width="11" bestFit="1" customWidth="1"/>
    <col min="16" max="16" width="1.58203125" customWidth="1"/>
    <col min="17" max="17" width="10.08203125" customWidth="1"/>
    <col min="18" max="18" width="10.25" bestFit="1" customWidth="1"/>
    <col min="19" max="19" width="9" bestFit="1" customWidth="1"/>
    <col min="20" max="20" width="15.25" bestFit="1" customWidth="1"/>
  </cols>
  <sheetData>
    <row r="1" spans="1:19">
      <c r="A1" t="s">
        <v>1504</v>
      </c>
      <c r="I1" t="s">
        <v>1505</v>
      </c>
      <c r="N1" t="s">
        <v>1506</v>
      </c>
      <c r="Q1" t="s">
        <v>1507</v>
      </c>
    </row>
    <row r="2" spans="1:19">
      <c r="A2" s="116" t="s">
        <v>1508</v>
      </c>
      <c r="B2" s="116" t="s">
        <v>1510</v>
      </c>
      <c r="C2" s="116" t="s">
        <v>1511</v>
      </c>
      <c r="D2" s="116" t="s">
        <v>1512</v>
      </c>
      <c r="E2" s="116" t="s">
        <v>1513</v>
      </c>
      <c r="F2" s="116" t="s">
        <v>1514</v>
      </c>
      <c r="G2" s="117" t="s">
        <v>1515</v>
      </c>
      <c r="I2" s="116" t="s">
        <v>1516</v>
      </c>
      <c r="J2" s="116" t="s">
        <v>1517</v>
      </c>
      <c r="K2" s="116" t="s">
        <v>1518</v>
      </c>
      <c r="L2" s="117" t="s">
        <v>1519</v>
      </c>
      <c r="N2" s="117" t="s">
        <v>1520</v>
      </c>
      <c r="O2" s="116" t="s">
        <v>1521</v>
      </c>
      <c r="Q2" s="116" t="s">
        <v>1522</v>
      </c>
      <c r="R2" s="117" t="s">
        <v>1523</v>
      </c>
      <c r="S2" s="116" t="s">
        <v>1524</v>
      </c>
    </row>
    <row r="3" spans="1:19">
      <c r="A3" s="116" t="s">
        <v>1525</v>
      </c>
      <c r="B3" s="116" t="s">
        <v>1527</v>
      </c>
      <c r="C3" s="151">
        <v>55</v>
      </c>
      <c r="D3" s="150">
        <v>1500</v>
      </c>
      <c r="E3" s="150">
        <f>C3*D3</f>
        <v>82500</v>
      </c>
      <c r="F3" s="116" t="s">
        <v>1528</v>
      </c>
      <c r="G3" s="116"/>
      <c r="I3" s="116" t="s">
        <v>1529</v>
      </c>
      <c r="J3" s="116" t="s">
        <v>1530</v>
      </c>
      <c r="K3" s="151">
        <v>230</v>
      </c>
      <c r="L3" s="116"/>
      <c r="N3" s="116"/>
      <c r="O3" s="116" t="s">
        <v>1531</v>
      </c>
      <c r="Q3" s="116" t="s">
        <v>1532</v>
      </c>
      <c r="R3" s="154"/>
      <c r="S3" s="154">
        <v>2020</v>
      </c>
    </row>
    <row r="4" spans="1:19">
      <c r="A4" s="116" t="s">
        <v>1533</v>
      </c>
      <c r="B4" s="116" t="s">
        <v>1534</v>
      </c>
      <c r="C4" s="151">
        <v>20</v>
      </c>
      <c r="D4" s="150">
        <v>3000</v>
      </c>
      <c r="E4" s="150">
        <f t="shared" ref="E4:E24" si="0">C4*D4</f>
        <v>60000</v>
      </c>
      <c r="F4" s="116" t="s">
        <v>1535</v>
      </c>
      <c r="G4" s="116"/>
      <c r="I4" s="116" t="s">
        <v>1536</v>
      </c>
      <c r="J4" s="116" t="s">
        <v>1530</v>
      </c>
      <c r="K4" s="151">
        <v>390</v>
      </c>
      <c r="L4" s="116"/>
      <c r="N4" s="116"/>
      <c r="O4" s="116" t="s">
        <v>1537</v>
      </c>
      <c r="Q4" s="116" t="s">
        <v>1538</v>
      </c>
      <c r="R4" s="154"/>
      <c r="S4" s="116">
        <v>2020</v>
      </c>
    </row>
    <row r="5" spans="1:19">
      <c r="A5" s="116" t="s">
        <v>1539</v>
      </c>
      <c r="B5" s="116" t="s">
        <v>1541</v>
      </c>
      <c r="C5" s="151">
        <v>20</v>
      </c>
      <c r="D5" s="150">
        <v>2000</v>
      </c>
      <c r="E5" s="150">
        <f t="shared" si="0"/>
        <v>40000</v>
      </c>
      <c r="F5" s="116" t="s">
        <v>1542</v>
      </c>
      <c r="G5" s="116"/>
      <c r="I5" s="116" t="s">
        <v>1543</v>
      </c>
      <c r="J5" s="116" t="s">
        <v>1530</v>
      </c>
      <c r="K5" s="151">
        <v>120</v>
      </c>
      <c r="L5" s="116"/>
      <c r="N5" s="116"/>
      <c r="O5" s="116" t="s">
        <v>1544</v>
      </c>
      <c r="Q5" s="116" t="s">
        <v>1545</v>
      </c>
      <c r="R5" s="154"/>
      <c r="S5" s="116">
        <v>2020</v>
      </c>
    </row>
    <row r="6" spans="1:19">
      <c r="A6" s="116" t="s">
        <v>1546</v>
      </c>
      <c r="B6" s="116" t="s">
        <v>1547</v>
      </c>
      <c r="C6" s="151">
        <v>21</v>
      </c>
      <c r="D6" s="150">
        <v>5300</v>
      </c>
      <c r="E6" s="150">
        <f t="shared" si="0"/>
        <v>111300</v>
      </c>
      <c r="F6" s="116" t="s">
        <v>1542</v>
      </c>
      <c r="G6" s="116"/>
      <c r="I6" s="116" t="s">
        <v>1548</v>
      </c>
      <c r="J6" s="116" t="s">
        <v>1530</v>
      </c>
      <c r="K6" s="151">
        <v>350</v>
      </c>
      <c r="L6" s="116"/>
      <c r="N6" s="116"/>
      <c r="O6" s="116" t="s">
        <v>1531</v>
      </c>
      <c r="Q6" s="116" t="s">
        <v>1549</v>
      </c>
      <c r="R6" s="154"/>
      <c r="S6" s="116">
        <v>2020</v>
      </c>
    </row>
    <row r="7" spans="1:19">
      <c r="A7" s="116" t="s">
        <v>1550</v>
      </c>
      <c r="B7" s="116" t="s">
        <v>1534</v>
      </c>
      <c r="C7" s="151">
        <v>95</v>
      </c>
      <c r="D7" s="150">
        <v>3000</v>
      </c>
      <c r="E7" s="150">
        <f t="shared" si="0"/>
        <v>285000</v>
      </c>
      <c r="F7" s="116" t="s">
        <v>1542</v>
      </c>
      <c r="G7" s="116"/>
      <c r="I7" s="116" t="s">
        <v>1551</v>
      </c>
      <c r="J7" s="116" t="s">
        <v>1552</v>
      </c>
      <c r="K7" s="151">
        <v>150</v>
      </c>
      <c r="L7" s="116"/>
      <c r="N7" s="116"/>
      <c r="O7" s="116" t="s">
        <v>1531</v>
      </c>
      <c r="Q7" s="116" t="s">
        <v>1553</v>
      </c>
      <c r="R7" s="154"/>
      <c r="S7" s="116">
        <v>2020</v>
      </c>
    </row>
    <row r="8" spans="1:19">
      <c r="A8" s="116" t="s">
        <v>1554</v>
      </c>
      <c r="B8" s="116" t="s">
        <v>1556</v>
      </c>
      <c r="C8" s="151">
        <v>120</v>
      </c>
      <c r="D8" s="150">
        <v>2500</v>
      </c>
      <c r="E8" s="150">
        <f t="shared" si="0"/>
        <v>300000</v>
      </c>
      <c r="F8" s="116" t="s">
        <v>1542</v>
      </c>
      <c r="G8" s="116"/>
      <c r="I8" s="116" t="s">
        <v>1557</v>
      </c>
      <c r="J8" s="116" t="s">
        <v>1530</v>
      </c>
      <c r="K8" s="151">
        <v>452</v>
      </c>
      <c r="L8" s="116"/>
      <c r="N8" s="116"/>
      <c r="O8" s="116" t="s">
        <v>1537</v>
      </c>
      <c r="Q8" s="116" t="s">
        <v>1558</v>
      </c>
      <c r="R8" s="154"/>
      <c r="S8" s="116">
        <v>2020</v>
      </c>
    </row>
    <row r="9" spans="1:19">
      <c r="A9" s="116" t="s">
        <v>1560</v>
      </c>
      <c r="B9" s="116" t="s">
        <v>1541</v>
      </c>
      <c r="C9" s="151">
        <v>20</v>
      </c>
      <c r="D9" s="150">
        <v>2000</v>
      </c>
      <c r="E9" s="150">
        <f t="shared" si="0"/>
        <v>40000</v>
      </c>
      <c r="F9" s="116" t="s">
        <v>1535</v>
      </c>
      <c r="G9" s="116"/>
      <c r="I9" s="116" t="s">
        <v>1561</v>
      </c>
      <c r="J9" s="116" t="s">
        <v>1552</v>
      </c>
      <c r="K9" s="151">
        <v>210</v>
      </c>
      <c r="L9" s="116"/>
      <c r="N9" s="116"/>
      <c r="O9" s="116" t="s">
        <v>1537</v>
      </c>
      <c r="Q9" s="116" t="s">
        <v>1562</v>
      </c>
      <c r="R9" s="154"/>
      <c r="S9" s="116">
        <v>2020</v>
      </c>
    </row>
    <row r="10" spans="1:19">
      <c r="A10" s="116" t="s">
        <v>1563</v>
      </c>
      <c r="B10" s="116" t="s">
        <v>1547</v>
      </c>
      <c r="C10" s="151">
        <v>25</v>
      </c>
      <c r="D10" s="150">
        <v>5300</v>
      </c>
      <c r="E10" s="150">
        <f t="shared" si="0"/>
        <v>132500</v>
      </c>
      <c r="F10" s="116" t="s">
        <v>1542</v>
      </c>
      <c r="G10" s="116"/>
      <c r="I10" s="116" t="s">
        <v>1564</v>
      </c>
      <c r="J10" s="116" t="s">
        <v>1552</v>
      </c>
      <c r="K10" s="151">
        <v>215</v>
      </c>
      <c r="L10" s="116"/>
      <c r="N10" s="116"/>
      <c r="O10" s="116" t="s">
        <v>1544</v>
      </c>
      <c r="Q10" s="116" t="s">
        <v>1565</v>
      </c>
      <c r="R10" s="154"/>
      <c r="S10" s="116">
        <v>2020</v>
      </c>
    </row>
    <row r="11" spans="1:19">
      <c r="A11" s="116" t="s">
        <v>1567</v>
      </c>
      <c r="B11" s="116" t="s">
        <v>1556</v>
      </c>
      <c r="C11" s="151">
        <v>90</v>
      </c>
      <c r="D11" s="150">
        <v>2500</v>
      </c>
      <c r="E11" s="150">
        <f t="shared" si="0"/>
        <v>225000</v>
      </c>
      <c r="F11" s="116" t="s">
        <v>1528</v>
      </c>
      <c r="G11" s="116"/>
      <c r="I11" s="116" t="s">
        <v>1568</v>
      </c>
      <c r="J11" s="116" t="s">
        <v>1530</v>
      </c>
      <c r="K11" s="151">
        <v>153</v>
      </c>
      <c r="L11" s="116"/>
      <c r="N11" s="116"/>
      <c r="O11" s="116" t="s">
        <v>1544</v>
      </c>
      <c r="Q11" s="116" t="s">
        <v>1569</v>
      </c>
      <c r="R11" s="154"/>
      <c r="S11" s="116">
        <v>2020</v>
      </c>
    </row>
    <row r="12" spans="1:19">
      <c r="A12" s="116" t="s">
        <v>1570</v>
      </c>
      <c r="B12" s="116" t="s">
        <v>1556</v>
      </c>
      <c r="C12" s="151">
        <v>55</v>
      </c>
      <c r="D12" s="150">
        <v>2500</v>
      </c>
      <c r="E12" s="150">
        <f t="shared" si="0"/>
        <v>137500</v>
      </c>
      <c r="F12" s="116" t="s">
        <v>1528</v>
      </c>
      <c r="G12" s="116"/>
      <c r="I12" s="116" t="s">
        <v>1571</v>
      </c>
      <c r="J12" s="116" t="s">
        <v>1530</v>
      </c>
      <c r="K12" s="151">
        <v>412</v>
      </c>
      <c r="L12" s="116"/>
      <c r="N12" s="116"/>
      <c r="O12" s="116" t="s">
        <v>1537</v>
      </c>
      <c r="Q12" s="116" t="s">
        <v>1572</v>
      </c>
      <c r="R12" s="154"/>
      <c r="S12" s="116">
        <v>2020</v>
      </c>
    </row>
    <row r="13" spans="1:19">
      <c r="A13" s="116" t="s">
        <v>1573</v>
      </c>
      <c r="B13" s="116" t="s">
        <v>1541</v>
      </c>
      <c r="C13" s="151">
        <v>30</v>
      </c>
      <c r="D13" s="150">
        <v>2000</v>
      </c>
      <c r="E13" s="150">
        <f t="shared" si="0"/>
        <v>60000</v>
      </c>
      <c r="F13" s="116" t="s">
        <v>1535</v>
      </c>
      <c r="G13" s="116"/>
      <c r="N13" s="116"/>
      <c r="O13" s="116" t="s">
        <v>1544</v>
      </c>
      <c r="Q13" s="116" t="s">
        <v>1574</v>
      </c>
      <c r="R13" s="154"/>
      <c r="S13" s="116">
        <v>2020</v>
      </c>
    </row>
    <row r="14" spans="1:19">
      <c r="A14" s="116" t="s">
        <v>1575</v>
      </c>
      <c r="B14" s="116" t="s">
        <v>1547</v>
      </c>
      <c r="C14" s="151">
        <v>25</v>
      </c>
      <c r="D14" s="150">
        <v>5300</v>
      </c>
      <c r="E14" s="150">
        <f t="shared" si="0"/>
        <v>132500</v>
      </c>
      <c r="F14" s="116" t="s">
        <v>1535</v>
      </c>
      <c r="G14" s="116"/>
      <c r="I14" t="s">
        <v>1576</v>
      </c>
      <c r="N14" s="116"/>
      <c r="O14" s="116" t="s">
        <v>1531</v>
      </c>
      <c r="Q14" s="116" t="s">
        <v>1577</v>
      </c>
      <c r="R14" s="154"/>
      <c r="S14" s="116">
        <v>2020</v>
      </c>
    </row>
    <row r="15" spans="1:19">
      <c r="A15" s="116" t="s">
        <v>1578</v>
      </c>
      <c r="B15" s="116" t="s">
        <v>1541</v>
      </c>
      <c r="C15" s="151">
        <v>100</v>
      </c>
      <c r="D15" s="150">
        <v>2000</v>
      </c>
      <c r="E15" s="150">
        <f t="shared" si="0"/>
        <v>200000</v>
      </c>
      <c r="F15" s="116" t="s">
        <v>1535</v>
      </c>
      <c r="G15" s="116"/>
      <c r="I15" s="281"/>
      <c r="J15" s="155">
        <v>100</v>
      </c>
      <c r="K15" s="155">
        <v>300</v>
      </c>
      <c r="L15" s="155">
        <v>400</v>
      </c>
      <c r="N15" s="116"/>
      <c r="O15" s="116" t="s">
        <v>1537</v>
      </c>
      <c r="Q15" s="116" t="s">
        <v>1579</v>
      </c>
      <c r="R15" s="154"/>
      <c r="S15" s="116">
        <v>2020</v>
      </c>
    </row>
    <row r="16" spans="1:19">
      <c r="A16" s="116" t="s">
        <v>1580</v>
      </c>
      <c r="B16" s="116" t="s">
        <v>1547</v>
      </c>
      <c r="C16" s="151">
        <v>90</v>
      </c>
      <c r="D16" s="150">
        <v>5300</v>
      </c>
      <c r="E16" s="150">
        <f t="shared" si="0"/>
        <v>477000</v>
      </c>
      <c r="F16" s="116" t="s">
        <v>1542</v>
      </c>
      <c r="G16" s="116"/>
      <c r="I16" s="282"/>
      <c r="J16" s="156">
        <v>300</v>
      </c>
      <c r="K16" s="156">
        <v>400</v>
      </c>
      <c r="L16" s="156">
        <v>600</v>
      </c>
      <c r="N16" s="116"/>
      <c r="O16" s="116" t="s">
        <v>1531</v>
      </c>
      <c r="Q16" s="116" t="s">
        <v>1581</v>
      </c>
      <c r="R16" s="154"/>
      <c r="S16" s="116">
        <v>2020</v>
      </c>
    </row>
    <row r="17" spans="1:19">
      <c r="A17" s="116" t="s">
        <v>1582</v>
      </c>
      <c r="B17" s="116" t="s">
        <v>1534</v>
      </c>
      <c r="C17" s="151">
        <v>55</v>
      </c>
      <c r="D17" s="150">
        <v>3000</v>
      </c>
      <c r="E17" s="150">
        <f t="shared" si="0"/>
        <v>165000</v>
      </c>
      <c r="F17" s="116" t="s">
        <v>1535</v>
      </c>
      <c r="G17" s="116"/>
      <c r="I17" s="146" t="s">
        <v>1583</v>
      </c>
      <c r="J17" s="146" t="s">
        <v>1584</v>
      </c>
      <c r="K17" s="146" t="s">
        <v>1585</v>
      </c>
      <c r="L17" s="146" t="s">
        <v>1586</v>
      </c>
      <c r="N17" s="116"/>
      <c r="O17" s="116" t="s">
        <v>1544</v>
      </c>
      <c r="Q17" s="116" t="s">
        <v>1587</v>
      </c>
      <c r="R17" s="154"/>
      <c r="S17" s="116">
        <v>2020</v>
      </c>
    </row>
    <row r="18" spans="1:19">
      <c r="A18" s="116" t="s">
        <v>1588</v>
      </c>
      <c r="B18" s="116" t="s">
        <v>1547</v>
      </c>
      <c r="C18" s="151">
        <v>32</v>
      </c>
      <c r="D18" s="150">
        <v>5300</v>
      </c>
      <c r="E18" s="150">
        <f t="shared" si="0"/>
        <v>169600</v>
      </c>
      <c r="F18" s="116" t="s">
        <v>1542</v>
      </c>
      <c r="G18" s="116"/>
      <c r="I18" s="146" t="s">
        <v>1552</v>
      </c>
      <c r="J18" s="146" t="s">
        <v>1585</v>
      </c>
      <c r="K18" s="146" t="s">
        <v>1586</v>
      </c>
      <c r="L18" s="146" t="s">
        <v>1589</v>
      </c>
      <c r="N18" s="116"/>
      <c r="O18" s="116" t="s">
        <v>1531</v>
      </c>
      <c r="Q18" s="116" t="s">
        <v>1590</v>
      </c>
      <c r="R18" s="154"/>
      <c r="S18" s="116">
        <v>2020</v>
      </c>
    </row>
    <row r="19" spans="1:19">
      <c r="A19" s="116" t="s">
        <v>1591</v>
      </c>
      <c r="B19" s="116" t="s">
        <v>1527</v>
      </c>
      <c r="C19" s="151">
        <v>60</v>
      </c>
      <c r="D19" s="150">
        <v>1500</v>
      </c>
      <c r="E19" s="150">
        <f t="shared" si="0"/>
        <v>90000</v>
      </c>
      <c r="F19" s="116" t="s">
        <v>1535</v>
      </c>
      <c r="G19" s="116"/>
      <c r="N19" s="116"/>
      <c r="O19" s="116" t="s">
        <v>1531</v>
      </c>
      <c r="Q19" s="116" t="s">
        <v>1592</v>
      </c>
      <c r="R19" s="154"/>
      <c r="S19" s="116">
        <v>2020</v>
      </c>
    </row>
    <row r="20" spans="1:19">
      <c r="A20" s="116" t="s">
        <v>1593</v>
      </c>
      <c r="B20" s="116" t="s">
        <v>1534</v>
      </c>
      <c r="C20" s="151">
        <v>50</v>
      </c>
      <c r="D20" s="150">
        <v>3000</v>
      </c>
      <c r="E20" s="150">
        <f t="shared" si="0"/>
        <v>150000</v>
      </c>
      <c r="F20" s="116" t="s">
        <v>1528</v>
      </c>
      <c r="G20" s="116"/>
      <c r="I20" t="s">
        <v>1594</v>
      </c>
      <c r="N20" s="116"/>
      <c r="O20" s="116" t="s">
        <v>1544</v>
      </c>
      <c r="Q20" s="116" t="s">
        <v>1595</v>
      </c>
      <c r="R20" s="154"/>
      <c r="S20" s="116">
        <v>2020</v>
      </c>
    </row>
    <row r="21" spans="1:19">
      <c r="A21" s="116" t="s">
        <v>1597</v>
      </c>
      <c r="B21" s="116" t="s">
        <v>1534</v>
      </c>
      <c r="C21" s="151">
        <v>110</v>
      </c>
      <c r="D21" s="150">
        <v>3000</v>
      </c>
      <c r="E21" s="150">
        <f t="shared" si="0"/>
        <v>330000</v>
      </c>
      <c r="F21" s="116" t="s">
        <v>1528</v>
      </c>
      <c r="G21" s="116"/>
      <c r="I21" s="146" t="s">
        <v>1598</v>
      </c>
      <c r="J21" s="146" t="s">
        <v>1599</v>
      </c>
      <c r="K21" s="117" t="s">
        <v>1600</v>
      </c>
      <c r="N21" s="116"/>
      <c r="O21" s="116" t="s">
        <v>1531</v>
      </c>
      <c r="Q21" s="116" t="s">
        <v>1601</v>
      </c>
      <c r="R21" s="154"/>
      <c r="S21" s="116">
        <v>2020</v>
      </c>
    </row>
    <row r="22" spans="1:19">
      <c r="A22" s="116" t="s">
        <v>1602</v>
      </c>
      <c r="B22" s="116" t="s">
        <v>1527</v>
      </c>
      <c r="C22" s="151">
        <v>45</v>
      </c>
      <c r="D22" s="150">
        <v>1500</v>
      </c>
      <c r="E22" s="150">
        <f t="shared" si="0"/>
        <v>67500</v>
      </c>
      <c r="F22" s="116" t="s">
        <v>1603</v>
      </c>
      <c r="G22" s="116"/>
      <c r="I22" s="146" t="s">
        <v>1604</v>
      </c>
      <c r="J22" s="146" t="s">
        <v>1605</v>
      </c>
      <c r="K22" s="157"/>
      <c r="N22" s="116"/>
      <c r="O22" s="116" t="s">
        <v>1537</v>
      </c>
      <c r="Q22" s="116" t="s">
        <v>1606</v>
      </c>
      <c r="R22" s="154"/>
      <c r="S22" s="116">
        <v>2021</v>
      </c>
    </row>
    <row r="23" spans="1:19">
      <c r="A23" s="116" t="s">
        <v>1607</v>
      </c>
      <c r="B23" s="116" t="s">
        <v>1556</v>
      </c>
      <c r="C23" s="151">
        <v>50</v>
      </c>
      <c r="D23" s="150">
        <v>2500</v>
      </c>
      <c r="E23" s="150">
        <f t="shared" si="0"/>
        <v>125000</v>
      </c>
      <c r="F23" s="116" t="s">
        <v>1528</v>
      </c>
      <c r="G23" s="116"/>
      <c r="I23" s="146" t="s">
        <v>1608</v>
      </c>
      <c r="J23" s="146" t="s">
        <v>1609</v>
      </c>
      <c r="K23" s="157"/>
      <c r="N23" s="116"/>
      <c r="O23" s="116" t="s">
        <v>1544</v>
      </c>
      <c r="Q23" s="116" t="s">
        <v>1610</v>
      </c>
      <c r="R23" s="154"/>
      <c r="S23" s="116">
        <v>2021</v>
      </c>
    </row>
    <row r="24" spans="1:19">
      <c r="A24" s="116" t="s">
        <v>1611</v>
      </c>
      <c r="B24" s="116" t="s">
        <v>1527</v>
      </c>
      <c r="C24" s="151">
        <v>80</v>
      </c>
      <c r="D24" s="150">
        <v>1500</v>
      </c>
      <c r="E24" s="150">
        <f t="shared" si="0"/>
        <v>120000</v>
      </c>
      <c r="F24" s="116" t="s">
        <v>1528</v>
      </c>
      <c r="G24" s="116"/>
      <c r="I24" s="146" t="s">
        <v>1612</v>
      </c>
      <c r="J24" s="146" t="s">
        <v>1613</v>
      </c>
      <c r="K24" s="157"/>
      <c r="N24" s="116"/>
      <c r="O24" s="116" t="s">
        <v>1531</v>
      </c>
      <c r="Q24" s="116" t="s">
        <v>1614</v>
      </c>
      <c r="R24" s="154"/>
      <c r="S24" s="116">
        <v>2021</v>
      </c>
    </row>
    <row r="25" spans="1:19">
      <c r="F25" s="143"/>
      <c r="I25" s="146" t="s">
        <v>1615</v>
      </c>
      <c r="J25" s="146" t="s">
        <v>1616</v>
      </c>
      <c r="K25" s="157"/>
      <c r="N25" s="116"/>
      <c r="O25" s="116" t="s">
        <v>1537</v>
      </c>
      <c r="Q25" s="116" t="s">
        <v>1617</v>
      </c>
      <c r="R25" s="154"/>
      <c r="S25" s="116">
        <v>2021</v>
      </c>
    </row>
    <row r="26" spans="1:19">
      <c r="A26" t="s">
        <v>1618</v>
      </c>
      <c r="I26" s="146" t="s">
        <v>1619</v>
      </c>
      <c r="J26" s="146" t="s">
        <v>1620</v>
      </c>
      <c r="K26" s="157"/>
      <c r="N26" s="116"/>
      <c r="O26" s="116" t="s">
        <v>1544</v>
      </c>
      <c r="Q26" s="116" t="s">
        <v>1621</v>
      </c>
      <c r="R26" s="154"/>
      <c r="S26" s="116">
        <v>2021</v>
      </c>
    </row>
    <row r="27" spans="1:19">
      <c r="A27" s="283" t="s">
        <v>1511</v>
      </c>
      <c r="B27" s="284"/>
      <c r="C27" s="116" t="s">
        <v>1528</v>
      </c>
      <c r="D27" s="116" t="s">
        <v>1535</v>
      </c>
      <c r="E27" s="116" t="s">
        <v>1542</v>
      </c>
      <c r="N27" s="116"/>
      <c r="O27" s="116" t="s">
        <v>1531</v>
      </c>
      <c r="Q27" s="116" t="s">
        <v>1622</v>
      </c>
      <c r="R27" s="154"/>
      <c r="S27" s="116">
        <v>2021</v>
      </c>
    </row>
    <row r="28" spans="1:19">
      <c r="A28" s="158">
        <v>0</v>
      </c>
      <c r="B28" s="159">
        <v>10</v>
      </c>
      <c r="C28" s="160">
        <v>2E-3</v>
      </c>
      <c r="D28" s="160">
        <v>1E-3</v>
      </c>
      <c r="E28" s="160">
        <v>3.0000000000000003E-4</v>
      </c>
      <c r="I28" t="s">
        <v>1623</v>
      </c>
      <c r="N28" s="116"/>
      <c r="O28" s="116" t="s">
        <v>1537</v>
      </c>
      <c r="Q28" s="116" t="s">
        <v>1624</v>
      </c>
      <c r="R28" s="154"/>
      <c r="S28" s="116">
        <v>2021</v>
      </c>
    </row>
    <row r="29" spans="1:19" ht="16.5" customHeight="1">
      <c r="A29" s="158">
        <v>10</v>
      </c>
      <c r="B29" s="159">
        <v>30</v>
      </c>
      <c r="C29" s="160">
        <v>3.5000000000000001E-3</v>
      </c>
      <c r="D29" s="160">
        <v>1.5E-3</v>
      </c>
      <c r="E29" s="160">
        <v>5.0000000000000001E-4</v>
      </c>
      <c r="I29" s="116" t="s">
        <v>1625</v>
      </c>
      <c r="J29" s="116" t="s">
        <v>728</v>
      </c>
      <c r="N29" s="116"/>
      <c r="O29" s="116" t="s">
        <v>1537</v>
      </c>
      <c r="Q29" s="116" t="s">
        <v>1626</v>
      </c>
      <c r="R29" s="154"/>
      <c r="S29" s="116">
        <v>2021</v>
      </c>
    </row>
    <row r="30" spans="1:19">
      <c r="A30" s="158">
        <v>30</v>
      </c>
      <c r="B30" s="159">
        <v>50</v>
      </c>
      <c r="C30" s="160">
        <v>5.0000000000000001E-3</v>
      </c>
      <c r="D30" s="160">
        <v>2E-3</v>
      </c>
      <c r="E30" s="160">
        <v>1E-3</v>
      </c>
      <c r="I30" s="161" t="s">
        <v>1627</v>
      </c>
      <c r="J30" s="116" t="s">
        <v>1628</v>
      </c>
      <c r="Q30" s="116" t="s">
        <v>1629</v>
      </c>
      <c r="R30" s="154"/>
      <c r="S30" s="116">
        <v>2021</v>
      </c>
    </row>
    <row r="31" spans="1:19">
      <c r="A31" s="158">
        <v>50</v>
      </c>
      <c r="B31" s="159">
        <v>70</v>
      </c>
      <c r="C31" s="160">
        <v>5.0000000000000001E-3</v>
      </c>
      <c r="D31" s="160">
        <v>2.5000000000000001E-3</v>
      </c>
      <c r="E31" s="160">
        <v>2E-3</v>
      </c>
      <c r="I31" s="161" t="s">
        <v>1630</v>
      </c>
      <c r="J31" s="116" t="s">
        <v>1631</v>
      </c>
    </row>
    <row r="32" spans="1:19">
      <c r="A32" s="158">
        <v>70</v>
      </c>
      <c r="B32" s="159">
        <v>100</v>
      </c>
      <c r="C32" s="160">
        <v>6.0000000000000001E-3</v>
      </c>
      <c r="D32" s="160">
        <v>3.5000000000000001E-3</v>
      </c>
      <c r="E32" s="160">
        <v>3.0000000000000001E-3</v>
      </c>
      <c r="I32" s="161" t="s">
        <v>1632</v>
      </c>
      <c r="J32" s="116" t="s">
        <v>1633</v>
      </c>
    </row>
    <row r="33" spans="1:5">
      <c r="A33" s="158">
        <v>100</v>
      </c>
      <c r="B33" s="162"/>
      <c r="C33" s="160">
        <v>7.0000000000000001E-3</v>
      </c>
      <c r="D33" s="160">
        <v>4.4999999999999997E-3</v>
      </c>
      <c r="E33" s="160">
        <v>4.0000000000000001E-3</v>
      </c>
    </row>
  </sheetData>
  <mergeCells count="2">
    <mergeCell ref="I15:I16"/>
    <mergeCell ref="A27:B27"/>
  </mergeCells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S33"/>
  <sheetViews>
    <sheetView workbookViewId="0"/>
  </sheetViews>
  <sheetFormatPr defaultColWidth="9" defaultRowHeight="17"/>
  <cols>
    <col min="7" max="7" width="11" bestFit="1" customWidth="1"/>
    <col min="8" max="8" width="1.58203125" customWidth="1"/>
    <col min="9" max="9" width="11" bestFit="1" customWidth="1"/>
    <col min="10" max="11" width="13.83203125" bestFit="1" customWidth="1"/>
    <col min="12" max="12" width="14.33203125" bestFit="1" customWidth="1"/>
    <col min="13" max="13" width="1.58203125" customWidth="1"/>
    <col min="15" max="15" width="11" bestFit="1" customWidth="1"/>
    <col min="16" max="16" width="1.58203125" customWidth="1"/>
    <col min="17" max="17" width="10.08203125" customWidth="1"/>
    <col min="18" max="18" width="10.25" bestFit="1" customWidth="1"/>
    <col min="19" max="19" width="9" bestFit="1" customWidth="1"/>
    <col min="20" max="20" width="15.25" bestFit="1" customWidth="1"/>
  </cols>
  <sheetData>
    <row r="1" spans="1:19">
      <c r="A1" t="s">
        <v>1504</v>
      </c>
      <c r="I1" t="s">
        <v>1505</v>
      </c>
      <c r="N1" t="s">
        <v>1506</v>
      </c>
      <c r="Q1" t="s">
        <v>1507</v>
      </c>
    </row>
    <row r="2" spans="1:19">
      <c r="A2" s="116" t="s">
        <v>1508</v>
      </c>
      <c r="B2" s="116" t="s">
        <v>1510</v>
      </c>
      <c r="C2" s="116" t="s">
        <v>1511</v>
      </c>
      <c r="D2" s="116" t="s">
        <v>1512</v>
      </c>
      <c r="E2" s="116" t="s">
        <v>1513</v>
      </c>
      <c r="F2" s="116" t="s">
        <v>1634</v>
      </c>
      <c r="G2" s="117" t="s">
        <v>1515</v>
      </c>
      <c r="I2" s="116" t="s">
        <v>1516</v>
      </c>
      <c r="J2" s="116" t="s">
        <v>1517</v>
      </c>
      <c r="K2" s="116" t="s">
        <v>1518</v>
      </c>
      <c r="L2" s="117" t="s">
        <v>1519</v>
      </c>
      <c r="N2" s="117" t="s">
        <v>1520</v>
      </c>
      <c r="O2" s="116" t="s">
        <v>1521</v>
      </c>
      <c r="Q2" s="116" t="s">
        <v>1522</v>
      </c>
      <c r="R2" s="117" t="s">
        <v>1523</v>
      </c>
      <c r="S2" s="116" t="s">
        <v>1524</v>
      </c>
    </row>
    <row r="3" spans="1:19">
      <c r="A3" s="116" t="s">
        <v>1525</v>
      </c>
      <c r="B3" s="116" t="s">
        <v>1527</v>
      </c>
      <c r="C3" s="151">
        <v>55</v>
      </c>
      <c r="D3" s="150">
        <v>1500</v>
      </c>
      <c r="E3" s="150">
        <f>C3*D3</f>
        <v>82500</v>
      </c>
      <c r="F3" s="116" t="s">
        <v>1635</v>
      </c>
      <c r="G3" s="116" t="str">
        <f t="shared" ref="G3:G24" si="0">TEXT(E3*VLOOKUP(C3,$A$27:$E$33,MATCH(F3,$C$27:$E$27,0)+2),"#,##0점")</f>
        <v>413점</v>
      </c>
      <c r="I3" s="116" t="s">
        <v>1636</v>
      </c>
      <c r="J3" s="116" t="s">
        <v>1637</v>
      </c>
      <c r="K3" s="151">
        <v>230</v>
      </c>
      <c r="L3" s="116" t="str">
        <f t="shared" ref="L3:L12" si="1">PROPER(HLOOKUP(K3,$J$15:$L$18,MATCH(J3,$I$17:$I$18,0)+2))</f>
        <v>Crystal Hall</v>
      </c>
      <c r="N3" s="116" t="str">
        <f>CONCATENATE(VLOOKUP(O3,$I$30:$J$32,2,FALSE),"-",ROW()-2)</f>
        <v>SB-1</v>
      </c>
      <c r="O3" s="116" t="s">
        <v>1638</v>
      </c>
      <c r="Q3" s="116" t="s">
        <v>1639</v>
      </c>
      <c r="R3" s="154" t="str">
        <f>REPLACE(Q3,2,0,"-"&amp;RIGHT(S3,2)&amp;"-")</f>
        <v>S-20-001</v>
      </c>
      <c r="S3" s="154">
        <v>2020</v>
      </c>
    </row>
    <row r="4" spans="1:19">
      <c r="A4" s="116" t="s">
        <v>1640</v>
      </c>
      <c r="B4" s="116" t="s">
        <v>1641</v>
      </c>
      <c r="C4" s="151">
        <v>20</v>
      </c>
      <c r="D4" s="150">
        <v>3000</v>
      </c>
      <c r="E4" s="150">
        <f t="shared" ref="E4:E24" si="2">C4*D4</f>
        <v>60000</v>
      </c>
      <c r="F4" s="116" t="s">
        <v>1642</v>
      </c>
      <c r="G4" s="116" t="str">
        <f t="shared" si="0"/>
        <v>90점</v>
      </c>
      <c r="I4" s="116" t="s">
        <v>1643</v>
      </c>
      <c r="J4" s="116" t="s">
        <v>1637</v>
      </c>
      <c r="K4" s="151">
        <v>390</v>
      </c>
      <c r="L4" s="116" t="str">
        <f t="shared" si="1"/>
        <v xml:space="preserve">Diamond Hall </v>
      </c>
      <c r="N4" s="116" t="str">
        <f t="shared" ref="N4:N29" si="3">CONCATENATE(VLOOKUP(O4,$I$30:$J$32,2,FALSE),"-",ROW()-2)</f>
        <v>KY-2</v>
      </c>
      <c r="O4" s="116" t="s">
        <v>1644</v>
      </c>
      <c r="Q4" s="116" t="s">
        <v>1538</v>
      </c>
      <c r="R4" s="154" t="str">
        <f t="shared" ref="R4:R30" si="4">REPLACE(Q4,2,0,"-"&amp;RIGHT(S4,2)&amp;"-")</f>
        <v>S-20-002</v>
      </c>
      <c r="S4" s="116">
        <v>2020</v>
      </c>
    </row>
    <row r="5" spans="1:19">
      <c r="A5" s="116" t="s">
        <v>1645</v>
      </c>
      <c r="B5" s="116" t="s">
        <v>1646</v>
      </c>
      <c r="C5" s="151">
        <v>20</v>
      </c>
      <c r="D5" s="150">
        <v>2000</v>
      </c>
      <c r="E5" s="150">
        <f t="shared" si="2"/>
        <v>40000</v>
      </c>
      <c r="F5" s="116" t="s">
        <v>1647</v>
      </c>
      <c r="G5" s="116" t="str">
        <f t="shared" si="0"/>
        <v>20점</v>
      </c>
      <c r="I5" s="116" t="s">
        <v>1648</v>
      </c>
      <c r="J5" s="116" t="s">
        <v>1637</v>
      </c>
      <c r="K5" s="151">
        <v>120</v>
      </c>
      <c r="L5" s="116" t="str">
        <f t="shared" si="1"/>
        <v>Crystal Hall</v>
      </c>
      <c r="N5" s="116" t="str">
        <f t="shared" si="3"/>
        <v>KT-3</v>
      </c>
      <c r="O5" s="116" t="s">
        <v>1649</v>
      </c>
      <c r="Q5" s="116" t="s">
        <v>1545</v>
      </c>
      <c r="R5" s="154" t="str">
        <f t="shared" si="4"/>
        <v>S-20-003</v>
      </c>
      <c r="S5" s="116">
        <v>2020</v>
      </c>
    </row>
    <row r="6" spans="1:19">
      <c r="A6" s="116" t="s">
        <v>1650</v>
      </c>
      <c r="B6" s="116" t="s">
        <v>1651</v>
      </c>
      <c r="C6" s="151">
        <v>21</v>
      </c>
      <c r="D6" s="150">
        <v>5300</v>
      </c>
      <c r="E6" s="150">
        <f t="shared" si="2"/>
        <v>111300</v>
      </c>
      <c r="F6" s="116" t="s">
        <v>1647</v>
      </c>
      <c r="G6" s="116" t="str">
        <f t="shared" si="0"/>
        <v>56점</v>
      </c>
      <c r="I6" s="116" t="s">
        <v>1652</v>
      </c>
      <c r="J6" s="116" t="s">
        <v>1637</v>
      </c>
      <c r="K6" s="151">
        <v>350</v>
      </c>
      <c r="L6" s="116" t="str">
        <f t="shared" si="1"/>
        <v xml:space="preserve">Diamond Hall </v>
      </c>
      <c r="N6" s="116" t="str">
        <f t="shared" si="3"/>
        <v>SB-4</v>
      </c>
      <c r="O6" s="116" t="s">
        <v>1638</v>
      </c>
      <c r="Q6" s="116" t="s">
        <v>1549</v>
      </c>
      <c r="R6" s="154" t="str">
        <f t="shared" si="4"/>
        <v>S-20-004</v>
      </c>
      <c r="S6" s="116">
        <v>2020</v>
      </c>
    </row>
    <row r="7" spans="1:19">
      <c r="A7" s="116" t="s">
        <v>1653</v>
      </c>
      <c r="B7" s="116" t="s">
        <v>1641</v>
      </c>
      <c r="C7" s="151">
        <v>95</v>
      </c>
      <c r="D7" s="150">
        <v>3000</v>
      </c>
      <c r="E7" s="150">
        <f t="shared" si="2"/>
        <v>285000</v>
      </c>
      <c r="F7" s="116" t="s">
        <v>1647</v>
      </c>
      <c r="G7" s="116" t="str">
        <f t="shared" si="0"/>
        <v>855점</v>
      </c>
      <c r="I7" s="116" t="s">
        <v>1654</v>
      </c>
      <c r="J7" s="116" t="s">
        <v>1655</v>
      </c>
      <c r="K7" s="151">
        <v>150</v>
      </c>
      <c r="L7" s="116" t="str">
        <f t="shared" si="1"/>
        <v xml:space="preserve">Diamond Hall </v>
      </c>
      <c r="N7" s="116" t="str">
        <f t="shared" si="3"/>
        <v>SB-5</v>
      </c>
      <c r="O7" s="116" t="s">
        <v>1638</v>
      </c>
      <c r="Q7" s="116" t="s">
        <v>1553</v>
      </c>
      <c r="R7" s="154" t="str">
        <f t="shared" si="4"/>
        <v>S-20-005</v>
      </c>
      <c r="S7" s="116">
        <v>2020</v>
      </c>
    </row>
    <row r="8" spans="1:19">
      <c r="A8" s="116" t="s">
        <v>1656</v>
      </c>
      <c r="B8" s="116" t="s">
        <v>1657</v>
      </c>
      <c r="C8" s="151">
        <v>120</v>
      </c>
      <c r="D8" s="150">
        <v>2500</v>
      </c>
      <c r="E8" s="150">
        <f t="shared" si="2"/>
        <v>300000</v>
      </c>
      <c r="F8" s="116" t="s">
        <v>1647</v>
      </c>
      <c r="G8" s="116" t="str">
        <f t="shared" si="0"/>
        <v>1,200점</v>
      </c>
      <c r="I8" s="116" t="s">
        <v>1658</v>
      </c>
      <c r="J8" s="116" t="s">
        <v>1637</v>
      </c>
      <c r="K8" s="151">
        <v>452</v>
      </c>
      <c r="L8" s="116" t="str">
        <f t="shared" si="1"/>
        <v xml:space="preserve">Ruby Hall </v>
      </c>
      <c r="N8" s="116" t="str">
        <f t="shared" si="3"/>
        <v>KY-6</v>
      </c>
      <c r="O8" s="116" t="s">
        <v>1644</v>
      </c>
      <c r="Q8" s="116" t="s">
        <v>1558</v>
      </c>
      <c r="R8" s="154" t="str">
        <f t="shared" si="4"/>
        <v>S-20-006</v>
      </c>
      <c r="S8" s="116">
        <v>2020</v>
      </c>
    </row>
    <row r="9" spans="1:19">
      <c r="A9" s="116" t="s">
        <v>1659</v>
      </c>
      <c r="B9" s="116" t="s">
        <v>1646</v>
      </c>
      <c r="C9" s="151">
        <v>20</v>
      </c>
      <c r="D9" s="150">
        <v>2000</v>
      </c>
      <c r="E9" s="150">
        <f t="shared" si="2"/>
        <v>40000</v>
      </c>
      <c r="F9" s="116" t="s">
        <v>1642</v>
      </c>
      <c r="G9" s="116" t="str">
        <f t="shared" si="0"/>
        <v>60점</v>
      </c>
      <c r="I9" s="116" t="s">
        <v>1660</v>
      </c>
      <c r="J9" s="116" t="s">
        <v>1655</v>
      </c>
      <c r="K9" s="151">
        <v>210</v>
      </c>
      <c r="L9" s="116" t="str">
        <f t="shared" si="1"/>
        <v xml:space="preserve">Diamond Hall </v>
      </c>
      <c r="N9" s="116" t="str">
        <f t="shared" si="3"/>
        <v>KY-7</v>
      </c>
      <c r="O9" s="116" t="s">
        <v>1644</v>
      </c>
      <c r="Q9" s="116" t="s">
        <v>1562</v>
      </c>
      <c r="R9" s="154" t="str">
        <f t="shared" si="4"/>
        <v>S-20-007</v>
      </c>
      <c r="S9" s="116">
        <v>2020</v>
      </c>
    </row>
    <row r="10" spans="1:19">
      <c r="A10" s="116" t="s">
        <v>1661</v>
      </c>
      <c r="B10" s="116" t="s">
        <v>1651</v>
      </c>
      <c r="C10" s="151">
        <v>25</v>
      </c>
      <c r="D10" s="150">
        <v>5300</v>
      </c>
      <c r="E10" s="150">
        <f t="shared" si="2"/>
        <v>132500</v>
      </c>
      <c r="F10" s="116" t="s">
        <v>1647</v>
      </c>
      <c r="G10" s="116" t="str">
        <f t="shared" si="0"/>
        <v>66점</v>
      </c>
      <c r="I10" s="116" t="s">
        <v>1662</v>
      </c>
      <c r="J10" s="116" t="s">
        <v>1655</v>
      </c>
      <c r="K10" s="151">
        <v>215</v>
      </c>
      <c r="L10" s="116" t="str">
        <f t="shared" si="1"/>
        <v xml:space="preserve">Diamond Hall </v>
      </c>
      <c r="N10" s="116" t="str">
        <f t="shared" si="3"/>
        <v>KT-8</v>
      </c>
      <c r="O10" s="116" t="s">
        <v>1649</v>
      </c>
      <c r="Q10" s="116" t="s">
        <v>1565</v>
      </c>
      <c r="R10" s="154" t="str">
        <f t="shared" si="4"/>
        <v>S-20-008</v>
      </c>
      <c r="S10" s="116">
        <v>2020</v>
      </c>
    </row>
    <row r="11" spans="1:19">
      <c r="A11" s="116" t="s">
        <v>1663</v>
      </c>
      <c r="B11" s="116" t="s">
        <v>1657</v>
      </c>
      <c r="C11" s="151">
        <v>90</v>
      </c>
      <c r="D11" s="150">
        <v>2500</v>
      </c>
      <c r="E11" s="150">
        <f t="shared" si="2"/>
        <v>225000</v>
      </c>
      <c r="F11" s="116" t="s">
        <v>1664</v>
      </c>
      <c r="G11" s="116" t="str">
        <f t="shared" si="0"/>
        <v>1,350점</v>
      </c>
      <c r="I11" s="116" t="s">
        <v>1665</v>
      </c>
      <c r="J11" s="116" t="s">
        <v>1637</v>
      </c>
      <c r="K11" s="151">
        <v>153</v>
      </c>
      <c r="L11" s="116" t="str">
        <f t="shared" si="1"/>
        <v>Crystal Hall</v>
      </c>
      <c r="N11" s="116" t="str">
        <f t="shared" si="3"/>
        <v>KT-9</v>
      </c>
      <c r="O11" s="116" t="s">
        <v>1649</v>
      </c>
      <c r="Q11" s="116" t="s">
        <v>1569</v>
      </c>
      <c r="R11" s="154" t="str">
        <f t="shared" si="4"/>
        <v>S-20-009</v>
      </c>
      <c r="S11" s="116">
        <v>2020</v>
      </c>
    </row>
    <row r="12" spans="1:19">
      <c r="A12" s="116" t="s">
        <v>1666</v>
      </c>
      <c r="B12" s="116" t="s">
        <v>1657</v>
      </c>
      <c r="C12" s="151">
        <v>55</v>
      </c>
      <c r="D12" s="150">
        <v>2500</v>
      </c>
      <c r="E12" s="150">
        <f t="shared" si="2"/>
        <v>137500</v>
      </c>
      <c r="F12" s="116" t="s">
        <v>1664</v>
      </c>
      <c r="G12" s="116" t="str">
        <f t="shared" si="0"/>
        <v>688점</v>
      </c>
      <c r="I12" s="116" t="s">
        <v>1667</v>
      </c>
      <c r="J12" s="116" t="s">
        <v>1637</v>
      </c>
      <c r="K12" s="151">
        <v>412</v>
      </c>
      <c r="L12" s="116" t="str">
        <f t="shared" si="1"/>
        <v xml:space="preserve">Ruby Hall </v>
      </c>
      <c r="N12" s="116" t="str">
        <f t="shared" si="3"/>
        <v>KY-10</v>
      </c>
      <c r="O12" s="116" t="s">
        <v>1644</v>
      </c>
      <c r="Q12" s="116" t="s">
        <v>1572</v>
      </c>
      <c r="R12" s="154" t="str">
        <f t="shared" si="4"/>
        <v>S-20-010</v>
      </c>
      <c r="S12" s="116">
        <v>2020</v>
      </c>
    </row>
    <row r="13" spans="1:19">
      <c r="A13" s="116" t="s">
        <v>1668</v>
      </c>
      <c r="B13" s="116" t="s">
        <v>1646</v>
      </c>
      <c r="C13" s="151">
        <v>30</v>
      </c>
      <c r="D13" s="150">
        <v>2000</v>
      </c>
      <c r="E13" s="150">
        <f t="shared" si="2"/>
        <v>60000</v>
      </c>
      <c r="F13" s="116" t="s">
        <v>1642</v>
      </c>
      <c r="G13" s="116" t="str">
        <f t="shared" si="0"/>
        <v>120점</v>
      </c>
      <c r="N13" s="116" t="str">
        <f t="shared" si="3"/>
        <v>KT-11</v>
      </c>
      <c r="O13" s="116" t="s">
        <v>1649</v>
      </c>
      <c r="Q13" s="116" t="s">
        <v>1574</v>
      </c>
      <c r="R13" s="154" t="str">
        <f t="shared" si="4"/>
        <v>S-20-011</v>
      </c>
      <c r="S13" s="116">
        <v>2020</v>
      </c>
    </row>
    <row r="14" spans="1:19">
      <c r="A14" s="116" t="s">
        <v>1669</v>
      </c>
      <c r="B14" s="116" t="s">
        <v>1651</v>
      </c>
      <c r="C14" s="151">
        <v>25</v>
      </c>
      <c r="D14" s="150">
        <v>5300</v>
      </c>
      <c r="E14" s="150">
        <f t="shared" si="2"/>
        <v>132500</v>
      </c>
      <c r="F14" s="116" t="s">
        <v>1642</v>
      </c>
      <c r="G14" s="116" t="str">
        <f t="shared" si="0"/>
        <v>199점</v>
      </c>
      <c r="I14" t="s">
        <v>1670</v>
      </c>
      <c r="N14" s="116" t="str">
        <f t="shared" si="3"/>
        <v>SB-12</v>
      </c>
      <c r="O14" s="116" t="s">
        <v>1638</v>
      </c>
      <c r="Q14" s="116" t="s">
        <v>1577</v>
      </c>
      <c r="R14" s="154" t="str">
        <f t="shared" si="4"/>
        <v>S-20-012</v>
      </c>
      <c r="S14" s="116">
        <v>2020</v>
      </c>
    </row>
    <row r="15" spans="1:19">
      <c r="A15" s="116" t="s">
        <v>1671</v>
      </c>
      <c r="B15" s="116" t="s">
        <v>1646</v>
      </c>
      <c r="C15" s="151">
        <v>100</v>
      </c>
      <c r="D15" s="150">
        <v>2000</v>
      </c>
      <c r="E15" s="150">
        <f t="shared" si="2"/>
        <v>200000</v>
      </c>
      <c r="F15" s="116" t="s">
        <v>1642</v>
      </c>
      <c r="G15" s="116" t="str">
        <f t="shared" si="0"/>
        <v>900점</v>
      </c>
      <c r="I15" s="281"/>
      <c r="J15" s="155">
        <v>100</v>
      </c>
      <c r="K15" s="155">
        <v>300</v>
      </c>
      <c r="L15" s="155">
        <v>400</v>
      </c>
      <c r="N15" s="116" t="str">
        <f t="shared" si="3"/>
        <v>KY-13</v>
      </c>
      <c r="O15" s="116" t="s">
        <v>1537</v>
      </c>
      <c r="Q15" s="116" t="s">
        <v>1579</v>
      </c>
      <c r="R15" s="154" t="str">
        <f t="shared" si="4"/>
        <v>S-20-013</v>
      </c>
      <c r="S15" s="116">
        <v>2020</v>
      </c>
    </row>
    <row r="16" spans="1:19">
      <c r="A16" s="116" t="s">
        <v>1580</v>
      </c>
      <c r="B16" s="116" t="s">
        <v>1547</v>
      </c>
      <c r="C16" s="151">
        <v>90</v>
      </c>
      <c r="D16" s="150">
        <v>5300</v>
      </c>
      <c r="E16" s="150">
        <f t="shared" si="2"/>
        <v>477000</v>
      </c>
      <c r="F16" s="116" t="s">
        <v>1542</v>
      </c>
      <c r="G16" s="116" t="str">
        <f t="shared" si="0"/>
        <v>1,431점</v>
      </c>
      <c r="I16" s="282"/>
      <c r="J16" s="156">
        <v>300</v>
      </c>
      <c r="K16" s="156">
        <v>400</v>
      </c>
      <c r="L16" s="156">
        <v>600</v>
      </c>
      <c r="N16" s="116" t="str">
        <f t="shared" si="3"/>
        <v>SB-14</v>
      </c>
      <c r="O16" s="116" t="s">
        <v>1531</v>
      </c>
      <c r="Q16" s="116" t="s">
        <v>1581</v>
      </c>
      <c r="R16" s="154" t="str">
        <f t="shared" si="4"/>
        <v>S-20-014</v>
      </c>
      <c r="S16" s="116">
        <v>2020</v>
      </c>
    </row>
    <row r="17" spans="1:19">
      <c r="A17" s="116" t="s">
        <v>1582</v>
      </c>
      <c r="B17" s="116" t="s">
        <v>1534</v>
      </c>
      <c r="C17" s="151">
        <v>55</v>
      </c>
      <c r="D17" s="150">
        <v>3000</v>
      </c>
      <c r="E17" s="150">
        <f t="shared" si="2"/>
        <v>165000</v>
      </c>
      <c r="F17" s="116" t="s">
        <v>1535</v>
      </c>
      <c r="G17" s="116" t="str">
        <f t="shared" si="0"/>
        <v>413점</v>
      </c>
      <c r="I17" s="146" t="s">
        <v>1530</v>
      </c>
      <c r="J17" s="146" t="s">
        <v>1584</v>
      </c>
      <c r="K17" s="146" t="s">
        <v>1585</v>
      </c>
      <c r="L17" s="146" t="s">
        <v>1586</v>
      </c>
      <c r="N17" s="116" t="str">
        <f t="shared" si="3"/>
        <v>KT-15</v>
      </c>
      <c r="O17" s="116" t="s">
        <v>1544</v>
      </c>
      <c r="Q17" s="116" t="s">
        <v>1587</v>
      </c>
      <c r="R17" s="154" t="str">
        <f t="shared" si="4"/>
        <v>S-20-015</v>
      </c>
      <c r="S17" s="116">
        <v>2020</v>
      </c>
    </row>
    <row r="18" spans="1:19">
      <c r="A18" s="116" t="s">
        <v>1588</v>
      </c>
      <c r="B18" s="116" t="s">
        <v>1547</v>
      </c>
      <c r="C18" s="151">
        <v>32</v>
      </c>
      <c r="D18" s="150">
        <v>5300</v>
      </c>
      <c r="E18" s="150">
        <f t="shared" si="2"/>
        <v>169600</v>
      </c>
      <c r="F18" s="116" t="s">
        <v>1542</v>
      </c>
      <c r="G18" s="116" t="str">
        <f t="shared" si="0"/>
        <v>170점</v>
      </c>
      <c r="I18" s="146" t="s">
        <v>1552</v>
      </c>
      <c r="J18" s="146" t="s">
        <v>1585</v>
      </c>
      <c r="K18" s="146" t="s">
        <v>1586</v>
      </c>
      <c r="L18" s="146" t="s">
        <v>1589</v>
      </c>
      <c r="N18" s="116" t="str">
        <f t="shared" si="3"/>
        <v>SB-16</v>
      </c>
      <c r="O18" s="116" t="s">
        <v>1531</v>
      </c>
      <c r="Q18" s="116" t="s">
        <v>1590</v>
      </c>
      <c r="R18" s="154" t="str">
        <f t="shared" si="4"/>
        <v>S-20-016</v>
      </c>
      <c r="S18" s="116">
        <v>2020</v>
      </c>
    </row>
    <row r="19" spans="1:19">
      <c r="A19" s="116" t="s">
        <v>1591</v>
      </c>
      <c r="B19" s="116" t="s">
        <v>1527</v>
      </c>
      <c r="C19" s="151">
        <v>60</v>
      </c>
      <c r="D19" s="150">
        <v>1500</v>
      </c>
      <c r="E19" s="150">
        <f t="shared" si="2"/>
        <v>90000</v>
      </c>
      <c r="F19" s="116" t="s">
        <v>1535</v>
      </c>
      <c r="G19" s="116" t="str">
        <f t="shared" si="0"/>
        <v>225점</v>
      </c>
      <c r="N19" s="116" t="str">
        <f t="shared" si="3"/>
        <v>SB-17</v>
      </c>
      <c r="O19" s="116" t="s">
        <v>1531</v>
      </c>
      <c r="Q19" s="116" t="s">
        <v>1592</v>
      </c>
      <c r="R19" s="154" t="str">
        <f t="shared" si="4"/>
        <v>S-20-017</v>
      </c>
      <c r="S19" s="116">
        <v>2020</v>
      </c>
    </row>
    <row r="20" spans="1:19">
      <c r="A20" s="116" t="s">
        <v>1593</v>
      </c>
      <c r="B20" s="116" t="s">
        <v>1534</v>
      </c>
      <c r="C20" s="151">
        <v>50</v>
      </c>
      <c r="D20" s="150">
        <v>3000</v>
      </c>
      <c r="E20" s="150">
        <f t="shared" si="2"/>
        <v>150000</v>
      </c>
      <c r="F20" s="116" t="s">
        <v>1528</v>
      </c>
      <c r="G20" s="116" t="str">
        <f t="shared" si="0"/>
        <v>750점</v>
      </c>
      <c r="I20" t="s">
        <v>1594</v>
      </c>
      <c r="N20" s="116" t="str">
        <f t="shared" si="3"/>
        <v>KT-18</v>
      </c>
      <c r="O20" s="116" t="s">
        <v>1544</v>
      </c>
      <c r="Q20" s="116" t="s">
        <v>1595</v>
      </c>
      <c r="R20" s="154" t="str">
        <f t="shared" si="4"/>
        <v>S-20-018</v>
      </c>
      <c r="S20" s="116">
        <v>2020</v>
      </c>
    </row>
    <row r="21" spans="1:19">
      <c r="A21" s="116" t="s">
        <v>1597</v>
      </c>
      <c r="B21" s="116" t="s">
        <v>1534</v>
      </c>
      <c r="C21" s="151">
        <v>110</v>
      </c>
      <c r="D21" s="150">
        <v>3000</v>
      </c>
      <c r="E21" s="150">
        <f t="shared" si="2"/>
        <v>330000</v>
      </c>
      <c r="F21" s="116" t="s">
        <v>1528</v>
      </c>
      <c r="G21" s="116" t="str">
        <f t="shared" si="0"/>
        <v>2,310점</v>
      </c>
      <c r="I21" s="146" t="s">
        <v>1598</v>
      </c>
      <c r="J21" s="146" t="s">
        <v>1599</v>
      </c>
      <c r="K21" s="117" t="s">
        <v>1600</v>
      </c>
      <c r="N21" s="116" t="str">
        <f t="shared" si="3"/>
        <v>SB-19</v>
      </c>
      <c r="O21" s="116" t="s">
        <v>1531</v>
      </c>
      <c r="Q21" s="116" t="s">
        <v>1601</v>
      </c>
      <c r="R21" s="154" t="str">
        <f t="shared" si="4"/>
        <v>S-20-019</v>
      </c>
      <c r="S21" s="116">
        <v>2020</v>
      </c>
    </row>
    <row r="22" spans="1:19">
      <c r="A22" s="116" t="s">
        <v>1602</v>
      </c>
      <c r="B22" s="116" t="s">
        <v>1527</v>
      </c>
      <c r="C22" s="151">
        <v>45</v>
      </c>
      <c r="D22" s="150">
        <v>1500</v>
      </c>
      <c r="E22" s="150">
        <f t="shared" si="2"/>
        <v>67500</v>
      </c>
      <c r="F22" s="116" t="s">
        <v>1535</v>
      </c>
      <c r="G22" s="116" t="str">
        <f t="shared" si="0"/>
        <v>135점</v>
      </c>
      <c r="I22" s="146" t="s">
        <v>1604</v>
      </c>
      <c r="J22" s="146" t="s">
        <v>1605</v>
      </c>
      <c r="K22" s="157" t="str">
        <f>CONCATENATE(VALUE(MID(J22,3,3)),"-",VALUE(MID(J22,6,3)))</f>
        <v>9-21</v>
      </c>
      <c r="N22" s="116" t="str">
        <f t="shared" si="3"/>
        <v>KY-20</v>
      </c>
      <c r="O22" s="116" t="s">
        <v>1537</v>
      </c>
      <c r="Q22" s="116" t="s">
        <v>1606</v>
      </c>
      <c r="R22" s="154" t="str">
        <f t="shared" si="4"/>
        <v>S-21-020</v>
      </c>
      <c r="S22" s="116">
        <v>2021</v>
      </c>
    </row>
    <row r="23" spans="1:19">
      <c r="A23" s="116" t="s">
        <v>1607</v>
      </c>
      <c r="B23" s="116" t="s">
        <v>1556</v>
      </c>
      <c r="C23" s="151">
        <v>50</v>
      </c>
      <c r="D23" s="150">
        <v>2500</v>
      </c>
      <c r="E23" s="150">
        <f t="shared" si="2"/>
        <v>125000</v>
      </c>
      <c r="F23" s="116" t="s">
        <v>1528</v>
      </c>
      <c r="G23" s="116" t="str">
        <f t="shared" si="0"/>
        <v>625점</v>
      </c>
      <c r="I23" s="146" t="s">
        <v>1608</v>
      </c>
      <c r="J23" s="146" t="s">
        <v>1609</v>
      </c>
      <c r="K23" s="157" t="str">
        <f>CONCATENATE(VALUE(MID(J23,3,3)),"-",VALUE(MID(J23,6,3)))</f>
        <v>12-19</v>
      </c>
      <c r="N23" s="116" t="str">
        <f t="shared" si="3"/>
        <v>KT-21</v>
      </c>
      <c r="O23" s="116" t="s">
        <v>1544</v>
      </c>
      <c r="Q23" s="116" t="s">
        <v>1610</v>
      </c>
      <c r="R23" s="154" t="str">
        <f t="shared" si="4"/>
        <v>S-21-021</v>
      </c>
      <c r="S23" s="116">
        <v>2021</v>
      </c>
    </row>
    <row r="24" spans="1:19">
      <c r="A24" s="116" t="s">
        <v>1611</v>
      </c>
      <c r="B24" s="116" t="s">
        <v>1527</v>
      </c>
      <c r="C24" s="151">
        <v>80</v>
      </c>
      <c r="D24" s="150">
        <v>1500</v>
      </c>
      <c r="E24" s="150">
        <f t="shared" si="2"/>
        <v>120000</v>
      </c>
      <c r="F24" s="116" t="s">
        <v>1528</v>
      </c>
      <c r="G24" s="116" t="str">
        <f t="shared" si="0"/>
        <v>720점</v>
      </c>
      <c r="I24" s="146" t="s">
        <v>1612</v>
      </c>
      <c r="J24" s="146" t="s">
        <v>1613</v>
      </c>
      <c r="K24" s="157" t="str">
        <f>CONCATENATE(VALUE(MID(J24,3,3)),"-",VALUE(MID(J24,6,3)))</f>
        <v>10-3</v>
      </c>
      <c r="N24" s="116" t="str">
        <f t="shared" si="3"/>
        <v>SB-22</v>
      </c>
      <c r="O24" s="116" t="s">
        <v>1531</v>
      </c>
      <c r="Q24" s="116" t="s">
        <v>1614</v>
      </c>
      <c r="R24" s="154" t="str">
        <f t="shared" si="4"/>
        <v>S-21-022</v>
      </c>
      <c r="S24" s="116">
        <v>2021</v>
      </c>
    </row>
    <row r="25" spans="1:19">
      <c r="F25" s="143"/>
      <c r="I25" s="146" t="s">
        <v>1615</v>
      </c>
      <c r="J25" s="146" t="s">
        <v>1616</v>
      </c>
      <c r="K25" s="157" t="str">
        <f>CONCATENATE(VALUE(MID(J25,3,3)),"-",VALUE(MID(J25,6,3)))</f>
        <v>7-29</v>
      </c>
      <c r="N25" s="116" t="str">
        <f t="shared" si="3"/>
        <v>KY-23</v>
      </c>
      <c r="O25" s="116" t="s">
        <v>1537</v>
      </c>
      <c r="Q25" s="116" t="s">
        <v>1617</v>
      </c>
      <c r="R25" s="154" t="str">
        <f t="shared" si="4"/>
        <v>S-21-023</v>
      </c>
      <c r="S25" s="116">
        <v>2021</v>
      </c>
    </row>
    <row r="26" spans="1:19">
      <c r="A26" t="s">
        <v>1618</v>
      </c>
      <c r="I26" s="146" t="s">
        <v>1619</v>
      </c>
      <c r="J26" s="146" t="s">
        <v>1620</v>
      </c>
      <c r="K26" s="157" t="str">
        <f>CONCATENATE(VALUE(MID(J26,3,3)),"-",VALUE(MID(J26,6,3)))</f>
        <v>13-31</v>
      </c>
      <c r="N26" s="116" t="str">
        <f t="shared" si="3"/>
        <v>KT-24</v>
      </c>
      <c r="O26" s="116" t="s">
        <v>1544</v>
      </c>
      <c r="Q26" s="116" t="s">
        <v>1621</v>
      </c>
      <c r="R26" s="154" t="str">
        <f t="shared" si="4"/>
        <v>S-21-024</v>
      </c>
      <c r="S26" s="116">
        <v>2021</v>
      </c>
    </row>
    <row r="27" spans="1:19">
      <c r="A27" s="283" t="s">
        <v>1511</v>
      </c>
      <c r="B27" s="284"/>
      <c r="C27" s="116" t="s">
        <v>1528</v>
      </c>
      <c r="D27" s="116" t="s">
        <v>1535</v>
      </c>
      <c r="E27" s="116" t="s">
        <v>1542</v>
      </c>
      <c r="N27" s="116" t="str">
        <f t="shared" si="3"/>
        <v>SB-25</v>
      </c>
      <c r="O27" s="116" t="s">
        <v>1531</v>
      </c>
      <c r="Q27" s="116" t="s">
        <v>1622</v>
      </c>
      <c r="R27" s="154" t="str">
        <f t="shared" si="4"/>
        <v>S-21-025</v>
      </c>
      <c r="S27" s="116">
        <v>2021</v>
      </c>
    </row>
    <row r="28" spans="1:19">
      <c r="A28" s="158">
        <v>0</v>
      </c>
      <c r="B28" s="159">
        <v>10</v>
      </c>
      <c r="C28" s="160">
        <v>2E-3</v>
      </c>
      <c r="D28" s="160">
        <v>1E-3</v>
      </c>
      <c r="E28" s="160">
        <v>3.0000000000000003E-4</v>
      </c>
      <c r="I28" t="s">
        <v>1623</v>
      </c>
      <c r="N28" s="116" t="str">
        <f t="shared" si="3"/>
        <v>KY-26</v>
      </c>
      <c r="O28" s="116" t="s">
        <v>1537</v>
      </c>
      <c r="Q28" s="116" t="s">
        <v>1624</v>
      </c>
      <c r="R28" s="154" t="str">
        <f t="shared" si="4"/>
        <v>S-21-026</v>
      </c>
      <c r="S28" s="116">
        <v>2021</v>
      </c>
    </row>
    <row r="29" spans="1:19" ht="16.5" customHeight="1">
      <c r="A29" s="158">
        <v>10</v>
      </c>
      <c r="B29" s="159">
        <v>30</v>
      </c>
      <c r="C29" s="160">
        <v>3.5000000000000001E-3</v>
      </c>
      <c r="D29" s="160">
        <v>1.5E-3</v>
      </c>
      <c r="E29" s="160">
        <v>5.0000000000000001E-4</v>
      </c>
      <c r="I29" s="116" t="s">
        <v>1625</v>
      </c>
      <c r="J29" s="116" t="s">
        <v>728</v>
      </c>
      <c r="N29" s="116" t="str">
        <f t="shared" si="3"/>
        <v>KY-27</v>
      </c>
      <c r="O29" s="116" t="s">
        <v>1537</v>
      </c>
      <c r="Q29" s="116" t="s">
        <v>1626</v>
      </c>
      <c r="R29" s="154" t="str">
        <f t="shared" si="4"/>
        <v>S-21-027</v>
      </c>
      <c r="S29" s="116">
        <v>2021</v>
      </c>
    </row>
    <row r="30" spans="1:19">
      <c r="A30" s="158">
        <v>30</v>
      </c>
      <c r="B30" s="159">
        <v>50</v>
      </c>
      <c r="C30" s="160">
        <v>5.0000000000000001E-3</v>
      </c>
      <c r="D30" s="160">
        <v>2E-3</v>
      </c>
      <c r="E30" s="160">
        <v>1E-3</v>
      </c>
      <c r="I30" s="161" t="s">
        <v>1627</v>
      </c>
      <c r="J30" s="116" t="s">
        <v>1628</v>
      </c>
      <c r="Q30" s="116" t="s">
        <v>1629</v>
      </c>
      <c r="R30" s="154" t="str">
        <f t="shared" si="4"/>
        <v>S-21-028</v>
      </c>
      <c r="S30" s="116">
        <v>2021</v>
      </c>
    </row>
    <row r="31" spans="1:19">
      <c r="A31" s="158">
        <v>50</v>
      </c>
      <c r="B31" s="159">
        <v>70</v>
      </c>
      <c r="C31" s="160">
        <v>5.0000000000000001E-3</v>
      </c>
      <c r="D31" s="160">
        <v>2.5000000000000001E-3</v>
      </c>
      <c r="E31" s="160">
        <v>2E-3</v>
      </c>
      <c r="I31" s="161" t="s">
        <v>1630</v>
      </c>
      <c r="J31" s="116" t="s">
        <v>1631</v>
      </c>
    </row>
    <row r="32" spans="1:19">
      <c r="A32" s="158">
        <v>70</v>
      </c>
      <c r="B32" s="159">
        <v>100</v>
      </c>
      <c r="C32" s="160">
        <v>6.0000000000000001E-3</v>
      </c>
      <c r="D32" s="160">
        <v>3.5000000000000001E-3</v>
      </c>
      <c r="E32" s="160">
        <v>3.0000000000000001E-3</v>
      </c>
      <c r="I32" s="161" t="s">
        <v>1632</v>
      </c>
      <c r="J32" s="116" t="s">
        <v>1633</v>
      </c>
    </row>
    <row r="33" spans="1:5">
      <c r="A33" s="158">
        <v>100</v>
      </c>
      <c r="B33" s="162"/>
      <c r="C33" s="160">
        <v>7.0000000000000001E-3</v>
      </c>
      <c r="D33" s="160">
        <v>4.4999999999999997E-3</v>
      </c>
      <c r="E33" s="160">
        <v>4.0000000000000001E-3</v>
      </c>
    </row>
  </sheetData>
  <mergeCells count="2">
    <mergeCell ref="I15:I16"/>
    <mergeCell ref="A27:B27"/>
  </mergeCells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23"/>
  <sheetViews>
    <sheetView workbookViewId="0"/>
  </sheetViews>
  <sheetFormatPr defaultRowHeight="17"/>
  <cols>
    <col min="4" max="4" width="11" bestFit="1" customWidth="1"/>
    <col min="6" max="6" width="1.58203125" customWidth="1"/>
    <col min="10" max="10" width="10.83203125" bestFit="1" customWidth="1"/>
  </cols>
  <sheetData>
    <row r="1" spans="1:11">
      <c r="A1" s="26" t="s">
        <v>214</v>
      </c>
      <c r="B1" s="27" t="s">
        <v>992</v>
      </c>
      <c r="C1" s="26"/>
      <c r="D1" s="2" t="s">
        <v>993</v>
      </c>
      <c r="E1" s="2">
        <v>16</v>
      </c>
      <c r="F1" s="26"/>
      <c r="G1" s="26" t="s">
        <v>994</v>
      </c>
      <c r="H1" s="27" t="s">
        <v>995</v>
      </c>
      <c r="I1" s="26"/>
      <c r="J1" s="26"/>
      <c r="K1" s="26"/>
    </row>
    <row r="2" spans="1:11">
      <c r="A2" s="2" t="s">
        <v>996</v>
      </c>
      <c r="B2" s="2" t="s">
        <v>997</v>
      </c>
      <c r="C2" s="2" t="s">
        <v>998</v>
      </c>
      <c r="D2" s="2" t="s">
        <v>999</v>
      </c>
      <c r="E2" s="89" t="s">
        <v>1000</v>
      </c>
      <c r="F2" s="26"/>
      <c r="G2" s="2" t="s">
        <v>1001</v>
      </c>
      <c r="H2" s="2" t="s">
        <v>1002</v>
      </c>
      <c r="I2" s="2" t="s">
        <v>1003</v>
      </c>
      <c r="J2" s="2" t="s">
        <v>1004</v>
      </c>
      <c r="K2" s="89" t="s">
        <v>1005</v>
      </c>
    </row>
    <row r="3" spans="1:11">
      <c r="A3" s="2" t="s">
        <v>1006</v>
      </c>
      <c r="B3" s="2" t="s">
        <v>1007</v>
      </c>
      <c r="C3" s="2" t="s">
        <v>1008</v>
      </c>
      <c r="D3" s="2">
        <v>15</v>
      </c>
      <c r="E3" s="2"/>
      <c r="F3" s="26"/>
      <c r="G3" s="2" t="s">
        <v>1009</v>
      </c>
      <c r="H3" s="2">
        <v>79</v>
      </c>
      <c r="I3" s="2">
        <v>76</v>
      </c>
      <c r="J3" s="2">
        <v>58</v>
      </c>
      <c r="K3" s="2"/>
    </row>
    <row r="4" spans="1:11">
      <c r="A4" s="2" t="s">
        <v>1010</v>
      </c>
      <c r="B4" s="2" t="s">
        <v>1011</v>
      </c>
      <c r="C4" s="2" t="s">
        <v>1008</v>
      </c>
      <c r="D4" s="2">
        <v>10</v>
      </c>
      <c r="E4" s="2"/>
      <c r="F4" s="26"/>
      <c r="G4" s="2" t="s">
        <v>1012</v>
      </c>
      <c r="H4" s="2">
        <v>88</v>
      </c>
      <c r="I4" s="2">
        <v>95</v>
      </c>
      <c r="J4" s="2">
        <v>89</v>
      </c>
      <c r="K4" s="2"/>
    </row>
    <row r="5" spans="1:11">
      <c r="A5" s="2" t="s">
        <v>1013</v>
      </c>
      <c r="B5" s="2" t="s">
        <v>1007</v>
      </c>
      <c r="C5" s="2" t="s">
        <v>1008</v>
      </c>
      <c r="D5" s="2">
        <v>8</v>
      </c>
      <c r="E5" s="2"/>
      <c r="F5" s="26"/>
      <c r="G5" s="2" t="s">
        <v>1014</v>
      </c>
      <c r="H5" s="2">
        <v>56</v>
      </c>
      <c r="I5" s="2">
        <v>42</v>
      </c>
      <c r="J5" s="2">
        <v>55</v>
      </c>
      <c r="K5" s="2"/>
    </row>
    <row r="6" spans="1:11">
      <c r="A6" s="2" t="s">
        <v>1015</v>
      </c>
      <c r="B6" s="2" t="s">
        <v>1011</v>
      </c>
      <c r="C6" s="2" t="s">
        <v>1016</v>
      </c>
      <c r="D6" s="2">
        <v>12</v>
      </c>
      <c r="E6" s="2"/>
      <c r="F6" s="26"/>
      <c r="G6" s="2" t="s">
        <v>1017</v>
      </c>
      <c r="H6" s="2">
        <v>71</v>
      </c>
      <c r="I6" s="2">
        <v>75</v>
      </c>
      <c r="J6" s="2">
        <v>73</v>
      </c>
      <c r="K6" s="2"/>
    </row>
    <row r="7" spans="1:11">
      <c r="A7" s="2" t="s">
        <v>1018</v>
      </c>
      <c r="B7" s="2" t="s">
        <v>1007</v>
      </c>
      <c r="C7" s="2" t="s">
        <v>1016</v>
      </c>
      <c r="D7" s="2">
        <v>14</v>
      </c>
      <c r="E7" s="2"/>
      <c r="F7" s="26"/>
      <c r="G7" s="2" t="s">
        <v>1019</v>
      </c>
      <c r="H7" s="2">
        <v>90</v>
      </c>
      <c r="I7" s="2">
        <v>92</v>
      </c>
      <c r="J7" s="2">
        <v>94</v>
      </c>
      <c r="K7" s="2"/>
    </row>
    <row r="8" spans="1:11">
      <c r="A8" s="2" t="s">
        <v>1020</v>
      </c>
      <c r="B8" s="2" t="s">
        <v>1007</v>
      </c>
      <c r="C8" s="2" t="s">
        <v>1016</v>
      </c>
      <c r="D8" s="2">
        <v>13</v>
      </c>
      <c r="E8" s="2"/>
      <c r="F8" s="26"/>
      <c r="G8" s="2" t="s">
        <v>1021</v>
      </c>
      <c r="H8" s="2">
        <v>81</v>
      </c>
      <c r="I8" s="2">
        <v>86</v>
      </c>
      <c r="J8" s="2">
        <v>71</v>
      </c>
      <c r="K8" s="2"/>
    </row>
    <row r="9" spans="1:11">
      <c r="A9" s="2" t="s">
        <v>1022</v>
      </c>
      <c r="B9" s="2" t="s">
        <v>1011</v>
      </c>
      <c r="C9" s="2" t="s">
        <v>1023</v>
      </c>
      <c r="D9" s="2">
        <v>11</v>
      </c>
      <c r="E9" s="2"/>
      <c r="F9" s="26"/>
      <c r="G9" s="2" t="s">
        <v>1024</v>
      </c>
      <c r="H9" s="2">
        <v>80</v>
      </c>
      <c r="I9" s="2">
        <v>79</v>
      </c>
      <c r="J9" s="2">
        <v>83</v>
      </c>
      <c r="K9" s="2"/>
    </row>
    <row r="10" spans="1:11">
      <c r="A10" s="2" t="s">
        <v>1025</v>
      </c>
      <c r="B10" s="2" t="s">
        <v>186</v>
      </c>
      <c r="C10" s="2" t="s">
        <v>1026</v>
      </c>
      <c r="D10" s="2">
        <v>5</v>
      </c>
      <c r="E10" s="2"/>
      <c r="F10" s="26"/>
      <c r="G10" s="2" t="s">
        <v>1027</v>
      </c>
      <c r="H10" s="2">
        <v>48</v>
      </c>
      <c r="I10" s="2">
        <v>59</v>
      </c>
      <c r="J10" s="2">
        <v>62</v>
      </c>
      <c r="K10" s="2"/>
    </row>
    <row r="11" spans="1:11">
      <c r="A11" s="2" t="s">
        <v>1028</v>
      </c>
      <c r="B11" s="2" t="s">
        <v>196</v>
      </c>
      <c r="C11" s="2" t="s">
        <v>660</v>
      </c>
      <c r="D11" s="2">
        <v>14</v>
      </c>
      <c r="E11" s="2"/>
      <c r="F11" s="26"/>
      <c r="G11" s="2" t="s">
        <v>1029</v>
      </c>
      <c r="H11" s="2">
        <v>76</v>
      </c>
      <c r="I11" s="2">
        <v>54</v>
      </c>
      <c r="J11" s="2">
        <v>62</v>
      </c>
      <c r="K11" s="2"/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1030</v>
      </c>
      <c r="B13" s="27" t="s">
        <v>1031</v>
      </c>
      <c r="C13" s="26"/>
      <c r="D13" s="26"/>
      <c r="E13" s="26"/>
      <c r="F13" s="26"/>
      <c r="G13" s="26" t="s">
        <v>262</v>
      </c>
      <c r="H13" s="27" t="s">
        <v>1032</v>
      </c>
      <c r="I13" s="26"/>
      <c r="J13" s="26"/>
      <c r="K13" s="26"/>
    </row>
    <row r="14" spans="1:11">
      <c r="A14" s="2" t="s">
        <v>1033</v>
      </c>
      <c r="B14" s="2" t="s">
        <v>1034</v>
      </c>
      <c r="C14" s="2" t="s">
        <v>1035</v>
      </c>
      <c r="D14" s="2" t="s">
        <v>1036</v>
      </c>
      <c r="E14" s="89" t="s">
        <v>532</v>
      </c>
      <c r="F14" s="26"/>
      <c r="G14" s="2" t="s">
        <v>1037</v>
      </c>
      <c r="H14" s="2" t="s">
        <v>936</v>
      </c>
      <c r="I14" s="2" t="s">
        <v>1038</v>
      </c>
      <c r="J14" s="2" t="s">
        <v>1039</v>
      </c>
      <c r="K14" s="89" t="s">
        <v>1040</v>
      </c>
    </row>
    <row r="15" spans="1:11">
      <c r="A15" s="2" t="s">
        <v>1041</v>
      </c>
      <c r="B15" s="2">
        <v>93</v>
      </c>
      <c r="C15" s="2">
        <v>85</v>
      </c>
      <c r="D15" s="2">
        <v>77</v>
      </c>
      <c r="E15" s="2"/>
      <c r="F15" s="26"/>
      <c r="G15" s="2" t="s">
        <v>1042</v>
      </c>
      <c r="H15" s="29">
        <v>12000</v>
      </c>
      <c r="I15" s="29">
        <v>124</v>
      </c>
      <c r="J15" s="29">
        <f>H15*I15</f>
        <v>1488000</v>
      </c>
      <c r="K15" s="2"/>
    </row>
    <row r="16" spans="1:11">
      <c r="A16" s="2" t="s">
        <v>1043</v>
      </c>
      <c r="B16" s="2">
        <v>72</v>
      </c>
      <c r="C16" s="2">
        <v>99</v>
      </c>
      <c r="D16" s="2">
        <v>86</v>
      </c>
      <c r="E16" s="2"/>
      <c r="F16" s="26"/>
      <c r="G16" s="2" t="s">
        <v>1044</v>
      </c>
      <c r="H16" s="29">
        <v>11500</v>
      </c>
      <c r="I16" s="29">
        <v>193</v>
      </c>
      <c r="J16" s="29">
        <f t="shared" ref="J16:J23" si="0">H16*I16</f>
        <v>2219500</v>
      </c>
      <c r="K16" s="2"/>
    </row>
    <row r="17" spans="1:11">
      <c r="A17" s="2" t="s">
        <v>1045</v>
      </c>
      <c r="B17" s="2">
        <v>93</v>
      </c>
      <c r="C17" s="2">
        <v>75</v>
      </c>
      <c r="D17" s="2">
        <v>91</v>
      </c>
      <c r="E17" s="2"/>
      <c r="F17" s="26"/>
      <c r="G17" s="2" t="s">
        <v>1046</v>
      </c>
      <c r="H17" s="29">
        <v>8500</v>
      </c>
      <c r="I17" s="29">
        <v>199</v>
      </c>
      <c r="J17" s="29">
        <f t="shared" si="0"/>
        <v>1691500</v>
      </c>
      <c r="K17" s="2"/>
    </row>
    <row r="18" spans="1:11">
      <c r="A18" s="2" t="s">
        <v>1047</v>
      </c>
      <c r="B18" s="2">
        <v>82</v>
      </c>
      <c r="C18" s="2">
        <v>89</v>
      </c>
      <c r="D18" s="2">
        <v>47</v>
      </c>
      <c r="E18" s="2"/>
      <c r="F18" s="26"/>
      <c r="G18" s="2" t="s">
        <v>1048</v>
      </c>
      <c r="H18" s="29">
        <v>12500</v>
      </c>
      <c r="I18" s="29">
        <v>145</v>
      </c>
      <c r="J18" s="29">
        <f t="shared" si="0"/>
        <v>1812500</v>
      </c>
      <c r="K18" s="2"/>
    </row>
    <row r="19" spans="1:11">
      <c r="A19" s="2" t="s">
        <v>1049</v>
      </c>
      <c r="B19" s="2">
        <v>57</v>
      </c>
      <c r="C19" s="2">
        <v>94</v>
      </c>
      <c r="D19" s="2">
        <v>85</v>
      </c>
      <c r="E19" s="2"/>
      <c r="F19" s="26"/>
      <c r="G19" s="2" t="s">
        <v>1050</v>
      </c>
      <c r="H19" s="29">
        <v>7500</v>
      </c>
      <c r="I19" s="29">
        <v>195</v>
      </c>
      <c r="J19" s="29">
        <f t="shared" si="0"/>
        <v>1462500</v>
      </c>
      <c r="K19" s="2"/>
    </row>
    <row r="20" spans="1:11">
      <c r="A20" s="2" t="s">
        <v>1051</v>
      </c>
      <c r="B20" s="2">
        <v>69</v>
      </c>
      <c r="C20" s="2">
        <v>88</v>
      </c>
      <c r="D20" s="2">
        <v>77</v>
      </c>
      <c r="E20" s="2"/>
      <c r="F20" s="26"/>
      <c r="G20" s="2" t="s">
        <v>1052</v>
      </c>
      <c r="H20" s="29">
        <v>10000</v>
      </c>
      <c r="I20" s="29">
        <v>188</v>
      </c>
      <c r="J20" s="29">
        <f t="shared" si="0"/>
        <v>1880000</v>
      </c>
      <c r="K20" s="2"/>
    </row>
    <row r="21" spans="1:11">
      <c r="A21" s="2" t="s">
        <v>1053</v>
      </c>
      <c r="B21" s="2">
        <v>79</v>
      </c>
      <c r="C21" s="2">
        <v>86</v>
      </c>
      <c r="D21" s="2">
        <v>96</v>
      </c>
      <c r="E21" s="2"/>
      <c r="F21" s="26"/>
      <c r="G21" s="2" t="s">
        <v>1054</v>
      </c>
      <c r="H21" s="29">
        <v>9500</v>
      </c>
      <c r="I21" s="29">
        <v>167</v>
      </c>
      <c r="J21" s="29">
        <f t="shared" si="0"/>
        <v>1586500</v>
      </c>
      <c r="K21" s="2"/>
    </row>
    <row r="22" spans="1:11">
      <c r="A22" s="2" t="s">
        <v>1055</v>
      </c>
      <c r="B22" s="2">
        <v>86</v>
      </c>
      <c r="C22" s="2">
        <v>96</v>
      </c>
      <c r="D22" s="2">
        <v>68</v>
      </c>
      <c r="E22" s="2"/>
      <c r="F22" s="26"/>
      <c r="G22" s="2" t="s">
        <v>1056</v>
      </c>
      <c r="H22" s="29">
        <v>5500</v>
      </c>
      <c r="I22" s="29">
        <v>155</v>
      </c>
      <c r="J22" s="29">
        <f t="shared" si="0"/>
        <v>852500</v>
      </c>
      <c r="K22" s="2"/>
    </row>
    <row r="23" spans="1:11">
      <c r="A23" s="2" t="s">
        <v>1057</v>
      </c>
      <c r="B23" s="2">
        <v>72</v>
      </c>
      <c r="C23" s="2">
        <v>88</v>
      </c>
      <c r="D23" s="2">
        <v>52</v>
      </c>
      <c r="E23" s="2"/>
      <c r="F23" s="26"/>
      <c r="G23" s="2" t="s">
        <v>1058</v>
      </c>
      <c r="H23" s="29">
        <v>8000</v>
      </c>
      <c r="I23" s="29">
        <v>168</v>
      </c>
      <c r="J23" s="29">
        <f t="shared" si="0"/>
        <v>1344000</v>
      </c>
      <c r="K23" s="2"/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23"/>
  <sheetViews>
    <sheetView workbookViewId="0"/>
  </sheetViews>
  <sheetFormatPr defaultRowHeight="17"/>
  <cols>
    <col min="4" max="4" width="11" bestFit="1" customWidth="1"/>
    <col min="6" max="6" width="1.58203125" customWidth="1"/>
    <col min="10" max="10" width="10.83203125" bestFit="1" customWidth="1"/>
  </cols>
  <sheetData>
    <row r="1" spans="1:11">
      <c r="A1" s="26" t="s">
        <v>65</v>
      </c>
      <c r="B1" s="27" t="s">
        <v>992</v>
      </c>
      <c r="C1" s="26"/>
      <c r="D1" s="85" t="s">
        <v>993</v>
      </c>
      <c r="E1" s="85">
        <v>16</v>
      </c>
      <c r="F1" s="26"/>
      <c r="G1" s="26" t="s">
        <v>67</v>
      </c>
      <c r="H1" s="27" t="s">
        <v>995</v>
      </c>
      <c r="I1" s="26"/>
      <c r="J1" s="26"/>
      <c r="K1" s="26"/>
    </row>
    <row r="2" spans="1:11">
      <c r="A2" s="85" t="s">
        <v>177</v>
      </c>
      <c r="B2" s="85" t="s">
        <v>174</v>
      </c>
      <c r="C2" s="85" t="s">
        <v>116</v>
      </c>
      <c r="D2" s="85" t="s">
        <v>999</v>
      </c>
      <c r="E2" s="90" t="s">
        <v>1000</v>
      </c>
      <c r="F2" s="26"/>
      <c r="G2" s="85" t="s">
        <v>1001</v>
      </c>
      <c r="H2" s="85" t="s">
        <v>358</v>
      </c>
      <c r="I2" s="85" t="s">
        <v>359</v>
      </c>
      <c r="J2" s="85" t="s">
        <v>1004</v>
      </c>
      <c r="K2" s="90" t="s">
        <v>532</v>
      </c>
    </row>
    <row r="3" spans="1:11">
      <c r="A3" s="85" t="s">
        <v>1006</v>
      </c>
      <c r="B3" s="85" t="s">
        <v>188</v>
      </c>
      <c r="C3" s="85" t="s">
        <v>125</v>
      </c>
      <c r="D3" s="85">
        <v>15</v>
      </c>
      <c r="E3" s="97" t="str">
        <f t="shared" ref="E3:E11" si="0">IF($E$1-D3&gt;=8,"휴가독촉",IF($E$1-D3&gt;=4,"휴가권장",""))</f>
        <v/>
      </c>
      <c r="F3" s="26"/>
      <c r="G3" s="85" t="s">
        <v>1009</v>
      </c>
      <c r="H3" s="85">
        <v>79</v>
      </c>
      <c r="I3" s="85">
        <v>76</v>
      </c>
      <c r="J3" s="85">
        <v>58</v>
      </c>
      <c r="K3" s="97" t="str">
        <f>IF(OR(H3&gt;=80,I3&gt;=80,J3&gt;=80),"합격","불합격")</f>
        <v>불합격</v>
      </c>
    </row>
    <row r="4" spans="1:11">
      <c r="A4" s="85" t="s">
        <v>1010</v>
      </c>
      <c r="B4" s="85" t="s">
        <v>183</v>
      </c>
      <c r="C4" s="85" t="s">
        <v>125</v>
      </c>
      <c r="D4" s="85">
        <v>10</v>
      </c>
      <c r="E4" s="97" t="str">
        <f t="shared" si="0"/>
        <v>휴가권장</v>
      </c>
      <c r="F4" s="26"/>
      <c r="G4" s="85" t="s">
        <v>1012</v>
      </c>
      <c r="H4" s="85">
        <v>88</v>
      </c>
      <c r="I4" s="85">
        <v>95</v>
      </c>
      <c r="J4" s="85">
        <v>89</v>
      </c>
      <c r="K4" s="97" t="str">
        <f t="shared" ref="K4:K11" si="1">IF(OR(H4&gt;=80,I4&gt;=80,J4&gt;=80),"합격","불합격")</f>
        <v>합격</v>
      </c>
    </row>
    <row r="5" spans="1:11">
      <c r="A5" s="85" t="s">
        <v>1013</v>
      </c>
      <c r="B5" s="85" t="s">
        <v>188</v>
      </c>
      <c r="C5" s="85" t="s">
        <v>125</v>
      </c>
      <c r="D5" s="85">
        <v>8</v>
      </c>
      <c r="E5" s="97" t="str">
        <f t="shared" si="0"/>
        <v>휴가독촉</v>
      </c>
      <c r="F5" s="26"/>
      <c r="G5" s="85" t="s">
        <v>1014</v>
      </c>
      <c r="H5" s="85">
        <v>56</v>
      </c>
      <c r="I5" s="85">
        <v>42</v>
      </c>
      <c r="J5" s="85">
        <v>55</v>
      </c>
      <c r="K5" s="97" t="str">
        <f t="shared" si="1"/>
        <v>불합격</v>
      </c>
    </row>
    <row r="6" spans="1:11">
      <c r="A6" s="85" t="s">
        <v>1015</v>
      </c>
      <c r="B6" s="85" t="s">
        <v>183</v>
      </c>
      <c r="C6" s="85" t="s">
        <v>382</v>
      </c>
      <c r="D6" s="85">
        <v>12</v>
      </c>
      <c r="E6" s="97" t="str">
        <f t="shared" si="0"/>
        <v>휴가권장</v>
      </c>
      <c r="F6" s="26"/>
      <c r="G6" s="85" t="s">
        <v>1017</v>
      </c>
      <c r="H6" s="85">
        <v>71</v>
      </c>
      <c r="I6" s="85">
        <v>75</v>
      </c>
      <c r="J6" s="85">
        <v>73</v>
      </c>
      <c r="K6" s="97" t="str">
        <f t="shared" si="1"/>
        <v>불합격</v>
      </c>
    </row>
    <row r="7" spans="1:11">
      <c r="A7" s="85" t="s">
        <v>1018</v>
      </c>
      <c r="B7" s="85" t="s">
        <v>188</v>
      </c>
      <c r="C7" s="85" t="s">
        <v>382</v>
      </c>
      <c r="D7" s="85">
        <v>14</v>
      </c>
      <c r="E7" s="97" t="str">
        <f t="shared" si="0"/>
        <v/>
      </c>
      <c r="F7" s="26"/>
      <c r="G7" s="85" t="s">
        <v>1019</v>
      </c>
      <c r="H7" s="85">
        <v>90</v>
      </c>
      <c r="I7" s="85">
        <v>92</v>
      </c>
      <c r="J7" s="85">
        <v>94</v>
      </c>
      <c r="K7" s="97" t="str">
        <f t="shared" si="1"/>
        <v>합격</v>
      </c>
    </row>
    <row r="8" spans="1:11">
      <c r="A8" s="85" t="s">
        <v>1020</v>
      </c>
      <c r="B8" s="85" t="s">
        <v>188</v>
      </c>
      <c r="C8" s="85" t="s">
        <v>382</v>
      </c>
      <c r="D8" s="85">
        <v>13</v>
      </c>
      <c r="E8" s="97" t="str">
        <f t="shared" si="0"/>
        <v/>
      </c>
      <c r="F8" s="26"/>
      <c r="G8" s="85" t="s">
        <v>1021</v>
      </c>
      <c r="H8" s="85">
        <v>81</v>
      </c>
      <c r="I8" s="85">
        <v>86</v>
      </c>
      <c r="J8" s="85">
        <v>71</v>
      </c>
      <c r="K8" s="97" t="str">
        <f t="shared" si="1"/>
        <v>합격</v>
      </c>
    </row>
    <row r="9" spans="1:11">
      <c r="A9" s="85" t="s">
        <v>1022</v>
      </c>
      <c r="B9" s="85" t="s">
        <v>183</v>
      </c>
      <c r="C9" s="85" t="s">
        <v>639</v>
      </c>
      <c r="D9" s="85">
        <v>11</v>
      </c>
      <c r="E9" s="97" t="str">
        <f t="shared" si="0"/>
        <v>휴가권장</v>
      </c>
      <c r="F9" s="26"/>
      <c r="G9" s="85" t="s">
        <v>1024</v>
      </c>
      <c r="H9" s="85">
        <v>80</v>
      </c>
      <c r="I9" s="85">
        <v>79</v>
      </c>
      <c r="J9" s="85">
        <v>83</v>
      </c>
      <c r="K9" s="97" t="str">
        <f t="shared" si="1"/>
        <v>합격</v>
      </c>
    </row>
    <row r="10" spans="1:11">
      <c r="A10" s="85" t="s">
        <v>1025</v>
      </c>
      <c r="B10" s="85" t="s">
        <v>183</v>
      </c>
      <c r="C10" s="85" t="s">
        <v>639</v>
      </c>
      <c r="D10" s="85">
        <v>5</v>
      </c>
      <c r="E10" s="97" t="str">
        <f t="shared" si="0"/>
        <v>휴가독촉</v>
      </c>
      <c r="F10" s="26"/>
      <c r="G10" s="85" t="s">
        <v>1027</v>
      </c>
      <c r="H10" s="85">
        <v>48</v>
      </c>
      <c r="I10" s="85">
        <v>59</v>
      </c>
      <c r="J10" s="85">
        <v>62</v>
      </c>
      <c r="K10" s="97" t="str">
        <f t="shared" si="1"/>
        <v>불합격</v>
      </c>
    </row>
    <row r="11" spans="1:11">
      <c r="A11" s="85" t="s">
        <v>1028</v>
      </c>
      <c r="B11" s="85" t="s">
        <v>188</v>
      </c>
      <c r="C11" s="85" t="s">
        <v>639</v>
      </c>
      <c r="D11" s="85">
        <v>14</v>
      </c>
      <c r="E11" s="97" t="str">
        <f t="shared" si="0"/>
        <v/>
      </c>
      <c r="F11" s="26"/>
      <c r="G11" s="85" t="s">
        <v>1029</v>
      </c>
      <c r="H11" s="85">
        <v>76</v>
      </c>
      <c r="I11" s="85">
        <v>54</v>
      </c>
      <c r="J11" s="85">
        <v>62</v>
      </c>
      <c r="K11" s="97" t="str">
        <f t="shared" si="1"/>
        <v>불합격</v>
      </c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112</v>
      </c>
      <c r="B13" s="27" t="s">
        <v>1031</v>
      </c>
      <c r="C13" s="26"/>
      <c r="D13" s="26"/>
      <c r="E13" s="26"/>
      <c r="F13" s="26"/>
      <c r="G13" s="26" t="s">
        <v>114</v>
      </c>
      <c r="H13" s="27" t="s">
        <v>1032</v>
      </c>
      <c r="I13" s="26"/>
      <c r="J13" s="26"/>
      <c r="K13" s="26"/>
    </row>
    <row r="14" spans="1:11">
      <c r="A14" s="85" t="s">
        <v>75</v>
      </c>
      <c r="B14" s="85" t="s">
        <v>1034</v>
      </c>
      <c r="C14" s="85" t="s">
        <v>1035</v>
      </c>
      <c r="D14" s="85" t="s">
        <v>1036</v>
      </c>
      <c r="E14" s="90" t="s">
        <v>532</v>
      </c>
      <c r="F14" s="26"/>
      <c r="G14" s="85" t="s">
        <v>1037</v>
      </c>
      <c r="H14" s="85" t="s">
        <v>123</v>
      </c>
      <c r="I14" s="85" t="s">
        <v>76</v>
      </c>
      <c r="J14" s="85" t="s">
        <v>1039</v>
      </c>
      <c r="K14" s="90" t="s">
        <v>1000</v>
      </c>
    </row>
    <row r="15" spans="1:11">
      <c r="A15" s="85" t="s">
        <v>1041</v>
      </c>
      <c r="B15" s="85">
        <v>93</v>
      </c>
      <c r="C15" s="85">
        <v>85</v>
      </c>
      <c r="D15" s="85">
        <v>77</v>
      </c>
      <c r="E15" s="97" t="str">
        <f>IF(AND(OR(B15&gt;=80,C15&gt;=80),D15&gt;=90),"해외근무","국내근무")</f>
        <v>국내근무</v>
      </c>
      <c r="F15" s="26"/>
      <c r="G15" s="85" t="s">
        <v>1042</v>
      </c>
      <c r="H15" s="87">
        <v>12000</v>
      </c>
      <c r="I15" s="87">
        <v>124</v>
      </c>
      <c r="J15" s="87">
        <f>H15*I15</f>
        <v>1488000</v>
      </c>
      <c r="K15" s="97" t="str">
        <f t="shared" ref="K15:K23" si="2">IF(AND(I15&gt;=150,J15&gt;=MEDIAN($J$15:$J$23)),"효자상품","")</f>
        <v/>
      </c>
    </row>
    <row r="16" spans="1:11">
      <c r="A16" s="85" t="s">
        <v>1043</v>
      </c>
      <c r="B16" s="85">
        <v>72</v>
      </c>
      <c r="C16" s="85">
        <v>99</v>
      </c>
      <c r="D16" s="85">
        <v>86</v>
      </c>
      <c r="E16" s="97" t="str">
        <f t="shared" ref="E16:E23" si="3">IF(AND(OR(B16&gt;=80,C16&gt;=80),D16&gt;=90),"해외근무","국내근무")</f>
        <v>국내근무</v>
      </c>
      <c r="F16" s="26"/>
      <c r="G16" s="85" t="s">
        <v>1044</v>
      </c>
      <c r="H16" s="87">
        <v>11500</v>
      </c>
      <c r="I16" s="87">
        <v>193</v>
      </c>
      <c r="J16" s="87">
        <f t="shared" ref="J16:J23" si="4">H16*I16</f>
        <v>2219500</v>
      </c>
      <c r="K16" s="97" t="str">
        <f t="shared" si="2"/>
        <v>효자상품</v>
      </c>
    </row>
    <row r="17" spans="1:11">
      <c r="A17" s="85" t="s">
        <v>1045</v>
      </c>
      <c r="B17" s="85">
        <v>93</v>
      </c>
      <c r="C17" s="85">
        <v>75</v>
      </c>
      <c r="D17" s="85">
        <v>91</v>
      </c>
      <c r="E17" s="97" t="str">
        <f t="shared" si="3"/>
        <v>해외근무</v>
      </c>
      <c r="F17" s="26"/>
      <c r="G17" s="85" t="s">
        <v>1046</v>
      </c>
      <c r="H17" s="87">
        <v>8500</v>
      </c>
      <c r="I17" s="87">
        <v>199</v>
      </c>
      <c r="J17" s="87">
        <f t="shared" si="4"/>
        <v>1691500</v>
      </c>
      <c r="K17" s="97" t="str">
        <f t="shared" si="2"/>
        <v>효자상품</v>
      </c>
    </row>
    <row r="18" spans="1:11">
      <c r="A18" s="85" t="s">
        <v>1047</v>
      </c>
      <c r="B18" s="85">
        <v>82</v>
      </c>
      <c r="C18" s="85">
        <v>89</v>
      </c>
      <c r="D18" s="85">
        <v>47</v>
      </c>
      <c r="E18" s="97" t="str">
        <f t="shared" si="3"/>
        <v>국내근무</v>
      </c>
      <c r="F18" s="26"/>
      <c r="G18" s="85" t="s">
        <v>1048</v>
      </c>
      <c r="H18" s="87">
        <v>12500</v>
      </c>
      <c r="I18" s="87">
        <v>145</v>
      </c>
      <c r="J18" s="87">
        <f t="shared" si="4"/>
        <v>1812500</v>
      </c>
      <c r="K18" s="97" t="str">
        <f t="shared" si="2"/>
        <v/>
      </c>
    </row>
    <row r="19" spans="1:11">
      <c r="A19" s="85" t="s">
        <v>1049</v>
      </c>
      <c r="B19" s="85">
        <v>57</v>
      </c>
      <c r="C19" s="85">
        <v>94</v>
      </c>
      <c r="D19" s="85">
        <v>85</v>
      </c>
      <c r="E19" s="97" t="str">
        <f t="shared" si="3"/>
        <v>국내근무</v>
      </c>
      <c r="F19" s="26"/>
      <c r="G19" s="85" t="s">
        <v>1050</v>
      </c>
      <c r="H19" s="87">
        <v>7500</v>
      </c>
      <c r="I19" s="87">
        <v>195</v>
      </c>
      <c r="J19" s="87">
        <f t="shared" si="4"/>
        <v>1462500</v>
      </c>
      <c r="K19" s="97" t="str">
        <f t="shared" si="2"/>
        <v/>
      </c>
    </row>
    <row r="20" spans="1:11">
      <c r="A20" s="85" t="s">
        <v>1051</v>
      </c>
      <c r="B20" s="85">
        <v>69</v>
      </c>
      <c r="C20" s="85">
        <v>88</v>
      </c>
      <c r="D20" s="85">
        <v>77</v>
      </c>
      <c r="E20" s="97" t="str">
        <f t="shared" si="3"/>
        <v>국내근무</v>
      </c>
      <c r="F20" s="26"/>
      <c r="G20" s="85" t="s">
        <v>1052</v>
      </c>
      <c r="H20" s="87">
        <v>10000</v>
      </c>
      <c r="I20" s="87">
        <v>188</v>
      </c>
      <c r="J20" s="87">
        <f t="shared" si="4"/>
        <v>1880000</v>
      </c>
      <c r="K20" s="97" t="str">
        <f t="shared" si="2"/>
        <v>효자상품</v>
      </c>
    </row>
    <row r="21" spans="1:11">
      <c r="A21" s="85" t="s">
        <v>1053</v>
      </c>
      <c r="B21" s="85">
        <v>79</v>
      </c>
      <c r="C21" s="85">
        <v>86</v>
      </c>
      <c r="D21" s="85">
        <v>96</v>
      </c>
      <c r="E21" s="97" t="str">
        <f t="shared" si="3"/>
        <v>해외근무</v>
      </c>
      <c r="F21" s="26"/>
      <c r="G21" s="85" t="s">
        <v>1054</v>
      </c>
      <c r="H21" s="87">
        <v>9500</v>
      </c>
      <c r="I21" s="87">
        <v>167</v>
      </c>
      <c r="J21" s="87">
        <f t="shared" si="4"/>
        <v>1586500</v>
      </c>
      <c r="K21" s="97" t="str">
        <f t="shared" si="2"/>
        <v>효자상품</v>
      </c>
    </row>
    <row r="22" spans="1:11">
      <c r="A22" s="85" t="s">
        <v>1055</v>
      </c>
      <c r="B22" s="85">
        <v>86</v>
      </c>
      <c r="C22" s="85">
        <v>96</v>
      </c>
      <c r="D22" s="85">
        <v>68</v>
      </c>
      <c r="E22" s="97" t="str">
        <f t="shared" si="3"/>
        <v>국내근무</v>
      </c>
      <c r="F22" s="26"/>
      <c r="G22" s="85" t="s">
        <v>1056</v>
      </c>
      <c r="H22" s="87">
        <v>5500</v>
      </c>
      <c r="I22" s="87">
        <v>155</v>
      </c>
      <c r="J22" s="87">
        <f t="shared" si="4"/>
        <v>852500</v>
      </c>
      <c r="K22" s="97" t="str">
        <f t="shared" si="2"/>
        <v/>
      </c>
    </row>
    <row r="23" spans="1:11">
      <c r="A23" s="85" t="s">
        <v>1057</v>
      </c>
      <c r="B23" s="85">
        <v>72</v>
      </c>
      <c r="C23" s="85">
        <v>88</v>
      </c>
      <c r="D23" s="85">
        <v>52</v>
      </c>
      <c r="E23" s="97" t="str">
        <f t="shared" si="3"/>
        <v>국내근무</v>
      </c>
      <c r="F23" s="26"/>
      <c r="G23" s="85" t="s">
        <v>1058</v>
      </c>
      <c r="H23" s="87">
        <v>8000</v>
      </c>
      <c r="I23" s="87">
        <v>168</v>
      </c>
      <c r="J23" s="87">
        <f t="shared" si="4"/>
        <v>1344000</v>
      </c>
      <c r="K23" s="97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26"/>
  <sheetViews>
    <sheetView workbookViewId="0"/>
  </sheetViews>
  <sheetFormatPr defaultRowHeight="17"/>
  <cols>
    <col min="3" max="3" width="11.83203125" bestFit="1" customWidth="1"/>
    <col min="6" max="6" width="1.58203125" customWidth="1"/>
    <col min="8" max="8" width="11" bestFit="1" customWidth="1"/>
    <col min="9" max="9" width="13.75" bestFit="1" customWidth="1"/>
    <col min="10" max="10" width="11" bestFit="1" customWidth="1"/>
  </cols>
  <sheetData>
    <row r="1" spans="1:11">
      <c r="A1" s="26" t="s">
        <v>214</v>
      </c>
      <c r="B1" s="27" t="s">
        <v>1059</v>
      </c>
      <c r="C1" s="26"/>
      <c r="D1" s="26"/>
      <c r="E1" s="26"/>
      <c r="F1" s="26"/>
      <c r="G1" s="26" t="s">
        <v>1060</v>
      </c>
      <c r="H1" s="45"/>
      <c r="I1" s="45"/>
      <c r="J1" s="45"/>
      <c r="K1" s="26"/>
    </row>
    <row r="2" spans="1:11">
      <c r="A2" s="2" t="s">
        <v>1061</v>
      </c>
      <c r="B2" s="2" t="s">
        <v>374</v>
      </c>
      <c r="C2" s="2" t="s">
        <v>1062</v>
      </c>
      <c r="D2" s="2" t="s">
        <v>1063</v>
      </c>
      <c r="E2" s="89" t="s">
        <v>1064</v>
      </c>
      <c r="F2" s="26"/>
      <c r="G2" s="2" t="s">
        <v>1065</v>
      </c>
      <c r="H2" s="2" t="s">
        <v>1066</v>
      </c>
      <c r="I2" s="2" t="s">
        <v>1067</v>
      </c>
      <c r="J2" s="89" t="s">
        <v>1068</v>
      </c>
      <c r="K2" s="26"/>
    </row>
    <row r="3" spans="1:11">
      <c r="A3" s="2">
        <v>1</v>
      </c>
      <c r="B3" s="2" t="s">
        <v>1069</v>
      </c>
      <c r="C3" s="2" t="s">
        <v>188</v>
      </c>
      <c r="D3" s="2">
        <v>78</v>
      </c>
      <c r="E3" s="2"/>
      <c r="F3" s="26"/>
      <c r="G3" s="2" t="s">
        <v>1070</v>
      </c>
      <c r="H3" s="2" t="s">
        <v>1071</v>
      </c>
      <c r="I3" s="2" t="s">
        <v>1072</v>
      </c>
      <c r="J3" s="2"/>
      <c r="K3" s="26"/>
    </row>
    <row r="4" spans="1:11">
      <c r="A4" s="2">
        <v>1</v>
      </c>
      <c r="B4" s="2" t="s">
        <v>1073</v>
      </c>
      <c r="C4" s="2" t="s">
        <v>1074</v>
      </c>
      <c r="D4" s="2">
        <v>86</v>
      </c>
      <c r="E4" s="2"/>
      <c r="F4" s="26"/>
      <c r="G4" s="2" t="s">
        <v>1075</v>
      </c>
      <c r="H4" s="2" t="s">
        <v>1076</v>
      </c>
      <c r="I4" s="2" t="s">
        <v>1077</v>
      </c>
      <c r="J4" s="2"/>
      <c r="K4" s="26"/>
    </row>
    <row r="5" spans="1:11">
      <c r="A5" s="2">
        <v>1</v>
      </c>
      <c r="B5" s="2" t="s">
        <v>1078</v>
      </c>
      <c r="C5" s="2" t="s">
        <v>1074</v>
      </c>
      <c r="D5" s="2">
        <v>90</v>
      </c>
      <c r="E5" s="2"/>
      <c r="F5" s="26"/>
      <c r="G5" s="2" t="s">
        <v>1079</v>
      </c>
      <c r="H5" s="2" t="s">
        <v>1080</v>
      </c>
      <c r="I5" s="2" t="s">
        <v>1081</v>
      </c>
      <c r="J5" s="2"/>
      <c r="K5" s="26"/>
    </row>
    <row r="6" spans="1:11">
      <c r="A6" s="2">
        <v>1</v>
      </c>
      <c r="B6" s="2" t="s">
        <v>1082</v>
      </c>
      <c r="C6" s="2" t="s">
        <v>188</v>
      </c>
      <c r="D6" s="2">
        <v>91</v>
      </c>
      <c r="E6" s="2"/>
      <c r="F6" s="26"/>
      <c r="G6" s="2" t="s">
        <v>1083</v>
      </c>
      <c r="H6" s="2" t="s">
        <v>1084</v>
      </c>
      <c r="I6" s="2" t="s">
        <v>1085</v>
      </c>
      <c r="J6" s="2"/>
      <c r="K6" s="26"/>
    </row>
    <row r="7" spans="1:11">
      <c r="A7" s="2">
        <v>2</v>
      </c>
      <c r="B7" s="2" t="s">
        <v>1086</v>
      </c>
      <c r="C7" s="2" t="s">
        <v>1087</v>
      </c>
      <c r="D7" s="2">
        <v>92</v>
      </c>
      <c r="E7" s="2"/>
      <c r="F7" s="26"/>
      <c r="G7" s="2" t="s">
        <v>1088</v>
      </c>
      <c r="H7" s="2" t="s">
        <v>1089</v>
      </c>
      <c r="I7" s="2" t="s">
        <v>1090</v>
      </c>
      <c r="J7" s="2"/>
      <c r="K7" s="26"/>
    </row>
    <row r="8" spans="1:11">
      <c r="A8" s="2">
        <v>2</v>
      </c>
      <c r="B8" s="2" t="s">
        <v>1091</v>
      </c>
      <c r="C8" s="2" t="s">
        <v>1092</v>
      </c>
      <c r="D8" s="2">
        <v>82</v>
      </c>
      <c r="E8" s="2"/>
      <c r="F8" s="26"/>
      <c r="G8" s="2" t="s">
        <v>1093</v>
      </c>
      <c r="H8" s="2" t="s">
        <v>1094</v>
      </c>
      <c r="I8" s="2" t="s">
        <v>1095</v>
      </c>
      <c r="J8" s="2"/>
      <c r="K8" s="26"/>
    </row>
    <row r="9" spans="1:11">
      <c r="A9" s="2">
        <v>2</v>
      </c>
      <c r="B9" s="2" t="s">
        <v>1096</v>
      </c>
      <c r="C9" s="2" t="s">
        <v>186</v>
      </c>
      <c r="D9" s="2">
        <v>94</v>
      </c>
      <c r="E9" s="2"/>
      <c r="F9" s="26"/>
      <c r="G9" s="2" t="s">
        <v>1097</v>
      </c>
      <c r="H9" s="2" t="s">
        <v>1098</v>
      </c>
      <c r="I9" s="2" t="s">
        <v>1099</v>
      </c>
      <c r="J9" s="2"/>
      <c r="K9" s="26"/>
    </row>
    <row r="10" spans="1:11">
      <c r="A10" s="2">
        <v>3</v>
      </c>
      <c r="B10" s="2" t="s">
        <v>1100</v>
      </c>
      <c r="C10" s="2" t="s">
        <v>1092</v>
      </c>
      <c r="D10" s="2">
        <v>89</v>
      </c>
      <c r="E10" s="2"/>
      <c r="F10" s="26"/>
      <c r="G10" s="2" t="s">
        <v>1101</v>
      </c>
      <c r="H10" s="2" t="s">
        <v>1102</v>
      </c>
      <c r="I10" s="2" t="s">
        <v>1103</v>
      </c>
      <c r="J10" s="2"/>
      <c r="K10" s="26"/>
    </row>
    <row r="11" spans="1:11">
      <c r="A11" s="2">
        <v>3</v>
      </c>
      <c r="B11" s="2" t="s">
        <v>1104</v>
      </c>
      <c r="C11" s="2" t="s">
        <v>1105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>
      <c r="A12" s="2">
        <v>3</v>
      </c>
      <c r="B12" s="2" t="s">
        <v>1106</v>
      </c>
      <c r="C12" s="2" t="s">
        <v>186</v>
      </c>
      <c r="D12" s="2">
        <v>87</v>
      </c>
      <c r="E12" s="2"/>
      <c r="F12" s="26"/>
      <c r="G12" s="2" t="s">
        <v>1107</v>
      </c>
      <c r="H12" s="2" t="s">
        <v>1108</v>
      </c>
      <c r="I12" s="2" t="s">
        <v>1109</v>
      </c>
      <c r="J12" s="2" t="s">
        <v>1110</v>
      </c>
      <c r="K12" s="26"/>
    </row>
    <row r="13" spans="1:11">
      <c r="A13" s="26"/>
      <c r="B13" s="26"/>
      <c r="C13" s="26"/>
      <c r="D13" s="26"/>
      <c r="E13" s="26"/>
      <c r="F13" s="26"/>
      <c r="G13" s="2" t="s">
        <v>1111</v>
      </c>
      <c r="H13" s="2" t="s">
        <v>1112</v>
      </c>
      <c r="I13" s="2" t="s">
        <v>1113</v>
      </c>
      <c r="J13" s="2" t="s">
        <v>1114</v>
      </c>
      <c r="K13" s="26"/>
    </row>
    <row r="14" spans="1:11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>
      <c r="A15" s="26" t="s">
        <v>112</v>
      </c>
      <c r="B15" s="27" t="s">
        <v>1115</v>
      </c>
      <c r="C15" s="26"/>
      <c r="D15" s="26"/>
      <c r="E15" s="26"/>
      <c r="F15" s="26"/>
      <c r="G15" s="26" t="s">
        <v>1116</v>
      </c>
      <c r="H15" s="45"/>
      <c r="I15" s="45"/>
      <c r="J15" s="45"/>
      <c r="K15" s="45"/>
    </row>
    <row r="16" spans="1:11">
      <c r="A16" s="2" t="s">
        <v>1117</v>
      </c>
      <c r="B16" s="2" t="s">
        <v>76</v>
      </c>
      <c r="C16" s="2" t="s">
        <v>1118</v>
      </c>
      <c r="D16" s="89" t="s">
        <v>532</v>
      </c>
      <c r="E16" s="26"/>
      <c r="F16" s="26"/>
      <c r="G16" s="2" t="s">
        <v>1119</v>
      </c>
      <c r="H16" s="53" t="s">
        <v>1120</v>
      </c>
      <c r="I16" s="53" t="s">
        <v>1121</v>
      </c>
      <c r="J16" s="2" t="s">
        <v>1122</v>
      </c>
      <c r="K16" s="89" t="s">
        <v>1123</v>
      </c>
    </row>
    <row r="17" spans="1:11">
      <c r="A17" s="2" t="s">
        <v>1124</v>
      </c>
      <c r="B17" s="29">
        <v>642</v>
      </c>
      <c r="C17" s="29">
        <v>8025000</v>
      </c>
      <c r="D17" s="2"/>
      <c r="E17" s="26"/>
      <c r="F17" s="26"/>
      <c r="G17" s="2" t="s">
        <v>1125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>
      <c r="A18" s="2" t="s">
        <v>1126</v>
      </c>
      <c r="B18" s="29">
        <v>241</v>
      </c>
      <c r="C18" s="29">
        <v>3012500</v>
      </c>
      <c r="D18" s="2"/>
      <c r="E18" s="26"/>
      <c r="F18" s="26"/>
      <c r="G18" s="2" t="s">
        <v>1127</v>
      </c>
      <c r="H18" s="53">
        <v>63</v>
      </c>
      <c r="I18" s="53">
        <v>83</v>
      </c>
      <c r="J18" s="2">
        <f t="shared" si="0"/>
        <v>146</v>
      </c>
      <c r="K18" s="2"/>
    </row>
    <row r="19" spans="1:11">
      <c r="A19" s="2" t="s">
        <v>1128</v>
      </c>
      <c r="B19" s="29">
        <v>289</v>
      </c>
      <c r="C19" s="29">
        <v>3612500</v>
      </c>
      <c r="D19" s="2"/>
      <c r="E19" s="26"/>
      <c r="F19" s="26"/>
      <c r="G19" s="2" t="s">
        <v>1129</v>
      </c>
      <c r="H19" s="53">
        <v>76</v>
      </c>
      <c r="I19" s="53">
        <v>86</v>
      </c>
      <c r="J19" s="2">
        <f t="shared" si="0"/>
        <v>162</v>
      </c>
      <c r="K19" s="2"/>
    </row>
    <row r="20" spans="1:11">
      <c r="A20" s="2" t="s">
        <v>1130</v>
      </c>
      <c r="B20" s="29">
        <v>685</v>
      </c>
      <c r="C20" s="29">
        <v>8562500</v>
      </c>
      <c r="D20" s="2"/>
      <c r="E20" s="26"/>
      <c r="F20" s="26"/>
      <c r="G20" s="2" t="s">
        <v>1131</v>
      </c>
      <c r="H20" s="53">
        <v>62</v>
      </c>
      <c r="I20" s="53">
        <v>88</v>
      </c>
      <c r="J20" s="2">
        <f t="shared" si="0"/>
        <v>150</v>
      </c>
      <c r="K20" s="2"/>
    </row>
    <row r="21" spans="1:11">
      <c r="A21" s="2" t="s">
        <v>1132</v>
      </c>
      <c r="B21" s="29">
        <v>917</v>
      </c>
      <c r="C21" s="29">
        <v>11462500</v>
      </c>
      <c r="D21" s="2"/>
      <c r="E21" s="26"/>
      <c r="F21" s="26"/>
      <c r="G21" s="2" t="s">
        <v>1133</v>
      </c>
      <c r="H21" s="53">
        <v>92</v>
      </c>
      <c r="I21" s="53">
        <v>96</v>
      </c>
      <c r="J21" s="2">
        <f t="shared" si="0"/>
        <v>188</v>
      </c>
      <c r="K21" s="2"/>
    </row>
    <row r="22" spans="1:11">
      <c r="A22" s="2" t="s">
        <v>1134</v>
      </c>
      <c r="B22" s="29">
        <v>862</v>
      </c>
      <c r="C22" s="29">
        <v>10775000</v>
      </c>
      <c r="D22" s="2"/>
      <c r="E22" s="26"/>
      <c r="F22" s="26"/>
      <c r="G22" s="2" t="s">
        <v>1135</v>
      </c>
      <c r="H22" s="53">
        <v>85</v>
      </c>
      <c r="I22" s="53">
        <v>80</v>
      </c>
      <c r="J22" s="2">
        <f t="shared" si="0"/>
        <v>165</v>
      </c>
      <c r="K22" s="2"/>
    </row>
    <row r="23" spans="1:11">
      <c r="A23" s="2" t="s">
        <v>1136</v>
      </c>
      <c r="B23" s="29">
        <v>571</v>
      </c>
      <c r="C23" s="29">
        <v>7137500</v>
      </c>
      <c r="D23" s="2"/>
      <c r="E23" s="26"/>
      <c r="F23" s="26"/>
      <c r="G23" s="2" t="s">
        <v>1137</v>
      </c>
      <c r="H23" s="53">
        <v>62</v>
      </c>
      <c r="I23" s="53">
        <v>77</v>
      </c>
      <c r="J23" s="2">
        <f t="shared" si="0"/>
        <v>139</v>
      </c>
      <c r="K23" s="2"/>
    </row>
    <row r="24" spans="1:11">
      <c r="A24" s="2" t="s">
        <v>1138</v>
      </c>
      <c r="B24" s="29">
        <v>295</v>
      </c>
      <c r="C24" s="29">
        <v>3687500</v>
      </c>
      <c r="D24" s="2"/>
      <c r="E24" s="26"/>
      <c r="F24" s="26"/>
      <c r="G24" s="2" t="s">
        <v>1139</v>
      </c>
      <c r="H24" s="53">
        <v>73</v>
      </c>
      <c r="I24" s="53">
        <v>68</v>
      </c>
      <c r="J24" s="2">
        <f t="shared" si="0"/>
        <v>141</v>
      </c>
      <c r="K24" s="2"/>
    </row>
    <row r="25" spans="1:11">
      <c r="A25" s="2" t="s">
        <v>1140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>
      <c r="A26" s="2" t="s">
        <v>1141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</sheetData>
  <phoneticPr fontId="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K26"/>
  <sheetViews>
    <sheetView workbookViewId="0"/>
  </sheetViews>
  <sheetFormatPr defaultRowHeight="17"/>
  <cols>
    <col min="3" max="3" width="11.83203125" bestFit="1" customWidth="1"/>
    <col min="6" max="6" width="1.58203125" customWidth="1"/>
    <col min="8" max="8" width="11" bestFit="1" customWidth="1"/>
    <col min="9" max="9" width="13.75" bestFit="1" customWidth="1"/>
    <col min="10" max="10" width="11" bestFit="1" customWidth="1"/>
  </cols>
  <sheetData>
    <row r="1" spans="1:11">
      <c r="A1" s="26" t="s">
        <v>65</v>
      </c>
      <c r="B1" s="27" t="s">
        <v>1059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>
      <c r="A2" s="85" t="s">
        <v>787</v>
      </c>
      <c r="B2" s="85" t="s">
        <v>177</v>
      </c>
      <c r="C2" s="85" t="s">
        <v>174</v>
      </c>
      <c r="D2" s="85" t="s">
        <v>461</v>
      </c>
      <c r="E2" s="90" t="s">
        <v>532</v>
      </c>
      <c r="F2" s="26"/>
      <c r="G2" s="85" t="s">
        <v>1065</v>
      </c>
      <c r="H2" s="85" t="s">
        <v>1066</v>
      </c>
      <c r="I2" s="85" t="s">
        <v>1067</v>
      </c>
      <c r="J2" s="90" t="s">
        <v>1068</v>
      </c>
      <c r="K2" s="26"/>
    </row>
    <row r="3" spans="1:11">
      <c r="A3" s="85">
        <v>1</v>
      </c>
      <c r="B3" s="85" t="s">
        <v>1069</v>
      </c>
      <c r="C3" s="85" t="s">
        <v>188</v>
      </c>
      <c r="D3" s="85">
        <v>78</v>
      </c>
      <c r="E3" s="97" t="str">
        <f>IFERROR(CHOOSE(_xlfn.RANK.EQ(D3,$D$3:$D$12),"대상","금상","은상","동상"),"")</f>
        <v/>
      </c>
      <c r="F3" s="26"/>
      <c r="G3" s="85" t="s">
        <v>1070</v>
      </c>
      <c r="H3" s="85" t="s">
        <v>1071</v>
      </c>
      <c r="I3" s="85" t="s">
        <v>1072</v>
      </c>
      <c r="J3" s="97" t="str">
        <f>IFERROR(HLOOKUP(LEFT(G3,1),$H$12:$J$13,2,FALSE),"코드오류")</f>
        <v>멀티미디어</v>
      </c>
      <c r="K3" s="26"/>
    </row>
    <row r="4" spans="1:11">
      <c r="A4" s="85">
        <v>1</v>
      </c>
      <c r="B4" s="85" t="s">
        <v>1073</v>
      </c>
      <c r="C4" s="85" t="s">
        <v>183</v>
      </c>
      <c r="D4" s="85">
        <v>86</v>
      </c>
      <c r="E4" s="247" t="str">
        <f t="shared" ref="E4:E12" si="0">IFERROR(CHOOSE(_xlfn.RANK.EQ(D4,$D$3:$D$12),"대상","금상","은상","동상"),"")</f>
        <v/>
      </c>
      <c r="F4" s="26"/>
      <c r="G4" s="85" t="s">
        <v>1075</v>
      </c>
      <c r="H4" s="85" t="s">
        <v>1076</v>
      </c>
      <c r="I4" s="85" t="s">
        <v>1077</v>
      </c>
      <c r="J4" s="97" t="str">
        <f t="shared" ref="J4:J10" si="1">IFERROR(HLOOKUP(LEFT(G4,1),$H$12:$J$13,2,FALSE),"코드오류")</f>
        <v>네트워크</v>
      </c>
      <c r="K4" s="26"/>
    </row>
    <row r="5" spans="1:11">
      <c r="A5" s="85">
        <v>1</v>
      </c>
      <c r="B5" s="85" t="s">
        <v>1078</v>
      </c>
      <c r="C5" s="85" t="s">
        <v>183</v>
      </c>
      <c r="D5" s="85">
        <v>90</v>
      </c>
      <c r="E5" s="247" t="str">
        <f t="shared" si="0"/>
        <v/>
      </c>
      <c r="F5" s="26"/>
      <c r="G5" s="85" t="s">
        <v>1079</v>
      </c>
      <c r="H5" s="85" t="s">
        <v>1080</v>
      </c>
      <c r="I5" s="85" t="s">
        <v>1081</v>
      </c>
      <c r="J5" s="97" t="str">
        <f t="shared" si="1"/>
        <v>소프트웨어</v>
      </c>
      <c r="K5" s="26"/>
    </row>
    <row r="6" spans="1:11">
      <c r="A6" s="85">
        <v>1</v>
      </c>
      <c r="B6" s="85" t="s">
        <v>1082</v>
      </c>
      <c r="C6" s="85" t="s">
        <v>188</v>
      </c>
      <c r="D6" s="85">
        <v>91</v>
      </c>
      <c r="E6" s="247" t="str">
        <f t="shared" si="0"/>
        <v>동상</v>
      </c>
      <c r="F6" s="26"/>
      <c r="G6" s="85" t="s">
        <v>1083</v>
      </c>
      <c r="H6" s="85" t="s">
        <v>1084</v>
      </c>
      <c r="I6" s="85" t="s">
        <v>1085</v>
      </c>
      <c r="J6" s="97" t="str">
        <f t="shared" si="1"/>
        <v>멀티미디어</v>
      </c>
      <c r="K6" s="26"/>
    </row>
    <row r="7" spans="1:11">
      <c r="A7" s="85">
        <v>2</v>
      </c>
      <c r="B7" s="85" t="s">
        <v>1086</v>
      </c>
      <c r="C7" s="85" t="s">
        <v>188</v>
      </c>
      <c r="D7" s="85">
        <v>92</v>
      </c>
      <c r="E7" s="247" t="str">
        <f t="shared" si="0"/>
        <v>은상</v>
      </c>
      <c r="F7" s="26"/>
      <c r="G7" s="85" t="s">
        <v>1088</v>
      </c>
      <c r="H7" s="85" t="s">
        <v>1089</v>
      </c>
      <c r="I7" s="85" t="s">
        <v>1090</v>
      </c>
      <c r="J7" s="97" t="str">
        <f t="shared" si="1"/>
        <v>소프트웨어</v>
      </c>
      <c r="K7" s="26"/>
    </row>
    <row r="8" spans="1:11">
      <c r="A8" s="85">
        <v>2</v>
      </c>
      <c r="B8" s="85" t="s">
        <v>1091</v>
      </c>
      <c r="C8" s="85" t="s">
        <v>188</v>
      </c>
      <c r="D8" s="85">
        <v>82</v>
      </c>
      <c r="E8" s="247" t="str">
        <f t="shared" si="0"/>
        <v/>
      </c>
      <c r="F8" s="26"/>
      <c r="G8" s="85" t="s">
        <v>1093</v>
      </c>
      <c r="H8" s="85" t="s">
        <v>1094</v>
      </c>
      <c r="I8" s="85" t="s">
        <v>1095</v>
      </c>
      <c r="J8" s="97" t="str">
        <f t="shared" si="1"/>
        <v>네트워크</v>
      </c>
      <c r="K8" s="26"/>
    </row>
    <row r="9" spans="1:11">
      <c r="A9" s="85">
        <v>2</v>
      </c>
      <c r="B9" s="85" t="s">
        <v>1096</v>
      </c>
      <c r="C9" s="85" t="s">
        <v>183</v>
      </c>
      <c r="D9" s="85">
        <v>94</v>
      </c>
      <c r="E9" s="247" t="str">
        <f t="shared" si="0"/>
        <v>대상</v>
      </c>
      <c r="F9" s="26"/>
      <c r="G9" s="85" t="s">
        <v>1097</v>
      </c>
      <c r="H9" s="85" t="s">
        <v>1098</v>
      </c>
      <c r="I9" s="85" t="s">
        <v>1099</v>
      </c>
      <c r="J9" s="97" t="str">
        <f t="shared" si="1"/>
        <v>멀티미디어</v>
      </c>
      <c r="K9" s="26"/>
    </row>
    <row r="10" spans="1:11">
      <c r="A10" s="85">
        <v>3</v>
      </c>
      <c r="B10" s="85" t="s">
        <v>1100</v>
      </c>
      <c r="C10" s="85" t="s">
        <v>188</v>
      </c>
      <c r="D10" s="85">
        <v>89</v>
      </c>
      <c r="E10" s="247" t="str">
        <f t="shared" si="0"/>
        <v/>
      </c>
      <c r="F10" s="26"/>
      <c r="G10" s="85" t="s">
        <v>1101</v>
      </c>
      <c r="H10" s="85" t="s">
        <v>1102</v>
      </c>
      <c r="I10" s="85" t="s">
        <v>1103</v>
      </c>
      <c r="J10" s="97" t="str">
        <f t="shared" si="1"/>
        <v>코드오류</v>
      </c>
      <c r="K10" s="26"/>
    </row>
    <row r="11" spans="1:11">
      <c r="A11" s="85">
        <v>3</v>
      </c>
      <c r="B11" s="85" t="s">
        <v>1104</v>
      </c>
      <c r="C11" s="85" t="s">
        <v>183</v>
      </c>
      <c r="D11" s="85">
        <v>93</v>
      </c>
      <c r="E11" s="247" t="str">
        <f t="shared" si="0"/>
        <v>금상</v>
      </c>
      <c r="F11" s="26"/>
      <c r="G11" s="45"/>
      <c r="H11" s="45"/>
      <c r="I11" s="45"/>
      <c r="J11" s="45"/>
      <c r="K11" s="26"/>
    </row>
    <row r="12" spans="1:11">
      <c r="A12" s="85">
        <v>3</v>
      </c>
      <c r="B12" s="85" t="s">
        <v>1106</v>
      </c>
      <c r="C12" s="85" t="s">
        <v>183</v>
      </c>
      <c r="D12" s="85">
        <v>87</v>
      </c>
      <c r="E12" s="247" t="str">
        <f t="shared" si="0"/>
        <v/>
      </c>
      <c r="F12" s="26"/>
      <c r="G12" s="85" t="s">
        <v>1107</v>
      </c>
      <c r="H12" s="85" t="s">
        <v>1108</v>
      </c>
      <c r="I12" s="85" t="s">
        <v>1109</v>
      </c>
      <c r="J12" s="85" t="s">
        <v>1110</v>
      </c>
      <c r="K12" s="26"/>
    </row>
    <row r="13" spans="1:11">
      <c r="A13" s="26"/>
      <c r="B13" s="26"/>
      <c r="C13" s="26"/>
      <c r="D13" s="26"/>
      <c r="E13" s="26"/>
      <c r="F13" s="26"/>
      <c r="G13" s="85" t="s">
        <v>1111</v>
      </c>
      <c r="H13" s="85" t="s">
        <v>1112</v>
      </c>
      <c r="I13" s="85" t="s">
        <v>1113</v>
      </c>
      <c r="J13" s="85" t="s">
        <v>1114</v>
      </c>
      <c r="K13" s="26"/>
    </row>
    <row r="14" spans="1:11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>
      <c r="A15" s="26" t="s">
        <v>112</v>
      </c>
      <c r="B15" s="27" t="s">
        <v>1115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>
      <c r="A16" s="85" t="s">
        <v>120</v>
      </c>
      <c r="B16" s="85" t="s">
        <v>76</v>
      </c>
      <c r="C16" s="85" t="s">
        <v>77</v>
      </c>
      <c r="D16" s="90" t="s">
        <v>532</v>
      </c>
      <c r="E16" s="26"/>
      <c r="F16" s="26"/>
      <c r="G16" s="85" t="s">
        <v>414</v>
      </c>
      <c r="H16" s="88" t="s">
        <v>1120</v>
      </c>
      <c r="I16" s="88" t="s">
        <v>1121</v>
      </c>
      <c r="J16" s="85" t="s">
        <v>181</v>
      </c>
      <c r="K16" s="90" t="s">
        <v>461</v>
      </c>
    </row>
    <row r="17" spans="1:11">
      <c r="A17" s="85" t="s">
        <v>1124</v>
      </c>
      <c r="B17" s="87">
        <v>642</v>
      </c>
      <c r="C17" s="87">
        <v>8025000</v>
      </c>
      <c r="D17" s="97" t="str">
        <f>IF(C17&gt;=LARGE($C$17:$C$26,5),"재생산","생산중단")</f>
        <v>재생산</v>
      </c>
      <c r="E17" s="26"/>
      <c r="F17" s="26"/>
      <c r="G17" s="85" t="s">
        <v>1125</v>
      </c>
      <c r="H17" s="88">
        <v>82</v>
      </c>
      <c r="I17" s="88">
        <v>94</v>
      </c>
      <c r="J17" s="85">
        <f t="shared" ref="J17:J24" si="2">SUM(H17:I17)</f>
        <v>176</v>
      </c>
      <c r="K17" s="97" t="str">
        <f>IF(J17=MAX($J$17:$J$24),"최고점수",IF(J17=MIN($J$17:$J$24),"최저점수",""))</f>
        <v/>
      </c>
    </row>
    <row r="18" spans="1:11">
      <c r="A18" s="85" t="s">
        <v>1126</v>
      </c>
      <c r="B18" s="87">
        <v>241</v>
      </c>
      <c r="C18" s="87">
        <v>3012500</v>
      </c>
      <c r="D18" s="97" t="str">
        <f t="shared" ref="D18:D26" si="3">IF(C18&gt;=LARGE($C$17:$C$26,5),"재생산","생산중단")</f>
        <v>생산중단</v>
      </c>
      <c r="E18" s="26"/>
      <c r="F18" s="26"/>
      <c r="G18" s="85" t="s">
        <v>1127</v>
      </c>
      <c r="H18" s="88">
        <v>63</v>
      </c>
      <c r="I18" s="88">
        <v>83</v>
      </c>
      <c r="J18" s="85">
        <f t="shared" si="2"/>
        <v>146</v>
      </c>
      <c r="K18" s="97" t="str">
        <f t="shared" ref="K18:K24" si="4">IF(J18=MAX($J$17:$J$24),"최고점수",IF(J18=MIN($J$17:$J$24),"최저점수",""))</f>
        <v/>
      </c>
    </row>
    <row r="19" spans="1:11">
      <c r="A19" s="85" t="s">
        <v>1128</v>
      </c>
      <c r="B19" s="87">
        <v>289</v>
      </c>
      <c r="C19" s="87">
        <v>3612500</v>
      </c>
      <c r="D19" s="97" t="str">
        <f t="shared" si="3"/>
        <v>생산중단</v>
      </c>
      <c r="E19" s="26"/>
      <c r="F19" s="26"/>
      <c r="G19" s="85" t="s">
        <v>1129</v>
      </c>
      <c r="H19" s="88">
        <v>76</v>
      </c>
      <c r="I19" s="88">
        <v>86</v>
      </c>
      <c r="J19" s="85">
        <f t="shared" si="2"/>
        <v>162</v>
      </c>
      <c r="K19" s="97" t="str">
        <f t="shared" si="4"/>
        <v/>
      </c>
    </row>
    <row r="20" spans="1:11">
      <c r="A20" s="85" t="s">
        <v>1130</v>
      </c>
      <c r="B20" s="87">
        <v>685</v>
      </c>
      <c r="C20" s="87">
        <v>8562500</v>
      </c>
      <c r="D20" s="97" t="str">
        <f t="shared" si="3"/>
        <v>재생산</v>
      </c>
      <c r="E20" s="26"/>
      <c r="F20" s="26"/>
      <c r="G20" s="85" t="s">
        <v>1131</v>
      </c>
      <c r="H20" s="88">
        <v>62</v>
      </c>
      <c r="I20" s="88">
        <v>88</v>
      </c>
      <c r="J20" s="85">
        <f t="shared" si="2"/>
        <v>150</v>
      </c>
      <c r="K20" s="97" t="str">
        <f t="shared" si="4"/>
        <v/>
      </c>
    </row>
    <row r="21" spans="1:11">
      <c r="A21" s="85" t="s">
        <v>1132</v>
      </c>
      <c r="B21" s="87">
        <v>917</v>
      </c>
      <c r="C21" s="87">
        <v>11462500</v>
      </c>
      <c r="D21" s="97" t="str">
        <f t="shared" si="3"/>
        <v>재생산</v>
      </c>
      <c r="E21" s="26"/>
      <c r="F21" s="26"/>
      <c r="G21" s="85" t="s">
        <v>1133</v>
      </c>
      <c r="H21" s="88">
        <v>92</v>
      </c>
      <c r="I21" s="88">
        <v>96</v>
      </c>
      <c r="J21" s="85">
        <f t="shared" si="2"/>
        <v>188</v>
      </c>
      <c r="K21" s="97" t="str">
        <f t="shared" si="4"/>
        <v>최고점수</v>
      </c>
    </row>
    <row r="22" spans="1:11">
      <c r="A22" s="85" t="s">
        <v>1134</v>
      </c>
      <c r="B22" s="87">
        <v>862</v>
      </c>
      <c r="C22" s="87">
        <v>10775000</v>
      </c>
      <c r="D22" s="97" t="str">
        <f t="shared" si="3"/>
        <v>재생산</v>
      </c>
      <c r="E22" s="26"/>
      <c r="F22" s="26"/>
      <c r="G22" s="85" t="s">
        <v>1135</v>
      </c>
      <c r="H22" s="88">
        <v>85</v>
      </c>
      <c r="I22" s="88">
        <v>80</v>
      </c>
      <c r="J22" s="85">
        <f t="shared" si="2"/>
        <v>165</v>
      </c>
      <c r="K22" s="97" t="str">
        <f t="shared" si="4"/>
        <v/>
      </c>
    </row>
    <row r="23" spans="1:11">
      <c r="A23" s="85" t="s">
        <v>1136</v>
      </c>
      <c r="B23" s="87">
        <v>571</v>
      </c>
      <c r="C23" s="87">
        <v>7137500</v>
      </c>
      <c r="D23" s="97" t="str">
        <f t="shared" si="3"/>
        <v>재생산</v>
      </c>
      <c r="E23" s="26"/>
      <c r="F23" s="26"/>
      <c r="G23" s="85" t="s">
        <v>1137</v>
      </c>
      <c r="H23" s="88">
        <v>62</v>
      </c>
      <c r="I23" s="88">
        <v>77</v>
      </c>
      <c r="J23" s="85">
        <f t="shared" si="2"/>
        <v>139</v>
      </c>
      <c r="K23" s="97" t="str">
        <f t="shared" si="4"/>
        <v>최저점수</v>
      </c>
    </row>
    <row r="24" spans="1:11">
      <c r="A24" s="85" t="s">
        <v>1138</v>
      </c>
      <c r="B24" s="87">
        <v>295</v>
      </c>
      <c r="C24" s="87">
        <v>3687500</v>
      </c>
      <c r="D24" s="97" t="str">
        <f t="shared" si="3"/>
        <v>생산중단</v>
      </c>
      <c r="E24" s="26"/>
      <c r="F24" s="26"/>
      <c r="G24" s="85" t="s">
        <v>1139</v>
      </c>
      <c r="H24" s="88">
        <v>73</v>
      </c>
      <c r="I24" s="88">
        <v>68</v>
      </c>
      <c r="J24" s="85">
        <f t="shared" si="2"/>
        <v>141</v>
      </c>
      <c r="K24" s="97" t="str">
        <f t="shared" si="4"/>
        <v/>
      </c>
    </row>
    <row r="25" spans="1:11">
      <c r="A25" s="85" t="s">
        <v>1140</v>
      </c>
      <c r="B25" s="87">
        <v>384</v>
      </c>
      <c r="C25" s="87">
        <v>4800000</v>
      </c>
      <c r="D25" s="97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>
      <c r="A26" s="85" t="s">
        <v>1141</v>
      </c>
      <c r="B26" s="87">
        <v>166</v>
      </c>
      <c r="C26" s="87">
        <v>2075000</v>
      </c>
      <c r="D26" s="97" t="str">
        <f t="shared" si="3"/>
        <v>생산중단</v>
      </c>
      <c r="E26" s="26"/>
      <c r="F26" s="26"/>
      <c r="G26" s="26"/>
      <c r="H26" s="26"/>
      <c r="I26" s="26"/>
      <c r="J26" s="26"/>
      <c r="K26" s="26"/>
    </row>
  </sheetData>
  <phoneticPr fontId="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N30"/>
  <sheetViews>
    <sheetView workbookViewId="0"/>
  </sheetViews>
  <sheetFormatPr defaultRowHeight="17"/>
  <cols>
    <col min="2" max="2" width="9.33203125" bestFit="1" customWidth="1"/>
    <col min="3" max="3" width="1.58203125" customWidth="1"/>
    <col min="4" max="4" width="12.58203125" bestFit="1" customWidth="1"/>
    <col min="5" max="5" width="10.83203125" bestFit="1" customWidth="1"/>
    <col min="6" max="6" width="1.58203125" customWidth="1"/>
    <col min="8" max="8" width="11" bestFit="1" customWidth="1"/>
    <col min="10" max="10" width="11" bestFit="1" customWidth="1"/>
    <col min="11" max="11" width="34.25" bestFit="1" customWidth="1"/>
    <col min="12" max="12" width="1.58203125" customWidth="1"/>
    <col min="13" max="13" width="13" bestFit="1" customWidth="1"/>
    <col min="14" max="14" width="15.25" bestFit="1" customWidth="1"/>
  </cols>
  <sheetData>
    <row r="1" spans="1:14">
      <c r="A1" t="s">
        <v>1672</v>
      </c>
      <c r="D1" t="s">
        <v>1673</v>
      </c>
      <c r="G1" t="s">
        <v>1674</v>
      </c>
      <c r="M1" t="s">
        <v>1675</v>
      </c>
    </row>
    <row r="2" spans="1:14">
      <c r="A2" s="124" t="s">
        <v>1676</v>
      </c>
      <c r="B2" s="117" t="s">
        <v>1677</v>
      </c>
      <c r="D2" s="164" t="s">
        <v>1678</v>
      </c>
      <c r="E2" s="117" t="s">
        <v>1679</v>
      </c>
      <c r="G2" s="116" t="s">
        <v>1680</v>
      </c>
      <c r="H2" s="116" t="s">
        <v>1682</v>
      </c>
      <c r="I2" s="116" t="s">
        <v>1683</v>
      </c>
      <c r="J2" s="116" t="s">
        <v>1684</v>
      </c>
      <c r="K2" s="117" t="s">
        <v>1685</v>
      </c>
      <c r="M2" s="116" t="s">
        <v>1687</v>
      </c>
      <c r="N2" s="117" t="s">
        <v>1688</v>
      </c>
    </row>
    <row r="3" spans="1:14">
      <c r="A3" s="116" t="s">
        <v>1689</v>
      </c>
      <c r="B3" s="142"/>
      <c r="D3" s="151">
        <v>152</v>
      </c>
      <c r="E3" s="116"/>
      <c r="G3" s="116" t="s">
        <v>1690</v>
      </c>
      <c r="H3" s="151">
        <v>6</v>
      </c>
      <c r="I3" s="151">
        <v>120</v>
      </c>
      <c r="J3" s="151">
        <v>8</v>
      </c>
      <c r="K3" s="151"/>
      <c r="M3" s="116" t="s">
        <v>1691</v>
      </c>
      <c r="N3" s="116"/>
    </row>
    <row r="4" spans="1:14">
      <c r="A4" s="116" t="s">
        <v>1693</v>
      </c>
      <c r="B4" s="142"/>
      <c r="D4" s="151">
        <v>105</v>
      </c>
      <c r="E4" s="116"/>
      <c r="G4" s="116" t="s">
        <v>1538</v>
      </c>
      <c r="H4" s="151">
        <v>1</v>
      </c>
      <c r="I4" s="151">
        <v>15</v>
      </c>
      <c r="J4" s="151"/>
      <c r="K4" s="151"/>
      <c r="M4" s="116" t="s">
        <v>1695</v>
      </c>
      <c r="N4" s="116"/>
    </row>
    <row r="5" spans="1:14">
      <c r="A5" s="116" t="s">
        <v>1696</v>
      </c>
      <c r="B5" s="142"/>
      <c r="D5" s="151">
        <v>228</v>
      </c>
      <c r="E5" s="116"/>
      <c r="G5" s="116" t="s">
        <v>1545</v>
      </c>
      <c r="H5" s="151">
        <v>4</v>
      </c>
      <c r="I5" s="151">
        <v>230</v>
      </c>
      <c r="J5" s="151">
        <v>3</v>
      </c>
      <c r="K5" s="151"/>
      <c r="M5" s="116" t="s">
        <v>1697</v>
      </c>
      <c r="N5" s="116"/>
    </row>
    <row r="6" spans="1:14">
      <c r="A6" s="116" t="s">
        <v>1698</v>
      </c>
      <c r="B6" s="142"/>
      <c r="D6" s="151">
        <v>144</v>
      </c>
      <c r="E6" s="116"/>
      <c r="G6" s="116" t="s">
        <v>1549</v>
      </c>
      <c r="H6" s="151">
        <v>8</v>
      </c>
      <c r="I6" s="151">
        <v>131</v>
      </c>
      <c r="J6" s="151">
        <v>9</v>
      </c>
      <c r="K6" s="151"/>
      <c r="M6" s="116" t="s">
        <v>1699</v>
      </c>
      <c r="N6" s="116"/>
    </row>
    <row r="7" spans="1:14">
      <c r="A7" s="116" t="s">
        <v>1700</v>
      </c>
      <c r="B7" s="142"/>
      <c r="D7" s="151">
        <v>152</v>
      </c>
      <c r="E7" s="116"/>
      <c r="G7" s="116" t="s">
        <v>1553</v>
      </c>
      <c r="H7" s="151">
        <v>5</v>
      </c>
      <c r="I7" s="151">
        <v>155</v>
      </c>
      <c r="J7" s="151">
        <v>7</v>
      </c>
      <c r="K7" s="151"/>
      <c r="M7" s="116" t="s">
        <v>1701</v>
      </c>
      <c r="N7" s="116"/>
    </row>
    <row r="8" spans="1:14">
      <c r="A8" s="116" t="s">
        <v>1702</v>
      </c>
      <c r="B8" s="142"/>
      <c r="D8" s="151">
        <v>152</v>
      </c>
      <c r="E8" s="116"/>
      <c r="G8" s="116" t="s">
        <v>1558</v>
      </c>
      <c r="H8" s="151">
        <v>5</v>
      </c>
      <c r="I8" s="151">
        <v>75</v>
      </c>
      <c r="J8" s="151">
        <v>6</v>
      </c>
      <c r="K8" s="151"/>
      <c r="M8" s="116" t="s">
        <v>1703</v>
      </c>
      <c r="N8" s="116"/>
    </row>
    <row r="9" spans="1:14">
      <c r="A9" s="116" t="s">
        <v>1696</v>
      </c>
      <c r="B9" s="142"/>
      <c r="D9" s="151">
        <v>144</v>
      </c>
      <c r="E9" s="116"/>
      <c r="G9" s="116" t="s">
        <v>1562</v>
      </c>
      <c r="H9" s="151">
        <v>6</v>
      </c>
      <c r="I9" s="151">
        <v>229</v>
      </c>
      <c r="J9" s="151">
        <v>5</v>
      </c>
      <c r="K9" s="151"/>
      <c r="M9" s="116" t="s">
        <v>1704</v>
      </c>
      <c r="N9" s="116"/>
    </row>
    <row r="10" spans="1:14">
      <c r="A10" s="116" t="s">
        <v>1702</v>
      </c>
      <c r="B10" s="142"/>
      <c r="D10" s="151">
        <v>105</v>
      </c>
      <c r="E10" s="116"/>
      <c r="G10" s="116" t="s">
        <v>1565</v>
      </c>
      <c r="H10" s="151">
        <v>5</v>
      </c>
      <c r="I10" s="151">
        <v>89</v>
      </c>
      <c r="J10" s="151">
        <v>7</v>
      </c>
      <c r="K10" s="151"/>
      <c r="M10" s="116" t="s">
        <v>1705</v>
      </c>
      <c r="N10" s="116"/>
    </row>
    <row r="11" spans="1:14">
      <c r="A11" s="116" t="s">
        <v>1706</v>
      </c>
      <c r="B11" s="142"/>
      <c r="D11" s="151">
        <v>144</v>
      </c>
      <c r="E11" s="116"/>
      <c r="G11" s="116" t="s">
        <v>1569</v>
      </c>
      <c r="H11" s="151">
        <v>3</v>
      </c>
      <c r="I11" s="151">
        <v>49</v>
      </c>
      <c r="J11" s="151">
        <v>5</v>
      </c>
      <c r="K11" s="151"/>
      <c r="M11" s="116" t="s">
        <v>1707</v>
      </c>
      <c r="N11" s="116"/>
    </row>
    <row r="12" spans="1:14">
      <c r="A12" s="116" t="s">
        <v>1698</v>
      </c>
      <c r="B12" s="142"/>
      <c r="D12" s="151">
        <v>152</v>
      </c>
      <c r="E12" s="116"/>
      <c r="G12" s="116" t="s">
        <v>1572</v>
      </c>
      <c r="H12" s="151">
        <v>2</v>
      </c>
      <c r="I12" s="151">
        <v>50</v>
      </c>
      <c r="J12" s="151"/>
      <c r="K12" s="151"/>
      <c r="M12" s="116" t="s">
        <v>1708</v>
      </c>
      <c r="N12" s="116"/>
    </row>
    <row r="13" spans="1:14">
      <c r="A13" s="116" t="s">
        <v>1689</v>
      </c>
      <c r="B13" s="142"/>
      <c r="D13" s="151">
        <v>113</v>
      </c>
      <c r="E13" s="116"/>
      <c r="G13" s="116" t="s">
        <v>1574</v>
      </c>
      <c r="H13" s="151">
        <v>4</v>
      </c>
      <c r="I13" s="151">
        <v>70</v>
      </c>
      <c r="J13" s="151">
        <v>3</v>
      </c>
      <c r="K13" s="151"/>
    </row>
    <row r="14" spans="1:14">
      <c r="A14" s="116" t="s">
        <v>1693</v>
      </c>
      <c r="B14" s="142"/>
      <c r="D14" s="151">
        <v>105</v>
      </c>
      <c r="E14" s="116"/>
      <c r="G14" s="116" t="s">
        <v>1577</v>
      </c>
      <c r="H14" s="151">
        <v>3</v>
      </c>
      <c r="I14" s="151">
        <v>42</v>
      </c>
      <c r="J14" s="151">
        <v>6</v>
      </c>
      <c r="K14" s="151"/>
      <c r="M14" t="s">
        <v>1709</v>
      </c>
    </row>
    <row r="15" spans="1:14">
      <c r="A15" s="116" t="s">
        <v>1710</v>
      </c>
      <c r="B15" s="142"/>
      <c r="D15" s="151">
        <v>152</v>
      </c>
      <c r="E15" s="116"/>
      <c r="G15" s="116" t="s">
        <v>1579</v>
      </c>
      <c r="H15" s="151">
        <v>2</v>
      </c>
      <c r="I15" s="151">
        <v>32</v>
      </c>
      <c r="J15" s="151">
        <v>5</v>
      </c>
      <c r="K15" s="151"/>
      <c r="M15" s="116" t="s">
        <v>1687</v>
      </c>
      <c r="N15" s="116" t="s">
        <v>1688</v>
      </c>
    </row>
    <row r="16" spans="1:14">
      <c r="A16" s="116" t="s">
        <v>1711</v>
      </c>
      <c r="B16" s="142"/>
      <c r="D16" s="151">
        <v>113</v>
      </c>
      <c r="E16" s="116"/>
      <c r="G16" s="116" t="s">
        <v>1581</v>
      </c>
      <c r="H16" s="151">
        <v>6</v>
      </c>
      <c r="I16" s="151">
        <v>350</v>
      </c>
      <c r="J16" s="151">
        <v>5</v>
      </c>
      <c r="K16" s="151"/>
      <c r="M16" s="116" t="s">
        <v>1712</v>
      </c>
      <c r="N16" s="116" t="s">
        <v>1713</v>
      </c>
    </row>
    <row r="17" spans="1:14">
      <c r="A17" s="116" t="s">
        <v>1693</v>
      </c>
      <c r="B17" s="142"/>
      <c r="D17" s="151">
        <v>228</v>
      </c>
      <c r="E17" s="116"/>
      <c r="G17" s="116" t="s">
        <v>1587</v>
      </c>
      <c r="H17" s="151">
        <v>2</v>
      </c>
      <c r="I17" s="151">
        <v>37</v>
      </c>
      <c r="J17" s="151">
        <v>2</v>
      </c>
      <c r="K17" s="151"/>
      <c r="M17" s="116" t="s">
        <v>1699</v>
      </c>
      <c r="N17" s="116" t="s">
        <v>1714</v>
      </c>
    </row>
    <row r="18" spans="1:14">
      <c r="A18" s="116" t="s">
        <v>1696</v>
      </c>
      <c r="B18" s="142"/>
      <c r="G18" s="116" t="s">
        <v>1590</v>
      </c>
      <c r="H18" s="151">
        <v>3</v>
      </c>
      <c r="I18" s="151">
        <v>69</v>
      </c>
      <c r="J18" s="151">
        <v>9</v>
      </c>
      <c r="K18" s="151"/>
      <c r="M18" s="116" t="s">
        <v>1695</v>
      </c>
      <c r="N18" s="116" t="s">
        <v>1715</v>
      </c>
    </row>
    <row r="19" spans="1:14">
      <c r="A19" s="116" t="s">
        <v>1689</v>
      </c>
      <c r="B19" s="142"/>
      <c r="G19" s="116" t="s">
        <v>1592</v>
      </c>
      <c r="H19" s="151">
        <v>5</v>
      </c>
      <c r="I19" s="151">
        <v>53</v>
      </c>
      <c r="J19" s="151">
        <v>5</v>
      </c>
      <c r="K19" s="151"/>
      <c r="M19" s="116" t="s">
        <v>1697</v>
      </c>
      <c r="N19" s="116" t="s">
        <v>1716</v>
      </c>
    </row>
    <row r="20" spans="1:14">
      <c r="A20" s="116" t="s">
        <v>1717</v>
      </c>
      <c r="B20" s="142"/>
      <c r="G20" s="116" t="s">
        <v>1595</v>
      </c>
      <c r="H20" s="151">
        <v>1</v>
      </c>
      <c r="I20" s="151">
        <v>28</v>
      </c>
      <c r="J20" s="151">
        <v>8</v>
      </c>
      <c r="K20" s="151"/>
      <c r="M20" s="116" t="s">
        <v>1701</v>
      </c>
      <c r="N20" s="116" t="s">
        <v>1718</v>
      </c>
    </row>
    <row r="21" spans="1:14">
      <c r="A21" s="116" t="s">
        <v>1710</v>
      </c>
      <c r="B21" s="142"/>
      <c r="G21" s="116" t="s">
        <v>1601</v>
      </c>
      <c r="H21" s="151">
        <v>1</v>
      </c>
      <c r="I21" s="151">
        <v>23</v>
      </c>
      <c r="J21" s="151"/>
      <c r="K21" s="151"/>
    </row>
    <row r="22" spans="1:14">
      <c r="A22" s="116" t="s">
        <v>1719</v>
      </c>
      <c r="B22" s="142"/>
      <c r="G22" s="116" t="s">
        <v>1606</v>
      </c>
      <c r="H22" s="151">
        <v>5</v>
      </c>
      <c r="I22" s="151">
        <v>45</v>
      </c>
      <c r="J22" s="151">
        <v>4</v>
      </c>
      <c r="K22" s="151"/>
    </row>
    <row r="23" spans="1:14">
      <c r="A23" s="116" t="s">
        <v>1702</v>
      </c>
      <c r="B23" s="142"/>
      <c r="G23" s="116" t="s">
        <v>1610</v>
      </c>
      <c r="H23" s="151">
        <v>4</v>
      </c>
      <c r="I23" s="151">
        <v>64</v>
      </c>
      <c r="J23" s="151">
        <v>5</v>
      </c>
      <c r="K23" s="151"/>
    </row>
    <row r="24" spans="1:14">
      <c r="A24" s="116" t="s">
        <v>1696</v>
      </c>
      <c r="B24" s="142"/>
      <c r="G24" s="116" t="s">
        <v>1614</v>
      </c>
      <c r="H24" s="151">
        <v>4</v>
      </c>
      <c r="I24" s="151">
        <v>79</v>
      </c>
      <c r="J24" s="151">
        <v>5</v>
      </c>
      <c r="K24" s="151"/>
    </row>
    <row r="25" spans="1:14">
      <c r="A25" s="116" t="s">
        <v>1720</v>
      </c>
      <c r="B25" s="142"/>
      <c r="G25" s="116" t="s">
        <v>1617</v>
      </c>
      <c r="H25" s="151">
        <v>3</v>
      </c>
      <c r="I25" s="151">
        <v>36</v>
      </c>
      <c r="J25" s="151">
        <v>3</v>
      </c>
      <c r="K25" s="151"/>
    </row>
    <row r="26" spans="1:14">
      <c r="G26" s="116" t="s">
        <v>1621</v>
      </c>
      <c r="H26" s="151">
        <v>6</v>
      </c>
      <c r="I26" s="151">
        <v>109</v>
      </c>
      <c r="J26" s="151">
        <v>5</v>
      </c>
      <c r="K26" s="151"/>
    </row>
    <row r="27" spans="1:14">
      <c r="G27" s="116" t="s">
        <v>1622</v>
      </c>
      <c r="H27" s="151">
        <v>2</v>
      </c>
      <c r="I27" s="151">
        <v>33</v>
      </c>
      <c r="J27" s="151">
        <v>5</v>
      </c>
      <c r="K27" s="151"/>
    </row>
    <row r="28" spans="1:14">
      <c r="G28" s="116" t="s">
        <v>1624</v>
      </c>
      <c r="H28" s="151">
        <v>1</v>
      </c>
      <c r="I28" s="151">
        <v>29</v>
      </c>
      <c r="J28" s="151">
        <v>4</v>
      </c>
      <c r="K28" s="151"/>
    </row>
    <row r="29" spans="1:14">
      <c r="G29" s="116" t="s">
        <v>1626</v>
      </c>
      <c r="H29" s="151">
        <v>5</v>
      </c>
      <c r="I29" s="151">
        <v>37</v>
      </c>
      <c r="J29" s="151">
        <v>6</v>
      </c>
      <c r="K29" s="151"/>
    </row>
    <row r="30" spans="1:14">
      <c r="G30" s="116" t="s">
        <v>1629</v>
      </c>
      <c r="H30" s="151">
        <v>6</v>
      </c>
      <c r="I30" s="151">
        <v>199</v>
      </c>
      <c r="J30" s="151">
        <v>7</v>
      </c>
      <c r="K30" s="151"/>
    </row>
  </sheetData>
  <phoneticPr fontId="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N30"/>
  <sheetViews>
    <sheetView workbookViewId="0"/>
  </sheetViews>
  <sheetFormatPr defaultColWidth="9" defaultRowHeight="17"/>
  <cols>
    <col min="2" max="2" width="9.33203125" bestFit="1" customWidth="1"/>
    <col min="3" max="3" width="1.58203125" customWidth="1"/>
    <col min="4" max="4" width="12.58203125" bestFit="1" customWidth="1"/>
    <col min="5" max="5" width="10.83203125" bestFit="1" customWidth="1"/>
    <col min="6" max="6" width="1.58203125" customWidth="1"/>
    <col min="8" max="8" width="11" bestFit="1" customWidth="1"/>
    <col min="10" max="10" width="11" bestFit="1" customWidth="1"/>
    <col min="11" max="11" width="34.25" bestFit="1" customWidth="1"/>
    <col min="12" max="12" width="1.58203125" customWidth="1"/>
    <col min="13" max="13" width="13" bestFit="1" customWidth="1"/>
    <col min="14" max="14" width="15.25" bestFit="1" customWidth="1"/>
  </cols>
  <sheetData>
    <row r="1" spans="1:14">
      <c r="A1" t="s">
        <v>65</v>
      </c>
      <c r="D1" t="s">
        <v>1673</v>
      </c>
      <c r="G1" t="s">
        <v>1674</v>
      </c>
      <c r="M1" t="s">
        <v>1675</v>
      </c>
    </row>
    <row r="2" spans="1:14">
      <c r="A2" s="124" t="s">
        <v>1166</v>
      </c>
      <c r="B2" s="117" t="s">
        <v>1677</v>
      </c>
      <c r="D2" s="164" t="s">
        <v>1678</v>
      </c>
      <c r="E2" s="117" t="s">
        <v>1722</v>
      </c>
      <c r="G2" s="116" t="s">
        <v>1680</v>
      </c>
      <c r="H2" s="116" t="s">
        <v>1681</v>
      </c>
      <c r="I2" s="116" t="s">
        <v>1683</v>
      </c>
      <c r="J2" s="116" t="s">
        <v>1684</v>
      </c>
      <c r="K2" s="117" t="s">
        <v>1685</v>
      </c>
      <c r="M2" s="116" t="s">
        <v>1686</v>
      </c>
      <c r="N2" s="117" t="s">
        <v>1688</v>
      </c>
    </row>
    <row r="3" spans="1:14">
      <c r="A3" s="116" t="s">
        <v>1689</v>
      </c>
      <c r="B3" s="142" t="str">
        <f>IF(LEFT(A3,1)="T","전화("&amp;COUNTIF($A$3:A3,"T*")&amp;")",IF(LEFT(A3,1)="C","온라인("&amp;COUNTIF($A$3:A3,"C*")&amp;")","방문("&amp;COUNTIF($A$3:A3,"V*")&amp;")"))</f>
        <v>전화(1)</v>
      </c>
      <c r="D3" s="151">
        <v>152</v>
      </c>
      <c r="E3" s="116" t="str">
        <f>IF(D3&lt;120,TEXT(ROUNDUP(D3/60,0),"0시간"),TEXT((D3-MOD(D3,60))/60,"0시간")&amp;TEXT(MOD(D3,60)," 0분"))</f>
        <v>2시간 32분</v>
      </c>
      <c r="G3" s="116" t="s">
        <v>1690</v>
      </c>
      <c r="H3" s="151">
        <v>6</v>
      </c>
      <c r="I3" s="151">
        <v>120</v>
      </c>
      <c r="J3" s="151">
        <v>8</v>
      </c>
      <c r="K3" s="151" t="str">
        <f>IFERROR(REPT("■",(H3/J3)*10)&amp;TEXT(H3/J3,"0.0%"),"신생강의")</f>
        <v>■■■■■■■75.0%</v>
      </c>
      <c r="M3" s="116" t="s">
        <v>1691</v>
      </c>
      <c r="N3" s="116" t="str">
        <f t="shared" ref="N3:N12" si="0">IFERROR(REPLACE(VLOOKUP(M3,$M$16:$N$20,2,FALSE),5,2,"○○"),"")</f>
        <v/>
      </c>
    </row>
    <row r="4" spans="1:14">
      <c r="A4" s="116" t="s">
        <v>1692</v>
      </c>
      <c r="B4" s="142" t="str">
        <f>IF(LEFT(A4,1)="T","전화("&amp;COUNTIF($A$3:A4,"T*")&amp;")",IF(LEFT(A4,1)="C","온라인("&amp;COUNTIF($A$3:A4,"C*")&amp;")","방문("&amp;COUNTIF($A$3:A4,"V*")&amp;")"))</f>
        <v>온라인(1)</v>
      </c>
      <c r="D4" s="151">
        <v>105</v>
      </c>
      <c r="E4" s="116" t="str">
        <f>IF(D4&lt;120,TEXT(ROUNDUP(D4/60,0),"0시간"),TEXT((D4-MOD(D4,60))/60,"0시간")&amp;TEXT(MOD(D4,60)," 0분"))</f>
        <v>2시간</v>
      </c>
      <c r="G4" s="116" t="s">
        <v>1538</v>
      </c>
      <c r="H4" s="151">
        <v>1</v>
      </c>
      <c r="I4" s="151">
        <v>15</v>
      </c>
      <c r="J4" s="151"/>
      <c r="K4" s="151" t="str">
        <f t="shared" ref="K4:K30" si="1">IFERROR(REPT("■",(H4/J4)*10)&amp;TEXT(H4/J4,"0.0%"),"신생강의")</f>
        <v>신생강의</v>
      </c>
      <c r="M4" s="116" t="s">
        <v>1694</v>
      </c>
      <c r="N4" s="116" t="str">
        <f t="shared" si="0"/>
        <v>301-○○-00321</v>
      </c>
    </row>
    <row r="5" spans="1:14">
      <c r="A5" s="116" t="s">
        <v>1198</v>
      </c>
      <c r="B5" s="142" t="str">
        <f>IF(LEFT(A5,1)="T","전화("&amp;COUNTIF($A$3:A5,"T*")&amp;")",IF(LEFT(A5,1)="C","온라인("&amp;COUNTIF($A$3:A5,"C*")&amp;")","방문("&amp;COUNTIF($A$3:A5,"V*")&amp;")"))</f>
        <v>방문(1)</v>
      </c>
      <c r="D5" s="151">
        <v>228</v>
      </c>
      <c r="E5" s="116" t="str">
        <f>IF(D5&lt;120,TEXT(ROUNDUP(D5/60,0),"0시간"),TEXT((D5-MOD(D5,60))/60,"0시간")&amp;TEXT(MOD(D5,60)," 0분"))</f>
        <v>3시간 48분</v>
      </c>
      <c r="G5" s="116" t="s">
        <v>1545</v>
      </c>
      <c r="H5" s="151">
        <v>4</v>
      </c>
      <c r="I5" s="151">
        <v>230</v>
      </c>
      <c r="J5" s="151">
        <v>3</v>
      </c>
      <c r="K5" s="151" t="str">
        <f t="shared" si="1"/>
        <v>■■■■■■■■■■■■■133.3%</v>
      </c>
      <c r="M5" s="116" t="s">
        <v>1697</v>
      </c>
      <c r="N5" s="116" t="str">
        <f t="shared" si="0"/>
        <v>224-○○-20123</v>
      </c>
    </row>
    <row r="6" spans="1:14">
      <c r="A6" s="116" t="s">
        <v>1698</v>
      </c>
      <c r="B6" s="142" t="str">
        <f>IF(LEFT(A6,1)="T","전화("&amp;COUNTIF($A$3:A6,"T*")&amp;")",IF(LEFT(A6,1)="C","온라인("&amp;COUNTIF($A$3:A6,"C*")&amp;")","방문("&amp;COUNTIF($A$3:A6,"V*")&amp;")"))</f>
        <v>방문(2)</v>
      </c>
      <c r="D6" s="151">
        <v>144</v>
      </c>
      <c r="E6" s="116" t="str">
        <f t="shared" ref="E6:E17" si="2">IF(D6&lt;120,TEXT(ROUNDUP(D6/60,0),"0시간"),TEXT((D6-MOD(D6,60))/60,"0시간")&amp;TEXT(MOD(D6,60)," 0분"))</f>
        <v>2시간 24분</v>
      </c>
      <c r="G6" s="116" t="s">
        <v>1549</v>
      </c>
      <c r="H6" s="151">
        <v>8</v>
      </c>
      <c r="I6" s="151">
        <v>131</v>
      </c>
      <c r="J6" s="151">
        <v>9</v>
      </c>
      <c r="K6" s="151" t="str">
        <f t="shared" si="1"/>
        <v>■■■■■■■■88.9%</v>
      </c>
      <c r="M6" s="116" t="s">
        <v>1699</v>
      </c>
      <c r="N6" s="116" t="str">
        <f t="shared" si="0"/>
        <v>127-○○-20122</v>
      </c>
    </row>
    <row r="7" spans="1:14">
      <c r="A7" s="116" t="s">
        <v>1700</v>
      </c>
      <c r="B7" s="142" t="str">
        <f>IF(LEFT(A7,1)="T","전화("&amp;COUNTIF($A$3:A7,"T*")&amp;")",IF(LEFT(A7,1)="C","온라인("&amp;COUNTIF($A$3:A7,"C*")&amp;")","방문("&amp;COUNTIF($A$3:A7,"V*")&amp;")"))</f>
        <v>전화(2)</v>
      </c>
      <c r="D7" s="151">
        <v>152</v>
      </c>
      <c r="E7" s="116" t="str">
        <f t="shared" si="2"/>
        <v>2시간 32분</v>
      </c>
      <c r="G7" s="116" t="s">
        <v>1553</v>
      </c>
      <c r="H7" s="151">
        <v>5</v>
      </c>
      <c r="I7" s="151">
        <v>155</v>
      </c>
      <c r="J7" s="151">
        <v>7</v>
      </c>
      <c r="K7" s="151" t="str">
        <f t="shared" si="1"/>
        <v>■■■■■■■71.4%</v>
      </c>
      <c r="M7" s="116" t="s">
        <v>1701</v>
      </c>
      <c r="N7" s="116" t="str">
        <f t="shared" si="0"/>
        <v>124-○○-36512</v>
      </c>
    </row>
    <row r="8" spans="1:14">
      <c r="A8" s="116" t="s">
        <v>1702</v>
      </c>
      <c r="B8" s="142" t="str">
        <f>IF(LEFT(A8,1)="T","전화("&amp;COUNTIF($A$3:A8,"T*")&amp;")",IF(LEFT(A8,1)="C","온라인("&amp;COUNTIF($A$3:A8,"C*")&amp;")","방문("&amp;COUNTIF($A$3:A8,"V*")&amp;")"))</f>
        <v>온라인(2)</v>
      </c>
      <c r="D8" s="151">
        <v>152</v>
      </c>
      <c r="E8" s="116" t="str">
        <f t="shared" si="2"/>
        <v>2시간 32분</v>
      </c>
      <c r="G8" s="116" t="s">
        <v>1558</v>
      </c>
      <c r="H8" s="151">
        <v>5</v>
      </c>
      <c r="I8" s="151">
        <v>75</v>
      </c>
      <c r="J8" s="151">
        <v>6</v>
      </c>
      <c r="K8" s="151" t="str">
        <f t="shared" si="1"/>
        <v>■■■■■■■■83.3%</v>
      </c>
      <c r="M8" s="116" t="s">
        <v>1703</v>
      </c>
      <c r="N8" s="116" t="str">
        <f t="shared" si="0"/>
        <v/>
      </c>
    </row>
    <row r="9" spans="1:14">
      <c r="A9" s="116" t="s">
        <v>1696</v>
      </c>
      <c r="B9" s="142" t="str">
        <f>IF(LEFT(A9,1)="T","전화("&amp;COUNTIF($A$3:A9,"T*")&amp;")",IF(LEFT(A9,1)="C","온라인("&amp;COUNTIF($A$3:A9,"C*")&amp;")","방문("&amp;COUNTIF($A$3:A9,"V*")&amp;")"))</f>
        <v>방문(3)</v>
      </c>
      <c r="D9" s="151">
        <v>144</v>
      </c>
      <c r="E9" s="116" t="str">
        <f t="shared" si="2"/>
        <v>2시간 24분</v>
      </c>
      <c r="G9" s="116" t="s">
        <v>1562</v>
      </c>
      <c r="H9" s="151">
        <v>6</v>
      </c>
      <c r="I9" s="151">
        <v>229</v>
      </c>
      <c r="J9" s="151">
        <v>5</v>
      </c>
      <c r="K9" s="151" t="str">
        <f t="shared" si="1"/>
        <v>■■■■■■■■■■■■120.0%</v>
      </c>
      <c r="M9" s="116" t="s">
        <v>1704</v>
      </c>
      <c r="N9" s="116" t="str">
        <f t="shared" si="0"/>
        <v>399-○○-22134</v>
      </c>
    </row>
    <row r="10" spans="1:14">
      <c r="A10" s="116" t="s">
        <v>1702</v>
      </c>
      <c r="B10" s="142" t="str">
        <f>IF(LEFT(A10,1)="T","전화("&amp;COUNTIF($A$3:A10,"T*")&amp;")",IF(LEFT(A10,1)="C","온라인("&amp;COUNTIF($A$3:A10,"C*")&amp;")","방문("&amp;COUNTIF($A$3:A10,"V*")&amp;")"))</f>
        <v>온라인(3)</v>
      </c>
      <c r="D10" s="151">
        <v>105</v>
      </c>
      <c r="E10" s="116" t="str">
        <f t="shared" si="2"/>
        <v>2시간</v>
      </c>
      <c r="G10" s="116" t="s">
        <v>1565</v>
      </c>
      <c r="H10" s="151">
        <v>5</v>
      </c>
      <c r="I10" s="151">
        <v>89</v>
      </c>
      <c r="J10" s="151">
        <v>7</v>
      </c>
      <c r="K10" s="151" t="str">
        <f t="shared" si="1"/>
        <v>■■■■■■■71.4%</v>
      </c>
      <c r="M10" s="116" t="s">
        <v>1705</v>
      </c>
      <c r="N10" s="116" t="str">
        <f t="shared" si="0"/>
        <v/>
      </c>
    </row>
    <row r="11" spans="1:14">
      <c r="A11" s="116" t="s">
        <v>1706</v>
      </c>
      <c r="B11" s="142" t="str">
        <f>IF(LEFT(A11,1)="T","전화("&amp;COUNTIF($A$3:A11,"T*")&amp;")",IF(LEFT(A11,1)="C","온라인("&amp;COUNTIF($A$3:A11,"C*")&amp;")","방문("&amp;COUNTIF($A$3:A11,"V*")&amp;")"))</f>
        <v>방문(4)</v>
      </c>
      <c r="D11" s="151">
        <v>144</v>
      </c>
      <c r="E11" s="116" t="str">
        <f t="shared" si="2"/>
        <v>2시간 24분</v>
      </c>
      <c r="G11" s="116" t="s">
        <v>1569</v>
      </c>
      <c r="H11" s="151">
        <v>3</v>
      </c>
      <c r="I11" s="151">
        <v>49</v>
      </c>
      <c r="J11" s="151">
        <v>5</v>
      </c>
      <c r="K11" s="151" t="str">
        <f t="shared" si="1"/>
        <v>■■■■■■60.0%</v>
      </c>
      <c r="M11" s="116" t="s">
        <v>1707</v>
      </c>
      <c r="N11" s="116" t="str">
        <f t="shared" si="0"/>
        <v/>
      </c>
    </row>
    <row r="12" spans="1:14">
      <c r="A12" s="116" t="s">
        <v>1698</v>
      </c>
      <c r="B12" s="142" t="str">
        <f>IF(LEFT(A12,1)="T","전화("&amp;COUNTIF($A$3:A12,"T*")&amp;")",IF(LEFT(A12,1)="C","온라인("&amp;COUNTIF($A$3:A12,"C*")&amp;")","방문("&amp;COUNTIF($A$3:A12,"V*")&amp;")"))</f>
        <v>방문(5)</v>
      </c>
      <c r="D12" s="151">
        <v>152</v>
      </c>
      <c r="E12" s="116" t="str">
        <f t="shared" si="2"/>
        <v>2시간 32분</v>
      </c>
      <c r="G12" s="116" t="s">
        <v>1572</v>
      </c>
      <c r="H12" s="151">
        <v>2</v>
      </c>
      <c r="I12" s="151">
        <v>50</v>
      </c>
      <c r="J12" s="151"/>
      <c r="K12" s="151" t="str">
        <f t="shared" si="1"/>
        <v>신생강의</v>
      </c>
      <c r="M12" s="116" t="s">
        <v>1708</v>
      </c>
      <c r="N12" s="116" t="str">
        <f t="shared" si="0"/>
        <v/>
      </c>
    </row>
    <row r="13" spans="1:14">
      <c r="A13" s="116" t="s">
        <v>1689</v>
      </c>
      <c r="B13" s="142" t="str">
        <f>IF(LEFT(A13,1)="T","전화("&amp;COUNTIF($A$3:A13,"T*")&amp;")",IF(LEFT(A13,1)="C","온라인("&amp;COUNTIF($A$3:A13,"C*")&amp;")","방문("&amp;COUNTIF($A$3:A13,"V*")&amp;")"))</f>
        <v>전화(3)</v>
      </c>
      <c r="D13" s="151">
        <v>113</v>
      </c>
      <c r="E13" s="116" t="str">
        <f t="shared" si="2"/>
        <v>2시간</v>
      </c>
      <c r="G13" s="116" t="s">
        <v>1574</v>
      </c>
      <c r="H13" s="151">
        <v>4</v>
      </c>
      <c r="I13" s="151">
        <v>70</v>
      </c>
      <c r="J13" s="151">
        <v>3</v>
      </c>
      <c r="K13" s="151" t="str">
        <f t="shared" si="1"/>
        <v>■■■■■■■■■■■■■133.3%</v>
      </c>
    </row>
    <row r="14" spans="1:14">
      <c r="A14" s="116" t="s">
        <v>1693</v>
      </c>
      <c r="B14" s="142" t="str">
        <f>IF(LEFT(A14,1)="T","전화("&amp;COUNTIF($A$3:A14,"T*")&amp;")",IF(LEFT(A14,1)="C","온라인("&amp;COUNTIF($A$3:A14,"C*")&amp;")","방문("&amp;COUNTIF($A$3:A14,"V*")&amp;")"))</f>
        <v>온라인(4)</v>
      </c>
      <c r="D14" s="151">
        <v>105</v>
      </c>
      <c r="E14" s="116" t="str">
        <f t="shared" si="2"/>
        <v>2시간</v>
      </c>
      <c r="G14" s="116" t="s">
        <v>1577</v>
      </c>
      <c r="H14" s="151">
        <v>3</v>
      </c>
      <c r="I14" s="151">
        <v>42</v>
      </c>
      <c r="J14" s="151">
        <v>6</v>
      </c>
      <c r="K14" s="151" t="str">
        <f t="shared" si="1"/>
        <v>■■■■■50.0%</v>
      </c>
      <c r="M14" t="s">
        <v>1709</v>
      </c>
    </row>
    <row r="15" spans="1:14">
      <c r="A15" s="116" t="s">
        <v>1710</v>
      </c>
      <c r="B15" s="142" t="str">
        <f>IF(LEFT(A15,1)="T","전화("&amp;COUNTIF($A$3:A15,"T*")&amp;")",IF(LEFT(A15,1)="C","온라인("&amp;COUNTIF($A$3:A15,"C*")&amp;")","방문("&amp;COUNTIF($A$3:A15,"V*")&amp;")"))</f>
        <v>방문(6)</v>
      </c>
      <c r="D15" s="151">
        <v>152</v>
      </c>
      <c r="E15" s="116" t="str">
        <f t="shared" si="2"/>
        <v>2시간 32분</v>
      </c>
      <c r="G15" s="116" t="s">
        <v>1579</v>
      </c>
      <c r="H15" s="151">
        <v>2</v>
      </c>
      <c r="I15" s="151">
        <v>32</v>
      </c>
      <c r="J15" s="151">
        <v>5</v>
      </c>
      <c r="K15" s="151" t="str">
        <f t="shared" si="1"/>
        <v>■■■■40.0%</v>
      </c>
      <c r="M15" s="116" t="s">
        <v>1687</v>
      </c>
      <c r="N15" s="116" t="s">
        <v>1688</v>
      </c>
    </row>
    <row r="16" spans="1:14">
      <c r="A16" s="116" t="s">
        <v>1711</v>
      </c>
      <c r="B16" s="142" t="str">
        <f>IF(LEFT(A16,1)="T","전화("&amp;COUNTIF($A$3:A16,"T*")&amp;")",IF(LEFT(A16,1)="C","온라인("&amp;COUNTIF($A$3:A16,"C*")&amp;")","방문("&amp;COUNTIF($A$3:A16,"V*")&amp;")"))</f>
        <v>전화(4)</v>
      </c>
      <c r="D16" s="151">
        <v>113</v>
      </c>
      <c r="E16" s="116" t="str">
        <f t="shared" si="2"/>
        <v>2시간</v>
      </c>
      <c r="G16" s="116" t="s">
        <v>1581</v>
      </c>
      <c r="H16" s="151">
        <v>6</v>
      </c>
      <c r="I16" s="151">
        <v>350</v>
      </c>
      <c r="J16" s="151">
        <v>5</v>
      </c>
      <c r="K16" s="151" t="str">
        <f t="shared" si="1"/>
        <v>■■■■■■■■■■■■120.0%</v>
      </c>
      <c r="M16" s="116" t="s">
        <v>1712</v>
      </c>
      <c r="N16" s="116" t="s">
        <v>1713</v>
      </c>
    </row>
    <row r="17" spans="1:14">
      <c r="A17" s="116" t="s">
        <v>1693</v>
      </c>
      <c r="B17" s="142" t="str">
        <f>IF(LEFT(A17,1)="T","전화("&amp;COUNTIF($A$3:A17,"T*")&amp;")",IF(LEFT(A17,1)="C","온라인("&amp;COUNTIF($A$3:A17,"C*")&amp;")","방문("&amp;COUNTIF($A$3:A17,"V*")&amp;")"))</f>
        <v>온라인(5)</v>
      </c>
      <c r="D17" s="151">
        <v>228</v>
      </c>
      <c r="E17" s="116" t="str">
        <f t="shared" si="2"/>
        <v>3시간 48분</v>
      </c>
      <c r="G17" s="116" t="s">
        <v>1587</v>
      </c>
      <c r="H17" s="151">
        <v>2</v>
      </c>
      <c r="I17" s="151">
        <v>37</v>
      </c>
      <c r="J17" s="151">
        <v>2</v>
      </c>
      <c r="K17" s="151" t="str">
        <f t="shared" si="1"/>
        <v>■■■■■■■■■■100.0%</v>
      </c>
      <c r="M17" s="116" t="s">
        <v>1699</v>
      </c>
      <c r="N17" s="116" t="s">
        <v>1714</v>
      </c>
    </row>
    <row r="18" spans="1:14">
      <c r="A18" s="116" t="s">
        <v>1696</v>
      </c>
      <c r="B18" s="142" t="str">
        <f>IF(LEFT(A18,1)="T","전화("&amp;COUNTIF($A$3:A18,"T*")&amp;")",IF(LEFT(A18,1)="C","온라인("&amp;COUNTIF($A$3:A18,"C*")&amp;")","방문("&amp;COUNTIF($A$3:A18,"V*")&amp;")"))</f>
        <v>방문(7)</v>
      </c>
      <c r="G18" s="116" t="s">
        <v>1590</v>
      </c>
      <c r="H18" s="151">
        <v>3</v>
      </c>
      <c r="I18" s="151">
        <v>69</v>
      </c>
      <c r="J18" s="151">
        <v>9</v>
      </c>
      <c r="K18" s="151" t="str">
        <f t="shared" si="1"/>
        <v>■■■33.3%</v>
      </c>
      <c r="M18" s="116" t="s">
        <v>1695</v>
      </c>
      <c r="N18" s="116" t="s">
        <v>1715</v>
      </c>
    </row>
    <row r="19" spans="1:14">
      <c r="A19" s="116" t="s">
        <v>1689</v>
      </c>
      <c r="B19" s="142" t="str">
        <f>IF(LEFT(A19,1)="T","전화("&amp;COUNTIF($A$3:A19,"T*")&amp;")",IF(LEFT(A19,1)="C","온라인("&amp;COUNTIF($A$3:A19,"C*")&amp;")","방문("&amp;COUNTIF($A$3:A19,"V*")&amp;")"))</f>
        <v>전화(5)</v>
      </c>
      <c r="G19" s="116" t="s">
        <v>1592</v>
      </c>
      <c r="H19" s="151">
        <v>5</v>
      </c>
      <c r="I19" s="151">
        <v>53</v>
      </c>
      <c r="J19" s="151">
        <v>5</v>
      </c>
      <c r="K19" s="151" t="str">
        <f t="shared" si="1"/>
        <v>■■■■■■■■■■100.0%</v>
      </c>
      <c r="M19" s="116" t="s">
        <v>1697</v>
      </c>
      <c r="N19" s="116" t="s">
        <v>1716</v>
      </c>
    </row>
    <row r="20" spans="1:14">
      <c r="A20" s="116" t="s">
        <v>1717</v>
      </c>
      <c r="B20" s="142" t="str">
        <f>IF(LEFT(A20,1)="T","전화("&amp;COUNTIF($A$3:A20,"T*")&amp;")",IF(LEFT(A20,1)="C","온라인("&amp;COUNTIF($A$3:A20,"C*")&amp;")","방문("&amp;COUNTIF($A$3:A20,"V*")&amp;")"))</f>
        <v>온라인(6)</v>
      </c>
      <c r="G20" s="116" t="s">
        <v>1595</v>
      </c>
      <c r="H20" s="151">
        <v>1</v>
      </c>
      <c r="I20" s="151">
        <v>28</v>
      </c>
      <c r="J20" s="151">
        <v>8</v>
      </c>
      <c r="K20" s="151" t="str">
        <f t="shared" si="1"/>
        <v>■12.5%</v>
      </c>
      <c r="M20" s="116" t="s">
        <v>1701</v>
      </c>
      <c r="N20" s="116" t="s">
        <v>1718</v>
      </c>
    </row>
    <row r="21" spans="1:14">
      <c r="A21" s="116" t="s">
        <v>1710</v>
      </c>
      <c r="B21" s="142" t="str">
        <f>IF(LEFT(A21,1)="T","전화("&amp;COUNTIF($A$3:A21,"T*")&amp;")",IF(LEFT(A21,1)="C","온라인("&amp;COUNTIF($A$3:A21,"C*")&amp;")","방문("&amp;COUNTIF($A$3:A21,"V*")&amp;")"))</f>
        <v>방문(8)</v>
      </c>
      <c r="G21" s="116" t="s">
        <v>1601</v>
      </c>
      <c r="H21" s="151">
        <v>1</v>
      </c>
      <c r="I21" s="151">
        <v>23</v>
      </c>
      <c r="J21" s="151"/>
      <c r="K21" s="151" t="str">
        <f t="shared" si="1"/>
        <v>신생강의</v>
      </c>
    </row>
    <row r="22" spans="1:14">
      <c r="A22" s="116" t="s">
        <v>1719</v>
      </c>
      <c r="B22" s="142" t="str">
        <f>IF(LEFT(A22,1)="T","전화("&amp;COUNTIF($A$3:A22,"T*")&amp;")",IF(LEFT(A22,1)="C","온라인("&amp;COUNTIF($A$3:A22,"C*")&amp;")","방문("&amp;COUNTIF($A$3:A22,"V*")&amp;")"))</f>
        <v>전화(6)</v>
      </c>
      <c r="G22" s="116" t="s">
        <v>1606</v>
      </c>
      <c r="H22" s="151">
        <v>5</v>
      </c>
      <c r="I22" s="151">
        <v>45</v>
      </c>
      <c r="J22" s="151">
        <v>4</v>
      </c>
      <c r="K22" s="151" t="str">
        <f t="shared" si="1"/>
        <v>■■■■■■■■■■■■125.0%</v>
      </c>
    </row>
    <row r="23" spans="1:14">
      <c r="A23" s="116" t="s">
        <v>1702</v>
      </c>
      <c r="B23" s="142" t="str">
        <f>IF(LEFT(A23,1)="T","전화("&amp;COUNTIF($A$3:A23,"T*")&amp;")",IF(LEFT(A23,1)="C","온라인("&amp;COUNTIF($A$3:A23,"C*")&amp;")","방문("&amp;COUNTIF($A$3:A23,"V*")&amp;")"))</f>
        <v>온라인(7)</v>
      </c>
      <c r="G23" s="116" t="s">
        <v>1610</v>
      </c>
      <c r="H23" s="151">
        <v>4</v>
      </c>
      <c r="I23" s="151">
        <v>64</v>
      </c>
      <c r="J23" s="151">
        <v>5</v>
      </c>
      <c r="K23" s="151" t="str">
        <f t="shared" si="1"/>
        <v>■■■■■■■■80.0%</v>
      </c>
    </row>
    <row r="24" spans="1:14">
      <c r="A24" s="116" t="s">
        <v>1721</v>
      </c>
      <c r="B24" s="142" t="str">
        <f>IF(LEFT(A24,1)="T","전화("&amp;COUNTIF($A$3:A24,"T*")&amp;")",IF(LEFT(A24,1)="C","온라인("&amp;COUNTIF($A$3:A24,"C*")&amp;")","방문("&amp;COUNTIF($A$3:A24,"V*")&amp;")"))</f>
        <v>방문(9)</v>
      </c>
      <c r="G24" s="116" t="s">
        <v>1614</v>
      </c>
      <c r="H24" s="151">
        <v>4</v>
      </c>
      <c r="I24" s="151">
        <v>79</v>
      </c>
      <c r="J24" s="151">
        <v>5</v>
      </c>
      <c r="K24" s="151" t="str">
        <f t="shared" si="1"/>
        <v>■■■■■■■■80.0%</v>
      </c>
    </row>
    <row r="25" spans="1:14">
      <c r="A25" s="116" t="s">
        <v>1720</v>
      </c>
      <c r="B25" s="142" t="str">
        <f>IF(LEFT(A25,1)="T","전화("&amp;COUNTIF($A$3:A25,"T*")&amp;")",IF(LEFT(A25,1)="C","온라인("&amp;COUNTIF($A$3:A25,"C*")&amp;")","방문("&amp;COUNTIF($A$3:A25,"V*")&amp;")"))</f>
        <v>방문(10)</v>
      </c>
      <c r="G25" s="116" t="s">
        <v>1617</v>
      </c>
      <c r="H25" s="151">
        <v>3</v>
      </c>
      <c r="I25" s="151">
        <v>36</v>
      </c>
      <c r="J25" s="151">
        <v>3</v>
      </c>
      <c r="K25" s="151" t="str">
        <f t="shared" si="1"/>
        <v>■■■■■■■■■■100.0%</v>
      </c>
    </row>
    <row r="26" spans="1:14">
      <c r="G26" s="116" t="s">
        <v>1621</v>
      </c>
      <c r="H26" s="151">
        <v>6</v>
      </c>
      <c r="I26" s="151">
        <v>109</v>
      </c>
      <c r="J26" s="151">
        <v>5</v>
      </c>
      <c r="K26" s="151" t="str">
        <f t="shared" si="1"/>
        <v>■■■■■■■■■■■■120.0%</v>
      </c>
    </row>
    <row r="27" spans="1:14">
      <c r="G27" s="116" t="s">
        <v>1622</v>
      </c>
      <c r="H27" s="151">
        <v>2</v>
      </c>
      <c r="I27" s="151">
        <v>33</v>
      </c>
      <c r="J27" s="151">
        <v>5</v>
      </c>
      <c r="K27" s="151" t="str">
        <f t="shared" si="1"/>
        <v>■■■■40.0%</v>
      </c>
    </row>
    <row r="28" spans="1:14">
      <c r="G28" s="116" t="s">
        <v>1624</v>
      </c>
      <c r="H28" s="151">
        <v>1</v>
      </c>
      <c r="I28" s="151">
        <v>29</v>
      </c>
      <c r="J28" s="151">
        <v>4</v>
      </c>
      <c r="K28" s="151" t="str">
        <f t="shared" si="1"/>
        <v>■■25.0%</v>
      </c>
    </row>
    <row r="29" spans="1:14">
      <c r="G29" s="116" t="s">
        <v>1626</v>
      </c>
      <c r="H29" s="151">
        <v>5</v>
      </c>
      <c r="I29" s="151">
        <v>37</v>
      </c>
      <c r="J29" s="151">
        <v>6</v>
      </c>
      <c r="K29" s="151" t="str">
        <f t="shared" si="1"/>
        <v>■■■■■■■■83.3%</v>
      </c>
    </row>
    <row r="30" spans="1:14">
      <c r="G30" s="116" t="s">
        <v>1629</v>
      </c>
      <c r="H30" s="151">
        <v>6</v>
      </c>
      <c r="I30" s="151">
        <v>199</v>
      </c>
      <c r="J30" s="151">
        <v>7</v>
      </c>
      <c r="K30" s="151" t="str">
        <f t="shared" si="1"/>
        <v>■■■■■■■■85.7%</v>
      </c>
    </row>
  </sheetData>
  <phoneticPr fontId="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B1:F15"/>
  <sheetViews>
    <sheetView workbookViewId="0"/>
  </sheetViews>
  <sheetFormatPr defaultColWidth="9" defaultRowHeight="17"/>
  <cols>
    <col min="1" max="1" width="9" style="32"/>
    <col min="2" max="2" width="11.58203125" style="32" bestFit="1" customWidth="1"/>
    <col min="3" max="3" width="11.83203125" style="32" bestFit="1" customWidth="1"/>
    <col min="4" max="4" width="9" style="32"/>
    <col min="5" max="5" width="15.83203125" style="32" bestFit="1" customWidth="1"/>
    <col min="6" max="6" width="11.83203125" style="32" bestFit="1" customWidth="1"/>
    <col min="7" max="16384" width="9" style="32"/>
  </cols>
  <sheetData>
    <row r="1" spans="2:6">
      <c r="B1" s="169" t="s">
        <v>1738</v>
      </c>
      <c r="C1" s="114"/>
      <c r="D1" s="114"/>
      <c r="E1" s="169" t="s">
        <v>1737</v>
      </c>
      <c r="F1" s="114"/>
    </row>
    <row r="2" spans="2:6">
      <c r="B2" s="114"/>
      <c r="C2" s="114"/>
      <c r="D2" s="114"/>
      <c r="E2" s="114"/>
      <c r="F2" s="114"/>
    </row>
    <row r="3" spans="2:6">
      <c r="B3" s="129" t="s">
        <v>1729</v>
      </c>
      <c r="C3" s="128">
        <v>0.06</v>
      </c>
      <c r="D3" s="114"/>
      <c r="E3" s="129" t="s">
        <v>1736</v>
      </c>
      <c r="F3" s="128">
        <v>0.08</v>
      </c>
    </row>
    <row r="4" spans="2:6">
      <c r="B4" s="129" t="s">
        <v>1727</v>
      </c>
      <c r="C4" s="167">
        <v>1</v>
      </c>
      <c r="D4" s="114"/>
      <c r="E4" s="129" t="s">
        <v>1735</v>
      </c>
      <c r="F4" s="167">
        <v>30</v>
      </c>
    </row>
    <row r="5" spans="2:6">
      <c r="B5" s="129" t="s">
        <v>1723</v>
      </c>
      <c r="C5" s="166">
        <v>300000</v>
      </c>
      <c r="D5" s="114"/>
      <c r="E5" s="129" t="s">
        <v>1734</v>
      </c>
      <c r="F5" s="166">
        <v>100000</v>
      </c>
    </row>
    <row r="6" spans="2:6">
      <c r="B6" s="129"/>
      <c r="C6" s="129"/>
      <c r="D6" s="114"/>
      <c r="E6" s="129"/>
      <c r="F6" s="129"/>
    </row>
    <row r="7" spans="2:6">
      <c r="B7" s="129" t="s">
        <v>1733</v>
      </c>
      <c r="C7" s="165"/>
      <c r="D7" s="114"/>
      <c r="E7" s="129" t="s">
        <v>1732</v>
      </c>
      <c r="F7" s="165"/>
    </row>
    <row r="8" spans="2:6">
      <c r="B8" s="114"/>
      <c r="C8" s="114"/>
      <c r="D8" s="114"/>
      <c r="E8" s="114"/>
      <c r="F8" s="114"/>
    </row>
    <row r="9" spans="2:6">
      <c r="B9" s="169" t="s">
        <v>1731</v>
      </c>
      <c r="C9" s="114"/>
      <c r="D9" s="114"/>
      <c r="E9" s="169" t="s">
        <v>1730</v>
      </c>
      <c r="F9" s="114"/>
    </row>
    <row r="10" spans="2:6">
      <c r="B10" s="114"/>
      <c r="C10" s="114"/>
      <c r="D10" s="114"/>
      <c r="E10" s="114"/>
      <c r="F10" s="114"/>
    </row>
    <row r="11" spans="2:6">
      <c r="B11" s="129" t="s">
        <v>1729</v>
      </c>
      <c r="C11" s="168">
        <v>7.4999999999999997E-2</v>
      </c>
      <c r="D11" s="114"/>
      <c r="E11" s="129" t="s">
        <v>1729</v>
      </c>
      <c r="F11" s="168">
        <v>4.4999999999999998E-2</v>
      </c>
    </row>
    <row r="12" spans="2:6">
      <c r="B12" s="129" t="s">
        <v>1728</v>
      </c>
      <c r="C12" s="167">
        <v>3</v>
      </c>
      <c r="D12" s="114"/>
      <c r="E12" s="129" t="s">
        <v>1727</v>
      </c>
      <c r="F12" s="167">
        <v>5</v>
      </c>
    </row>
    <row r="13" spans="2:6">
      <c r="B13" s="129" t="s">
        <v>1726</v>
      </c>
      <c r="C13" s="166">
        <v>50000000</v>
      </c>
      <c r="D13" s="114"/>
      <c r="E13" s="129" t="s">
        <v>1725</v>
      </c>
      <c r="F13" s="166">
        <v>50000000</v>
      </c>
    </row>
    <row r="14" spans="2:6">
      <c r="B14" s="129"/>
      <c r="C14" s="129"/>
      <c r="D14" s="114"/>
      <c r="E14" s="129"/>
      <c r="F14" s="129"/>
    </row>
    <row r="15" spans="2:6">
      <c r="B15" s="129" t="s">
        <v>1724</v>
      </c>
      <c r="C15" s="165"/>
      <c r="D15" s="114"/>
      <c r="E15" s="129" t="s">
        <v>1723</v>
      </c>
      <c r="F15" s="165"/>
    </row>
  </sheetData>
  <phoneticPr fontId="2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B1:F15"/>
  <sheetViews>
    <sheetView workbookViewId="0"/>
  </sheetViews>
  <sheetFormatPr defaultColWidth="9" defaultRowHeight="17"/>
  <cols>
    <col min="1" max="1" width="9" style="32"/>
    <col min="2" max="2" width="11.58203125" style="32" bestFit="1" customWidth="1"/>
    <col min="3" max="3" width="11.83203125" style="32" bestFit="1" customWidth="1"/>
    <col min="4" max="4" width="9" style="32"/>
    <col min="5" max="5" width="15.83203125" style="32" bestFit="1" customWidth="1"/>
    <col min="6" max="6" width="11.83203125" style="32" bestFit="1" customWidth="1"/>
    <col min="7" max="16384" width="9" style="32"/>
  </cols>
  <sheetData>
    <row r="1" spans="2:6">
      <c r="B1" s="169" t="s">
        <v>1750</v>
      </c>
      <c r="C1" s="114"/>
      <c r="D1" s="114"/>
      <c r="E1" s="169" t="s">
        <v>1749</v>
      </c>
      <c r="F1" s="114"/>
    </row>
    <row r="2" spans="2:6">
      <c r="B2" s="114"/>
      <c r="C2" s="114"/>
      <c r="D2" s="114"/>
      <c r="E2" s="114"/>
      <c r="F2" s="114"/>
    </row>
    <row r="3" spans="2:6">
      <c r="B3" s="129" t="s">
        <v>1744</v>
      </c>
      <c r="C3" s="128">
        <v>0.06</v>
      </c>
      <c r="D3" s="114"/>
      <c r="E3" s="129" t="s">
        <v>1736</v>
      </c>
      <c r="F3" s="128">
        <v>0.08</v>
      </c>
    </row>
    <row r="4" spans="2:6">
      <c r="B4" s="129" t="s">
        <v>1743</v>
      </c>
      <c r="C4" s="167">
        <v>1</v>
      </c>
      <c r="D4" s="114"/>
      <c r="E4" s="129" t="s">
        <v>1748</v>
      </c>
      <c r="F4" s="167">
        <v>30</v>
      </c>
    </row>
    <row r="5" spans="2:6">
      <c r="B5" s="129" t="s">
        <v>1747</v>
      </c>
      <c r="C5" s="166">
        <v>300000</v>
      </c>
      <c r="D5" s="114"/>
      <c r="E5" s="129" t="s">
        <v>1746</v>
      </c>
      <c r="F5" s="166">
        <v>100000</v>
      </c>
    </row>
    <row r="6" spans="2:6">
      <c r="B6" s="129"/>
      <c r="C6" s="129"/>
      <c r="D6" s="114"/>
      <c r="E6" s="129"/>
      <c r="F6" s="129"/>
    </row>
    <row r="7" spans="2:6">
      <c r="B7" s="129" t="s">
        <v>1745</v>
      </c>
      <c r="C7" s="165">
        <f>FV(C3/12,C4*12,-C5)</f>
        <v>3700668.7118698568</v>
      </c>
      <c r="D7" s="114"/>
      <c r="E7" s="129" t="s">
        <v>1732</v>
      </c>
      <c r="F7" s="165">
        <f>PV(F3/12,F4*12,-F5)</f>
        <v>13628349.413396299</v>
      </c>
    </row>
    <row r="8" spans="2:6">
      <c r="B8" s="114"/>
      <c r="C8" s="114"/>
      <c r="D8" s="114"/>
      <c r="E8" s="114"/>
      <c r="F8" s="114"/>
    </row>
    <row r="9" spans="2:6">
      <c r="B9" s="169" t="s">
        <v>1731</v>
      </c>
      <c r="C9" s="114"/>
      <c r="D9" s="114"/>
      <c r="E9" s="169" t="s">
        <v>1731</v>
      </c>
      <c r="F9" s="114"/>
    </row>
    <row r="10" spans="2:6">
      <c r="B10" s="114"/>
      <c r="C10" s="114"/>
      <c r="D10" s="114"/>
      <c r="E10" s="114"/>
      <c r="F10" s="114"/>
    </row>
    <row r="11" spans="2:6">
      <c r="B11" s="129" t="s">
        <v>1744</v>
      </c>
      <c r="C11" s="168">
        <v>7.4999999999999997E-2</v>
      </c>
      <c r="D11" s="114"/>
      <c r="E11" s="129" t="s">
        <v>1744</v>
      </c>
      <c r="F11" s="168">
        <v>4.4999999999999998E-2</v>
      </c>
    </row>
    <row r="12" spans="2:6">
      <c r="B12" s="129" t="s">
        <v>1727</v>
      </c>
      <c r="C12" s="167">
        <v>3</v>
      </c>
      <c r="D12" s="114"/>
      <c r="E12" s="129" t="s">
        <v>1743</v>
      </c>
      <c r="F12" s="167">
        <v>5</v>
      </c>
    </row>
    <row r="13" spans="2:6">
      <c r="B13" s="129" t="s">
        <v>1742</v>
      </c>
      <c r="C13" s="166">
        <v>50000000</v>
      </c>
      <c r="D13" s="114"/>
      <c r="E13" s="129" t="s">
        <v>1741</v>
      </c>
      <c r="F13" s="166">
        <v>50000000</v>
      </c>
    </row>
    <row r="14" spans="2:6">
      <c r="B14" s="129"/>
      <c r="C14" s="129"/>
      <c r="D14" s="114"/>
      <c r="E14" s="129"/>
      <c r="F14" s="129"/>
    </row>
    <row r="15" spans="2:6">
      <c r="B15" s="129" t="s">
        <v>1740</v>
      </c>
      <c r="C15" s="165">
        <f>PMT(C11/12,C12*12,-C13)</f>
        <v>1555310.9080328217</v>
      </c>
      <c r="D15" s="114"/>
      <c r="E15" s="129" t="s">
        <v>1739</v>
      </c>
      <c r="F15" s="165">
        <f>PMT(F11/12,F12*12,0,-F13)</f>
        <v>744650.96207583253</v>
      </c>
    </row>
  </sheetData>
  <phoneticPr fontId="2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B1:F27"/>
  <sheetViews>
    <sheetView workbookViewId="0"/>
  </sheetViews>
  <sheetFormatPr defaultColWidth="9" defaultRowHeight="17"/>
  <cols>
    <col min="1" max="1" width="9" style="32"/>
    <col min="2" max="2" width="28.5" style="32" bestFit="1" customWidth="1"/>
    <col min="3" max="3" width="16.33203125" style="32" bestFit="1" customWidth="1"/>
    <col min="4" max="4" width="2.58203125" style="32" customWidth="1"/>
    <col min="5" max="5" width="28.5" style="32" bestFit="1" customWidth="1"/>
    <col min="6" max="6" width="15.08203125" style="32" bestFit="1" customWidth="1"/>
    <col min="7" max="16384" width="9" style="32"/>
  </cols>
  <sheetData>
    <row r="1" spans="2:6">
      <c r="B1" s="169" t="s">
        <v>1775</v>
      </c>
      <c r="C1" s="114"/>
      <c r="D1" s="114"/>
      <c r="E1" s="169" t="s">
        <v>1774</v>
      </c>
      <c r="F1" s="114"/>
    </row>
    <row r="2" spans="2:6">
      <c r="B2" s="114"/>
      <c r="C2" s="114"/>
      <c r="D2" s="114"/>
      <c r="E2" s="114"/>
      <c r="F2" s="114"/>
    </row>
    <row r="3" spans="2:6">
      <c r="B3" s="129" t="s">
        <v>1764</v>
      </c>
      <c r="C3" s="166">
        <v>33540000</v>
      </c>
      <c r="D3" s="114"/>
      <c r="E3" s="129" t="s">
        <v>1764</v>
      </c>
      <c r="F3" s="166">
        <v>33540000</v>
      </c>
    </row>
    <row r="4" spans="2:6">
      <c r="B4" s="129" t="s">
        <v>1773</v>
      </c>
      <c r="C4" s="177">
        <v>45157</v>
      </c>
      <c r="D4" s="114"/>
      <c r="E4" s="129" t="s">
        <v>1773</v>
      </c>
      <c r="F4" s="177">
        <v>45157</v>
      </c>
    </row>
    <row r="5" spans="2:6">
      <c r="B5" s="129" t="s">
        <v>1772</v>
      </c>
      <c r="C5" s="176">
        <v>45291</v>
      </c>
      <c r="D5" s="114"/>
      <c r="E5" s="129" t="s">
        <v>1772</v>
      </c>
      <c r="F5" s="176">
        <v>45291</v>
      </c>
    </row>
    <row r="6" spans="2:6">
      <c r="B6" s="129" t="s">
        <v>1771</v>
      </c>
      <c r="C6" s="166">
        <v>28000000</v>
      </c>
      <c r="D6" s="114"/>
      <c r="E6" s="129" t="s">
        <v>1771</v>
      </c>
      <c r="F6" s="166">
        <v>28000000</v>
      </c>
    </row>
    <row r="7" spans="2:6">
      <c r="B7" s="129" t="s">
        <v>1728</v>
      </c>
      <c r="C7" s="174">
        <v>1</v>
      </c>
      <c r="D7" s="114"/>
      <c r="E7" s="129" t="s">
        <v>1728</v>
      </c>
      <c r="F7" s="174">
        <v>1</v>
      </c>
    </row>
    <row r="8" spans="2:6">
      <c r="B8" s="129" t="s">
        <v>1770</v>
      </c>
      <c r="C8" s="175">
        <v>0.15</v>
      </c>
      <c r="D8" s="114"/>
      <c r="E8" s="129" t="s">
        <v>1770</v>
      </c>
      <c r="F8" s="175">
        <v>0.15</v>
      </c>
    </row>
    <row r="9" spans="2:6">
      <c r="B9" s="129" t="s">
        <v>1769</v>
      </c>
      <c r="C9" s="174">
        <v>1</v>
      </c>
      <c r="D9" s="114"/>
      <c r="E9" s="129" t="s">
        <v>1769</v>
      </c>
      <c r="F9" s="174">
        <v>1</v>
      </c>
    </row>
    <row r="10" spans="2:6">
      <c r="B10" s="173" t="s">
        <v>1768</v>
      </c>
      <c r="C10" s="172"/>
      <c r="D10" s="114"/>
      <c r="E10" s="173" t="s">
        <v>1767</v>
      </c>
      <c r="F10" s="172"/>
    </row>
    <row r="11" spans="2:6">
      <c r="B11" s="114"/>
      <c r="C11" s="114"/>
      <c r="D11" s="114"/>
      <c r="E11" s="114"/>
      <c r="F11" s="114"/>
    </row>
    <row r="12" spans="2:6">
      <c r="B12" s="169" t="s">
        <v>1766</v>
      </c>
      <c r="C12" s="114"/>
      <c r="D12" s="114"/>
      <c r="E12" s="169" t="s">
        <v>1765</v>
      </c>
      <c r="F12" s="114"/>
    </row>
    <row r="13" spans="2:6">
      <c r="B13" s="114"/>
      <c r="C13" s="114"/>
      <c r="D13" s="114"/>
      <c r="E13" s="114"/>
      <c r="F13" s="114"/>
    </row>
    <row r="14" spans="2:6">
      <c r="B14" s="129" t="s">
        <v>1764</v>
      </c>
      <c r="C14" s="166">
        <v>33540000</v>
      </c>
      <c r="D14" s="114"/>
      <c r="E14" s="129" t="s">
        <v>1756</v>
      </c>
      <c r="F14" s="166">
        <v>33540000</v>
      </c>
    </row>
    <row r="15" spans="2:6">
      <c r="B15" s="129" t="s">
        <v>1755</v>
      </c>
      <c r="C15" s="166">
        <v>15000000</v>
      </c>
      <c r="D15" s="114"/>
      <c r="E15" s="129" t="s">
        <v>1755</v>
      </c>
      <c r="F15" s="166">
        <v>15000000</v>
      </c>
    </row>
    <row r="16" spans="2:6">
      <c r="B16" s="129" t="s">
        <v>1763</v>
      </c>
      <c r="C16" s="166">
        <v>10</v>
      </c>
      <c r="D16" s="114"/>
      <c r="E16" s="129" t="s">
        <v>1763</v>
      </c>
      <c r="F16" s="166">
        <v>10</v>
      </c>
    </row>
    <row r="17" spans="2:6">
      <c r="B17" s="129" t="s">
        <v>1728</v>
      </c>
      <c r="C17" s="166">
        <v>3</v>
      </c>
      <c r="D17" s="114"/>
      <c r="E17" s="129" t="s">
        <v>1728</v>
      </c>
      <c r="F17" s="166">
        <v>3</v>
      </c>
    </row>
    <row r="18" spans="2:6">
      <c r="B18" s="129" t="s">
        <v>1762</v>
      </c>
      <c r="C18" s="166">
        <v>8</v>
      </c>
      <c r="D18" s="114"/>
      <c r="E18" s="129" t="s">
        <v>1761</v>
      </c>
      <c r="F18" s="166"/>
    </row>
    <row r="19" spans="2:6">
      <c r="B19" s="171" t="s">
        <v>1760</v>
      </c>
      <c r="C19" s="170"/>
      <c r="D19" s="114"/>
      <c r="E19" s="171" t="s">
        <v>1759</v>
      </c>
      <c r="F19" s="170"/>
    </row>
    <row r="20" spans="2:6">
      <c r="B20" s="114"/>
      <c r="C20" s="114"/>
      <c r="D20" s="114"/>
      <c r="E20" s="114"/>
      <c r="F20" s="114"/>
    </row>
    <row r="21" spans="2:6">
      <c r="B21" s="169" t="s">
        <v>1758</v>
      </c>
      <c r="C21" s="114"/>
      <c r="D21" s="114"/>
      <c r="E21" s="169" t="s">
        <v>1757</v>
      </c>
      <c r="F21" s="114"/>
    </row>
    <row r="22" spans="2:6">
      <c r="B22" s="169"/>
      <c r="C22" s="114"/>
      <c r="D22" s="114"/>
      <c r="E22" s="169"/>
      <c r="F22" s="114"/>
    </row>
    <row r="23" spans="2:6">
      <c r="B23" s="129" t="s">
        <v>1756</v>
      </c>
      <c r="C23" s="166">
        <v>33540000</v>
      </c>
      <c r="D23" s="114"/>
      <c r="E23" s="129" t="s">
        <v>1756</v>
      </c>
      <c r="F23" s="166">
        <v>33540000</v>
      </c>
    </row>
    <row r="24" spans="2:6">
      <c r="B24" s="129" t="s">
        <v>1755</v>
      </c>
      <c r="C24" s="166">
        <v>15000000</v>
      </c>
      <c r="D24" s="114"/>
      <c r="E24" s="129" t="s">
        <v>1755</v>
      </c>
      <c r="F24" s="166">
        <v>15000000</v>
      </c>
    </row>
    <row r="25" spans="2:6">
      <c r="B25" s="129" t="s">
        <v>1754</v>
      </c>
      <c r="C25" s="166">
        <v>10</v>
      </c>
      <c r="D25" s="114"/>
      <c r="E25" s="129" t="s">
        <v>1754</v>
      </c>
      <c r="F25" s="166">
        <v>10</v>
      </c>
    </row>
    <row r="26" spans="2:6">
      <c r="B26" s="171" t="s">
        <v>1753</v>
      </c>
      <c r="C26" s="170"/>
      <c r="D26" s="114"/>
      <c r="E26" s="129" t="s">
        <v>1752</v>
      </c>
      <c r="F26" s="166">
        <v>3</v>
      </c>
    </row>
    <row r="27" spans="2:6">
      <c r="B27" s="114"/>
      <c r="C27" s="114"/>
      <c r="D27" s="114"/>
      <c r="E27" s="171" t="s">
        <v>1751</v>
      </c>
      <c r="F27" s="170"/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B1:F27"/>
  <sheetViews>
    <sheetView workbookViewId="0"/>
  </sheetViews>
  <sheetFormatPr defaultColWidth="9" defaultRowHeight="17"/>
  <cols>
    <col min="1" max="1" width="9" style="32"/>
    <col min="2" max="2" width="28.5" style="32" bestFit="1" customWidth="1"/>
    <col min="3" max="3" width="16.33203125" style="32" bestFit="1" customWidth="1"/>
    <col min="4" max="4" width="2.58203125" style="32" customWidth="1"/>
    <col min="5" max="5" width="28.5" style="32" bestFit="1" customWidth="1"/>
    <col min="6" max="6" width="15.08203125" style="32" bestFit="1" customWidth="1"/>
    <col min="7" max="16384" width="9" style="32"/>
  </cols>
  <sheetData>
    <row r="1" spans="2:6">
      <c r="B1" s="169" t="s">
        <v>1775</v>
      </c>
      <c r="C1" s="114"/>
      <c r="D1" s="114"/>
      <c r="E1" s="169" t="s">
        <v>1774</v>
      </c>
      <c r="F1" s="114"/>
    </row>
    <row r="2" spans="2:6">
      <c r="B2" s="114"/>
      <c r="C2" s="114"/>
      <c r="D2" s="114"/>
      <c r="E2" s="114"/>
      <c r="F2" s="114"/>
    </row>
    <row r="3" spans="2:6">
      <c r="B3" s="129" t="s">
        <v>1764</v>
      </c>
      <c r="C3" s="166">
        <v>33540000</v>
      </c>
      <c r="D3" s="114"/>
      <c r="E3" s="129" t="s">
        <v>1764</v>
      </c>
      <c r="F3" s="166">
        <v>33540000</v>
      </c>
    </row>
    <row r="4" spans="2:6">
      <c r="B4" s="129" t="s">
        <v>1773</v>
      </c>
      <c r="C4" s="177">
        <v>45157</v>
      </c>
      <c r="D4" s="114"/>
      <c r="E4" s="129" t="s">
        <v>1773</v>
      </c>
      <c r="F4" s="177">
        <v>45157</v>
      </c>
    </row>
    <row r="5" spans="2:6">
      <c r="B5" s="129" t="s">
        <v>1772</v>
      </c>
      <c r="C5" s="176">
        <v>45291</v>
      </c>
      <c r="D5" s="114"/>
      <c r="E5" s="129" t="s">
        <v>1772</v>
      </c>
      <c r="F5" s="176">
        <v>45291</v>
      </c>
    </row>
    <row r="6" spans="2:6">
      <c r="B6" s="129" t="s">
        <v>1771</v>
      </c>
      <c r="C6" s="166">
        <v>28000000</v>
      </c>
      <c r="D6" s="114"/>
      <c r="E6" s="129" t="s">
        <v>1771</v>
      </c>
      <c r="F6" s="166">
        <v>28000000</v>
      </c>
    </row>
    <row r="7" spans="2:6">
      <c r="B7" s="129" t="s">
        <v>1728</v>
      </c>
      <c r="C7" s="174">
        <v>1</v>
      </c>
      <c r="D7" s="114"/>
      <c r="E7" s="129" t="s">
        <v>1728</v>
      </c>
      <c r="F7" s="174">
        <v>1</v>
      </c>
    </row>
    <row r="8" spans="2:6">
      <c r="B8" s="129" t="s">
        <v>1770</v>
      </c>
      <c r="C8" s="175">
        <v>0.15</v>
      </c>
      <c r="D8" s="114"/>
      <c r="E8" s="129" t="s">
        <v>1770</v>
      </c>
      <c r="F8" s="175">
        <v>0.15</v>
      </c>
    </row>
    <row r="9" spans="2:6">
      <c r="B9" s="129" t="s">
        <v>1769</v>
      </c>
      <c r="C9" s="174">
        <v>1</v>
      </c>
      <c r="D9" s="114"/>
      <c r="E9" s="129" t="s">
        <v>1769</v>
      </c>
      <c r="F9" s="174">
        <v>1</v>
      </c>
    </row>
    <row r="10" spans="2:6">
      <c r="B10" s="173" t="s">
        <v>1768</v>
      </c>
      <c r="C10" s="172">
        <f>AMORDEGRC(C3,C4,C5,C6,C7,C8,C9)</f>
        <v>10845940</v>
      </c>
      <c r="D10" s="114"/>
      <c r="E10" s="173" t="s">
        <v>1767</v>
      </c>
      <c r="F10" s="172">
        <f>AMORLINC(F3,F4,F5,F6,F7,F8,F9)</f>
        <v>3693002.7397260275</v>
      </c>
    </row>
    <row r="11" spans="2:6">
      <c r="B11" s="114"/>
      <c r="C11" s="114"/>
      <c r="D11" s="114"/>
      <c r="E11" s="114"/>
      <c r="F11" s="114"/>
    </row>
    <row r="12" spans="2:6">
      <c r="B12" s="169" t="s">
        <v>1766</v>
      </c>
      <c r="C12" s="114"/>
      <c r="D12" s="114"/>
      <c r="E12" s="169" t="s">
        <v>1765</v>
      </c>
      <c r="F12" s="114"/>
    </row>
    <row r="13" spans="2:6">
      <c r="B13" s="114"/>
      <c r="C13" s="114"/>
      <c r="D13" s="114"/>
      <c r="E13" s="114"/>
      <c r="F13" s="114"/>
    </row>
    <row r="14" spans="2:6">
      <c r="B14" s="129" t="s">
        <v>1764</v>
      </c>
      <c r="C14" s="166">
        <v>33540000</v>
      </c>
      <c r="D14" s="114"/>
      <c r="E14" s="129" t="s">
        <v>1756</v>
      </c>
      <c r="F14" s="166">
        <v>33540000</v>
      </c>
    </row>
    <row r="15" spans="2:6">
      <c r="B15" s="129" t="s">
        <v>1755</v>
      </c>
      <c r="C15" s="166">
        <v>15000000</v>
      </c>
      <c r="D15" s="114"/>
      <c r="E15" s="129" t="s">
        <v>1755</v>
      </c>
      <c r="F15" s="166">
        <v>15000000</v>
      </c>
    </row>
    <row r="16" spans="2:6">
      <c r="B16" s="129" t="s">
        <v>1763</v>
      </c>
      <c r="C16" s="166">
        <v>10</v>
      </c>
      <c r="D16" s="114"/>
      <c r="E16" s="129" t="s">
        <v>1763</v>
      </c>
      <c r="F16" s="166">
        <v>10</v>
      </c>
    </row>
    <row r="17" spans="2:6">
      <c r="B17" s="129" t="s">
        <v>1728</v>
      </c>
      <c r="C17" s="166">
        <v>3</v>
      </c>
      <c r="D17" s="114"/>
      <c r="E17" s="129" t="s">
        <v>1728</v>
      </c>
      <c r="F17" s="166">
        <v>3</v>
      </c>
    </row>
    <row r="18" spans="2:6">
      <c r="B18" s="129" t="s">
        <v>1762</v>
      </c>
      <c r="C18" s="166">
        <v>8</v>
      </c>
      <c r="D18" s="114"/>
      <c r="E18" s="129" t="s">
        <v>1761</v>
      </c>
      <c r="F18" s="166"/>
    </row>
    <row r="19" spans="2:6">
      <c r="B19" s="171" t="s">
        <v>1760</v>
      </c>
      <c r="C19" s="170">
        <f>DB(C14,C15,C16,C17,C18)</f>
        <v>2261356.9778800001</v>
      </c>
      <c r="D19" s="114"/>
      <c r="E19" s="171" t="s">
        <v>1759</v>
      </c>
      <c r="F19" s="170">
        <f>DDB(F14,F15,F16,F17)</f>
        <v>4293120.0000000009</v>
      </c>
    </row>
    <row r="20" spans="2:6">
      <c r="B20" s="114"/>
      <c r="C20" s="114"/>
      <c r="D20" s="114"/>
      <c r="E20" s="114"/>
      <c r="F20" s="114"/>
    </row>
    <row r="21" spans="2:6">
      <c r="B21" s="169" t="s">
        <v>1758</v>
      </c>
      <c r="C21" s="114"/>
      <c r="D21" s="114"/>
      <c r="E21" s="169" t="s">
        <v>1757</v>
      </c>
      <c r="F21" s="114"/>
    </row>
    <row r="22" spans="2:6">
      <c r="B22" s="169"/>
      <c r="C22" s="114"/>
      <c r="D22" s="114"/>
      <c r="E22" s="169"/>
      <c r="F22" s="114"/>
    </row>
    <row r="23" spans="2:6">
      <c r="B23" s="129" t="s">
        <v>1756</v>
      </c>
      <c r="C23" s="166">
        <v>33540000</v>
      </c>
      <c r="D23" s="114"/>
      <c r="E23" s="129" t="s">
        <v>1756</v>
      </c>
      <c r="F23" s="166">
        <v>33540000</v>
      </c>
    </row>
    <row r="24" spans="2:6">
      <c r="B24" s="129" t="s">
        <v>1755</v>
      </c>
      <c r="C24" s="166">
        <v>15000000</v>
      </c>
      <c r="D24" s="114"/>
      <c r="E24" s="129" t="s">
        <v>1755</v>
      </c>
      <c r="F24" s="166">
        <v>15000000</v>
      </c>
    </row>
    <row r="25" spans="2:6">
      <c r="B25" s="129" t="s">
        <v>1754</v>
      </c>
      <c r="C25" s="166">
        <v>10</v>
      </c>
      <c r="D25" s="114"/>
      <c r="E25" s="129" t="s">
        <v>1754</v>
      </c>
      <c r="F25" s="166">
        <v>10</v>
      </c>
    </row>
    <row r="26" spans="2:6">
      <c r="B26" s="171" t="s">
        <v>1753</v>
      </c>
      <c r="C26" s="170">
        <f>SLN(C23,C24,C25)</f>
        <v>1854000</v>
      </c>
      <c r="D26" s="114"/>
      <c r="E26" s="129" t="s">
        <v>1752</v>
      </c>
      <c r="F26" s="166">
        <v>3</v>
      </c>
    </row>
    <row r="27" spans="2:6">
      <c r="B27" s="114"/>
      <c r="C27" s="114"/>
      <c r="D27" s="114"/>
      <c r="E27" s="171" t="s">
        <v>1751</v>
      </c>
      <c r="F27" s="170">
        <f>SYD(F23,F24,F25,F26)</f>
        <v>2696727.2727272729</v>
      </c>
    </row>
  </sheetData>
  <phoneticPr fontId="2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35"/>
  <sheetViews>
    <sheetView zoomScaleNormal="100" workbookViewId="0"/>
  </sheetViews>
  <sheetFormatPr defaultRowHeight="17"/>
  <cols>
    <col min="3" max="3" width="13.5" bestFit="1" customWidth="1"/>
    <col min="4" max="4" width="9" bestFit="1" customWidth="1"/>
    <col min="5" max="5" width="12.33203125" bestFit="1" customWidth="1"/>
    <col min="6" max="6" width="5.5" bestFit="1" customWidth="1"/>
    <col min="8" max="8" width="12.33203125" bestFit="1" customWidth="1"/>
    <col min="9" max="10" width="13.5" bestFit="1" customWidth="1"/>
    <col min="11" max="11" width="10.83203125" bestFit="1" customWidth="1"/>
    <col min="12" max="12" width="12.33203125" bestFit="1" customWidth="1"/>
    <col min="13" max="13" width="1.58203125" customWidth="1"/>
    <col min="15" max="20" width="13.5" bestFit="1" customWidth="1"/>
    <col min="21" max="21" width="10.58203125" bestFit="1" customWidth="1"/>
  </cols>
  <sheetData>
    <row r="1" spans="1:17">
      <c r="A1" t="s">
        <v>1872</v>
      </c>
      <c r="G1" t="s">
        <v>1871</v>
      </c>
      <c r="N1" t="s">
        <v>1870</v>
      </c>
    </row>
    <row r="2" spans="1:17">
      <c r="A2" s="116" t="s">
        <v>1869</v>
      </c>
      <c r="B2" s="116" t="s">
        <v>1862</v>
      </c>
      <c r="C2" s="116" t="s">
        <v>1726</v>
      </c>
      <c r="D2" s="116" t="s">
        <v>1786</v>
      </c>
      <c r="E2" s="180" t="s">
        <v>1740</v>
      </c>
      <c r="G2" s="116" t="s">
        <v>1868</v>
      </c>
      <c r="H2" s="116" t="s">
        <v>1867</v>
      </c>
      <c r="I2" s="116" t="s">
        <v>1866</v>
      </c>
      <c r="J2" s="116" t="s">
        <v>1865</v>
      </c>
      <c r="K2" s="116" t="s">
        <v>1864</v>
      </c>
      <c r="L2" s="117" t="s">
        <v>1863</v>
      </c>
      <c r="N2" s="116" t="s">
        <v>1862</v>
      </c>
      <c r="O2" s="116" t="s">
        <v>1786</v>
      </c>
      <c r="P2" s="116" t="s">
        <v>1726</v>
      </c>
      <c r="Q2" s="180" t="s">
        <v>1740</v>
      </c>
    </row>
    <row r="3" spans="1:17">
      <c r="A3" s="116" t="s">
        <v>1190</v>
      </c>
      <c r="B3" s="116" t="s">
        <v>1861</v>
      </c>
      <c r="C3" s="183">
        <v>5000000</v>
      </c>
      <c r="D3" s="116">
        <v>3</v>
      </c>
      <c r="E3" s="183"/>
      <c r="G3" s="116" t="s">
        <v>1860</v>
      </c>
      <c r="H3" s="151">
        <v>55</v>
      </c>
      <c r="I3" s="150">
        <v>1500</v>
      </c>
      <c r="J3" s="150">
        <f t="shared" ref="J3:J24" si="0">H3*I3</f>
        <v>82500</v>
      </c>
      <c r="K3" s="151">
        <v>2</v>
      </c>
      <c r="L3" s="185"/>
      <c r="N3" s="116" t="s">
        <v>1859</v>
      </c>
      <c r="O3" s="151">
        <v>3</v>
      </c>
      <c r="P3" s="179">
        <v>5000000</v>
      </c>
      <c r="Q3" s="185"/>
    </row>
    <row r="4" spans="1:17">
      <c r="A4" s="116" t="s">
        <v>1197</v>
      </c>
      <c r="B4" s="116" t="s">
        <v>1858</v>
      </c>
      <c r="C4" s="183">
        <v>7000000</v>
      </c>
      <c r="D4" s="116">
        <v>2</v>
      </c>
      <c r="E4" s="183"/>
      <c r="G4" s="116" t="s">
        <v>1857</v>
      </c>
      <c r="H4" s="151">
        <v>20</v>
      </c>
      <c r="I4" s="150">
        <v>3000</v>
      </c>
      <c r="J4" s="150">
        <f t="shared" si="0"/>
        <v>60000</v>
      </c>
      <c r="K4" s="151">
        <v>2</v>
      </c>
      <c r="L4" s="185"/>
      <c r="N4" s="116" t="s">
        <v>1843</v>
      </c>
      <c r="O4" s="151">
        <v>2</v>
      </c>
      <c r="P4" s="179">
        <v>7000000</v>
      </c>
      <c r="Q4" s="185"/>
    </row>
    <row r="5" spans="1:17">
      <c r="A5" s="116" t="s">
        <v>1202</v>
      </c>
      <c r="B5" s="116" t="s">
        <v>1856</v>
      </c>
      <c r="C5" s="183">
        <v>5500000</v>
      </c>
      <c r="D5" s="116">
        <v>2</v>
      </c>
      <c r="E5" s="183"/>
      <c r="G5" s="116" t="s">
        <v>1855</v>
      </c>
      <c r="H5" s="151">
        <v>20</v>
      </c>
      <c r="I5" s="150">
        <v>2000</v>
      </c>
      <c r="J5" s="150">
        <f t="shared" si="0"/>
        <v>40000</v>
      </c>
      <c r="K5" s="151">
        <v>2</v>
      </c>
      <c r="L5" s="185"/>
      <c r="N5" s="116" t="s">
        <v>1854</v>
      </c>
      <c r="O5" s="151">
        <v>2</v>
      </c>
      <c r="P5" s="179">
        <v>5500000</v>
      </c>
      <c r="Q5" s="185"/>
    </row>
    <row r="6" spans="1:17">
      <c r="A6" s="116" t="s">
        <v>1208</v>
      </c>
      <c r="B6" s="116" t="s">
        <v>1816</v>
      </c>
      <c r="C6" s="183">
        <v>2000000</v>
      </c>
      <c r="D6" s="116">
        <v>4</v>
      </c>
      <c r="E6" s="183"/>
      <c r="G6" s="116" t="s">
        <v>1853</v>
      </c>
      <c r="H6" s="151">
        <v>21</v>
      </c>
      <c r="I6" s="150">
        <v>5300</v>
      </c>
      <c r="J6" s="150">
        <f t="shared" si="0"/>
        <v>111300</v>
      </c>
      <c r="K6" s="151">
        <v>2</v>
      </c>
      <c r="L6" s="185"/>
      <c r="N6" s="116" t="s">
        <v>1852</v>
      </c>
      <c r="O6" s="151">
        <v>4</v>
      </c>
      <c r="P6" s="179">
        <v>2000000</v>
      </c>
      <c r="Q6" s="185"/>
    </row>
    <row r="7" spans="1:17">
      <c r="A7" s="116" t="s">
        <v>1212</v>
      </c>
      <c r="B7" s="116" t="s">
        <v>1851</v>
      </c>
      <c r="C7" s="183">
        <v>5000000</v>
      </c>
      <c r="D7" s="116">
        <v>1</v>
      </c>
      <c r="E7" s="183"/>
      <c r="G7" s="116" t="s">
        <v>1850</v>
      </c>
      <c r="H7" s="151">
        <v>95</v>
      </c>
      <c r="I7" s="150">
        <v>3000</v>
      </c>
      <c r="J7" s="150">
        <f t="shared" si="0"/>
        <v>285000</v>
      </c>
      <c r="K7" s="151">
        <v>6</v>
      </c>
      <c r="L7" s="185"/>
      <c r="N7" s="116" t="s">
        <v>1849</v>
      </c>
      <c r="O7" s="151">
        <v>1</v>
      </c>
      <c r="P7" s="179">
        <v>5000000</v>
      </c>
      <c r="Q7" s="185"/>
    </row>
    <row r="8" spans="1:17">
      <c r="A8" s="116" t="s">
        <v>1215</v>
      </c>
      <c r="B8" s="116" t="s">
        <v>1848</v>
      </c>
      <c r="C8" s="183" t="s">
        <v>1811</v>
      </c>
      <c r="D8" s="116" t="s">
        <v>1811</v>
      </c>
      <c r="E8" s="183"/>
      <c r="G8" s="116" t="s">
        <v>1847</v>
      </c>
      <c r="H8" s="151">
        <v>120</v>
      </c>
      <c r="I8" s="150">
        <v>2500</v>
      </c>
      <c r="J8" s="150">
        <f t="shared" si="0"/>
        <v>300000</v>
      </c>
      <c r="K8" s="151">
        <v>9</v>
      </c>
      <c r="L8" s="185"/>
      <c r="N8" s="116" t="s">
        <v>1846</v>
      </c>
      <c r="O8" s="151">
        <v>2</v>
      </c>
      <c r="P8" s="179">
        <v>10000000</v>
      </c>
      <c r="Q8" s="185"/>
    </row>
    <row r="9" spans="1:17">
      <c r="A9" s="116" t="s">
        <v>1219</v>
      </c>
      <c r="B9" s="116" t="s">
        <v>1846</v>
      </c>
      <c r="C9" s="183" t="s">
        <v>1824</v>
      </c>
      <c r="D9" s="116" t="s">
        <v>1824</v>
      </c>
      <c r="E9" s="183"/>
      <c r="G9" s="116" t="s">
        <v>1845</v>
      </c>
      <c r="H9" s="151">
        <v>20</v>
      </c>
      <c r="I9" s="150">
        <v>2000</v>
      </c>
      <c r="J9" s="150">
        <f t="shared" si="0"/>
        <v>40000</v>
      </c>
      <c r="K9" s="151">
        <v>2</v>
      </c>
      <c r="L9" s="185"/>
      <c r="N9" s="116" t="s">
        <v>1844</v>
      </c>
      <c r="O9" s="151">
        <v>1</v>
      </c>
      <c r="P9" s="179">
        <v>2000000</v>
      </c>
      <c r="Q9" s="185"/>
    </row>
    <row r="10" spans="1:17">
      <c r="A10" s="116" t="s">
        <v>1222</v>
      </c>
      <c r="B10" s="116" t="s">
        <v>1843</v>
      </c>
      <c r="C10" s="183">
        <v>23000000</v>
      </c>
      <c r="D10" s="116">
        <v>5</v>
      </c>
      <c r="E10" s="183"/>
      <c r="G10" s="116" t="s">
        <v>1842</v>
      </c>
      <c r="H10" s="151">
        <v>25</v>
      </c>
      <c r="I10" s="150">
        <v>5300</v>
      </c>
      <c r="J10" s="150">
        <f t="shared" si="0"/>
        <v>132500</v>
      </c>
      <c r="K10" s="151">
        <v>6</v>
      </c>
      <c r="L10" s="185"/>
      <c r="N10" s="116" t="s">
        <v>1841</v>
      </c>
      <c r="O10" s="151">
        <v>5</v>
      </c>
      <c r="P10" s="179">
        <v>23000000</v>
      </c>
      <c r="Q10" s="185"/>
    </row>
    <row r="11" spans="1:17">
      <c r="A11" s="116" t="s">
        <v>1226</v>
      </c>
      <c r="B11" s="116" t="s">
        <v>1840</v>
      </c>
      <c r="C11" s="183">
        <v>10000000</v>
      </c>
      <c r="D11" s="116">
        <v>3</v>
      </c>
      <c r="E11" s="183"/>
      <c r="G11" s="116" t="s">
        <v>1839</v>
      </c>
      <c r="H11" s="151">
        <v>90</v>
      </c>
      <c r="I11" s="150">
        <v>2500</v>
      </c>
      <c r="J11" s="150">
        <f t="shared" si="0"/>
        <v>225000</v>
      </c>
      <c r="K11" s="151">
        <v>9</v>
      </c>
      <c r="L11" s="185"/>
      <c r="N11" s="116" t="s">
        <v>1838</v>
      </c>
      <c r="O11" s="151">
        <v>3</v>
      </c>
      <c r="P11" s="179">
        <v>10000000</v>
      </c>
      <c r="Q11" s="185"/>
    </row>
    <row r="12" spans="1:17">
      <c r="A12" s="116" t="s">
        <v>1228</v>
      </c>
      <c r="B12" s="116" t="s">
        <v>1837</v>
      </c>
      <c r="C12" s="183">
        <v>7000000</v>
      </c>
      <c r="D12" s="116">
        <v>1</v>
      </c>
      <c r="E12" s="183"/>
      <c r="G12" s="116" t="s">
        <v>1836</v>
      </c>
      <c r="H12" s="151">
        <v>55</v>
      </c>
      <c r="I12" s="150">
        <v>2500</v>
      </c>
      <c r="J12" s="150">
        <f t="shared" si="0"/>
        <v>137500</v>
      </c>
      <c r="K12" s="151">
        <v>6</v>
      </c>
      <c r="L12" s="185"/>
      <c r="N12" s="116" t="s">
        <v>1835</v>
      </c>
      <c r="O12" s="151">
        <v>1</v>
      </c>
      <c r="P12" s="179">
        <v>7000000</v>
      </c>
      <c r="Q12" s="185"/>
    </row>
    <row r="13" spans="1:17">
      <c r="A13" s="116" t="s">
        <v>1231</v>
      </c>
      <c r="B13" s="116" t="s">
        <v>1834</v>
      </c>
      <c r="C13" s="183">
        <v>5000000</v>
      </c>
      <c r="D13" s="116">
        <v>1</v>
      </c>
      <c r="E13" s="183"/>
      <c r="G13" s="116" t="s">
        <v>1833</v>
      </c>
      <c r="H13" s="151">
        <v>30</v>
      </c>
      <c r="I13" s="150">
        <v>2000</v>
      </c>
      <c r="J13" s="150">
        <f t="shared" si="0"/>
        <v>60000</v>
      </c>
      <c r="K13" s="151">
        <v>3</v>
      </c>
      <c r="L13" s="185"/>
      <c r="N13" s="116" t="s">
        <v>1832</v>
      </c>
      <c r="O13" s="151">
        <v>1</v>
      </c>
      <c r="P13" s="179">
        <v>5000000</v>
      </c>
      <c r="Q13" s="185"/>
    </row>
    <row r="14" spans="1:17">
      <c r="A14" s="116" t="s">
        <v>1233</v>
      </c>
      <c r="B14" s="116" t="s">
        <v>1831</v>
      </c>
      <c r="C14" s="183">
        <v>10000000</v>
      </c>
      <c r="D14" s="116">
        <v>5</v>
      </c>
      <c r="E14" s="183"/>
      <c r="G14" s="116" t="s">
        <v>1830</v>
      </c>
      <c r="H14" s="151">
        <v>25</v>
      </c>
      <c r="I14" s="150">
        <v>5300</v>
      </c>
      <c r="J14" s="150">
        <f t="shared" si="0"/>
        <v>132500</v>
      </c>
      <c r="K14" s="151">
        <v>3</v>
      </c>
      <c r="L14" s="185"/>
      <c r="N14" s="116" t="s">
        <v>1829</v>
      </c>
      <c r="O14" s="151">
        <v>5</v>
      </c>
      <c r="P14" s="179">
        <v>10000000</v>
      </c>
      <c r="Q14" s="185"/>
    </row>
    <row r="15" spans="1:17">
      <c r="A15" s="116" t="s">
        <v>1236</v>
      </c>
      <c r="B15" s="116" t="s">
        <v>1828</v>
      </c>
      <c r="C15" s="183">
        <v>20000000</v>
      </c>
      <c r="D15" s="116">
        <v>5</v>
      </c>
      <c r="E15" s="183"/>
      <c r="G15" s="116" t="s">
        <v>1827</v>
      </c>
      <c r="H15" s="151">
        <v>100</v>
      </c>
      <c r="I15" s="150">
        <v>2000</v>
      </c>
      <c r="J15" s="150">
        <f t="shared" si="0"/>
        <v>200000</v>
      </c>
      <c r="K15" s="151">
        <v>6</v>
      </c>
      <c r="L15" s="185"/>
      <c r="N15" s="116" t="s">
        <v>1826</v>
      </c>
      <c r="O15" s="151">
        <v>5</v>
      </c>
      <c r="P15" s="179">
        <v>20000000</v>
      </c>
      <c r="Q15" s="185"/>
    </row>
    <row r="16" spans="1:17">
      <c r="A16" s="116" t="s">
        <v>1239</v>
      </c>
      <c r="B16" s="116" t="s">
        <v>1825</v>
      </c>
      <c r="C16" s="116" t="s">
        <v>1810</v>
      </c>
      <c r="D16" s="116" t="s">
        <v>1824</v>
      </c>
      <c r="E16" s="183"/>
      <c r="G16" s="116" t="s">
        <v>1823</v>
      </c>
      <c r="H16" s="151">
        <v>90</v>
      </c>
      <c r="I16" s="150">
        <v>5300</v>
      </c>
      <c r="J16" s="150">
        <f t="shared" si="0"/>
        <v>477000</v>
      </c>
      <c r="K16" s="151">
        <v>24</v>
      </c>
      <c r="L16" s="185"/>
      <c r="N16" s="116" t="s">
        <v>1822</v>
      </c>
      <c r="O16" s="151">
        <v>1</v>
      </c>
      <c r="P16" s="179">
        <v>2000000</v>
      </c>
      <c r="Q16" s="185"/>
    </row>
    <row r="17" spans="1:20">
      <c r="A17" s="116" t="s">
        <v>1242</v>
      </c>
      <c r="B17" s="116" t="s">
        <v>1821</v>
      </c>
      <c r="C17" s="183">
        <v>5000000</v>
      </c>
      <c r="D17" s="116">
        <v>2</v>
      </c>
      <c r="E17" s="183"/>
      <c r="G17" s="116" t="s">
        <v>1820</v>
      </c>
      <c r="H17" s="151">
        <v>55</v>
      </c>
      <c r="I17" s="150">
        <v>3000</v>
      </c>
      <c r="J17" s="150">
        <f t="shared" si="0"/>
        <v>165000</v>
      </c>
      <c r="K17" s="151">
        <v>3</v>
      </c>
      <c r="L17" s="185"/>
      <c r="N17" s="116" t="s">
        <v>1819</v>
      </c>
      <c r="O17" s="151">
        <v>2</v>
      </c>
      <c r="P17" s="179">
        <v>5000000</v>
      </c>
      <c r="Q17" s="185"/>
    </row>
    <row r="18" spans="1:20">
      <c r="A18" s="116" t="s">
        <v>1244</v>
      </c>
      <c r="B18" s="116" t="s">
        <v>1818</v>
      </c>
      <c r="C18" s="183">
        <v>15000000</v>
      </c>
      <c r="D18" s="116">
        <v>1</v>
      </c>
      <c r="E18" s="183"/>
      <c r="G18" s="116" t="s">
        <v>1817</v>
      </c>
      <c r="H18" s="151">
        <v>32</v>
      </c>
      <c r="I18" s="150">
        <v>5300</v>
      </c>
      <c r="J18" s="150">
        <f t="shared" si="0"/>
        <v>169600</v>
      </c>
      <c r="K18" s="151">
        <v>6</v>
      </c>
      <c r="L18" s="185"/>
      <c r="N18" s="116" t="s">
        <v>1816</v>
      </c>
      <c r="O18" s="151">
        <v>1</v>
      </c>
      <c r="P18" s="179">
        <v>15000000</v>
      </c>
      <c r="Q18" s="185"/>
    </row>
    <row r="19" spans="1:20">
      <c r="A19" s="116" t="s">
        <v>1247</v>
      </c>
      <c r="B19" s="116" t="s">
        <v>1815</v>
      </c>
      <c r="C19" s="183">
        <v>2000000</v>
      </c>
      <c r="D19" s="116">
        <v>4</v>
      </c>
      <c r="E19" s="183"/>
      <c r="G19" s="116" t="s">
        <v>1814</v>
      </c>
      <c r="H19" s="151">
        <v>60</v>
      </c>
      <c r="I19" s="150">
        <v>1500</v>
      </c>
      <c r="J19" s="150">
        <f t="shared" si="0"/>
        <v>90000</v>
      </c>
      <c r="K19" s="151">
        <v>3</v>
      </c>
      <c r="L19" s="185"/>
      <c r="N19" s="116" t="s">
        <v>1813</v>
      </c>
      <c r="O19" s="151">
        <v>4</v>
      </c>
      <c r="P19" s="179">
        <v>2000000</v>
      </c>
      <c r="Q19" s="185"/>
    </row>
    <row r="20" spans="1:20">
      <c r="A20" s="116" t="s">
        <v>1249</v>
      </c>
      <c r="B20" s="116" t="s">
        <v>1812</v>
      </c>
      <c r="C20" s="116" t="s">
        <v>1811</v>
      </c>
      <c r="D20" s="116" t="s">
        <v>1810</v>
      </c>
      <c r="E20" s="183"/>
      <c r="G20" s="116" t="s">
        <v>1809</v>
      </c>
      <c r="H20" s="151">
        <v>50</v>
      </c>
      <c r="I20" s="150">
        <v>3000</v>
      </c>
      <c r="J20" s="150">
        <f t="shared" si="0"/>
        <v>150000</v>
      </c>
      <c r="K20" s="151">
        <v>6</v>
      </c>
      <c r="L20" s="185"/>
      <c r="N20" s="116" t="s">
        <v>1808</v>
      </c>
      <c r="O20" s="151">
        <v>2</v>
      </c>
      <c r="P20" s="179">
        <v>5000000</v>
      </c>
      <c r="Q20" s="185"/>
    </row>
    <row r="21" spans="1:20">
      <c r="A21" s="116" t="s">
        <v>1807</v>
      </c>
      <c r="B21" s="116" t="s">
        <v>1806</v>
      </c>
      <c r="C21" s="183">
        <v>10000000</v>
      </c>
      <c r="D21" s="116">
        <v>3</v>
      </c>
      <c r="E21" s="183"/>
      <c r="G21" s="116" t="s">
        <v>1805</v>
      </c>
      <c r="H21" s="151">
        <v>110</v>
      </c>
      <c r="I21" s="150">
        <v>3000</v>
      </c>
      <c r="J21" s="150">
        <f t="shared" si="0"/>
        <v>330000</v>
      </c>
      <c r="K21" s="151">
        <v>12</v>
      </c>
      <c r="L21" s="185"/>
      <c r="N21" s="116" t="s">
        <v>1804</v>
      </c>
      <c r="O21" s="151">
        <v>4</v>
      </c>
      <c r="P21" s="179">
        <v>10000000</v>
      </c>
      <c r="Q21" s="185"/>
    </row>
    <row r="22" spans="1:20">
      <c r="A22" s="116" t="s">
        <v>1803</v>
      </c>
      <c r="B22" s="116" t="s">
        <v>1802</v>
      </c>
      <c r="C22" s="183">
        <v>10000000</v>
      </c>
      <c r="D22" s="116">
        <v>4</v>
      </c>
      <c r="E22" s="183"/>
      <c r="G22" s="116" t="s">
        <v>1801</v>
      </c>
      <c r="H22" s="151">
        <v>45</v>
      </c>
      <c r="I22" s="150">
        <v>1500</v>
      </c>
      <c r="J22" s="150">
        <f t="shared" si="0"/>
        <v>67500</v>
      </c>
      <c r="K22" s="151">
        <v>2</v>
      </c>
      <c r="L22" s="185"/>
    </row>
    <row r="23" spans="1:20">
      <c r="A23" s="116" t="s">
        <v>1800</v>
      </c>
      <c r="B23" s="116" t="s">
        <v>1799</v>
      </c>
      <c r="C23" s="183">
        <v>10000000</v>
      </c>
      <c r="D23" s="116">
        <v>2</v>
      </c>
      <c r="E23" s="183"/>
      <c r="G23" s="116" t="s">
        <v>1798</v>
      </c>
      <c r="H23" s="151">
        <v>50</v>
      </c>
      <c r="I23" s="150">
        <v>2500</v>
      </c>
      <c r="J23" s="150">
        <f t="shared" si="0"/>
        <v>125000</v>
      </c>
      <c r="K23" s="151">
        <v>3</v>
      </c>
      <c r="L23" s="185"/>
      <c r="N23" s="186" t="s">
        <v>1797</v>
      </c>
    </row>
    <row r="24" spans="1:20">
      <c r="A24" s="116" t="s">
        <v>1796</v>
      </c>
      <c r="B24" s="116" t="s">
        <v>1795</v>
      </c>
      <c r="C24" s="183">
        <v>10000000</v>
      </c>
      <c r="D24" s="116">
        <v>1</v>
      </c>
      <c r="E24" s="183"/>
      <c r="G24" s="116" t="s">
        <v>1794</v>
      </c>
      <c r="H24" s="151">
        <v>80</v>
      </c>
      <c r="I24" s="150">
        <v>1500</v>
      </c>
      <c r="J24" s="150">
        <f t="shared" si="0"/>
        <v>120000</v>
      </c>
      <c r="K24" s="151">
        <v>6</v>
      </c>
      <c r="L24" s="185"/>
      <c r="N24" s="116" t="s">
        <v>1786</v>
      </c>
      <c r="O24" s="116">
        <v>1</v>
      </c>
      <c r="P24" s="116">
        <v>2</v>
      </c>
      <c r="Q24" s="116">
        <v>3</v>
      </c>
      <c r="R24" s="116">
        <v>4</v>
      </c>
      <c r="S24" s="116">
        <v>5</v>
      </c>
    </row>
    <row r="25" spans="1:20">
      <c r="A25" s="116" t="s">
        <v>1793</v>
      </c>
      <c r="B25" s="116" t="s">
        <v>1792</v>
      </c>
      <c r="C25" s="183">
        <v>10000000</v>
      </c>
      <c r="D25" s="116">
        <v>2</v>
      </c>
      <c r="E25" s="183"/>
      <c r="N25" s="116" t="s">
        <v>1791</v>
      </c>
      <c r="O25" s="184">
        <v>6.5000000000000002E-2</v>
      </c>
      <c r="P25" s="184">
        <v>0.06</v>
      </c>
      <c r="Q25" s="184">
        <v>5.5E-2</v>
      </c>
      <c r="R25" s="184">
        <v>0.05</v>
      </c>
      <c r="S25" s="184">
        <v>4.4999999999999998E-2</v>
      </c>
    </row>
    <row r="26" spans="1:20">
      <c r="A26" s="116" t="s">
        <v>1790</v>
      </c>
      <c r="B26" s="116" t="s">
        <v>1789</v>
      </c>
      <c r="C26" s="183">
        <v>10000000</v>
      </c>
      <c r="D26" s="116">
        <v>3</v>
      </c>
      <c r="E26" s="183"/>
    </row>
    <row r="27" spans="1:20">
      <c r="N27" t="s">
        <v>1788</v>
      </c>
    </row>
    <row r="28" spans="1:20">
      <c r="A28" s="118" t="s">
        <v>1787</v>
      </c>
      <c r="N28" s="116" t="s">
        <v>1736</v>
      </c>
      <c r="O28" s="120">
        <v>0.02</v>
      </c>
      <c r="P28" s="120">
        <v>0.03</v>
      </c>
      <c r="Q28" s="120">
        <v>0.04</v>
      </c>
      <c r="R28" s="120">
        <v>0.05</v>
      </c>
      <c r="S28" s="120">
        <v>0.06</v>
      </c>
      <c r="T28" s="120">
        <v>7.0000000000000007E-2</v>
      </c>
    </row>
    <row r="29" spans="1:20">
      <c r="C29" s="285" t="s">
        <v>1786</v>
      </c>
      <c r="D29" s="285"/>
      <c r="E29" s="285"/>
      <c r="F29" s="285"/>
      <c r="G29" s="285"/>
      <c r="N29" s="116" t="s">
        <v>1785</v>
      </c>
      <c r="O29" s="151">
        <v>2</v>
      </c>
      <c r="P29" s="151">
        <v>2</v>
      </c>
      <c r="Q29" s="151">
        <v>2</v>
      </c>
      <c r="R29" s="151">
        <v>2</v>
      </c>
      <c r="S29" s="151">
        <v>2</v>
      </c>
      <c r="T29" s="151">
        <v>2</v>
      </c>
    </row>
    <row r="30" spans="1:20">
      <c r="A30" s="116" t="s">
        <v>1784</v>
      </c>
      <c r="B30" s="182" t="s">
        <v>1783</v>
      </c>
      <c r="C30" s="116">
        <v>1</v>
      </c>
      <c r="D30" s="116">
        <v>2</v>
      </c>
      <c r="E30" s="116">
        <v>3</v>
      </c>
      <c r="F30" s="116">
        <v>4</v>
      </c>
      <c r="G30" s="116">
        <v>5</v>
      </c>
      <c r="N30" s="116" t="s">
        <v>1782</v>
      </c>
      <c r="O30" s="179">
        <v>-500000</v>
      </c>
      <c r="P30" s="179">
        <v>-600000</v>
      </c>
      <c r="Q30" s="179">
        <v>-800000</v>
      </c>
      <c r="R30" s="179">
        <v>-900000</v>
      </c>
      <c r="S30" s="179">
        <v>-1000000</v>
      </c>
      <c r="T30" s="179">
        <v>-1100000</v>
      </c>
    </row>
    <row r="31" spans="1:20">
      <c r="A31" s="181" t="s">
        <v>1265</v>
      </c>
      <c r="B31" s="181" t="s">
        <v>1781</v>
      </c>
      <c r="C31" s="178">
        <v>6.5000000000000002E-2</v>
      </c>
      <c r="D31" s="178">
        <v>0.06</v>
      </c>
      <c r="E31" s="178">
        <v>5.5E-2</v>
      </c>
      <c r="F31" s="178">
        <v>0.05</v>
      </c>
      <c r="G31" s="178">
        <v>4.4999999999999998E-2</v>
      </c>
      <c r="N31" s="180" t="s">
        <v>1780</v>
      </c>
      <c r="O31" s="179"/>
      <c r="P31" s="179"/>
      <c r="Q31" s="179"/>
      <c r="R31" s="179"/>
      <c r="S31" s="179"/>
      <c r="T31" s="179"/>
    </row>
    <row r="32" spans="1:20">
      <c r="A32" s="116" t="s">
        <v>1268</v>
      </c>
      <c r="B32" s="116" t="s">
        <v>1779</v>
      </c>
      <c r="C32" s="178">
        <v>5.5E-2</v>
      </c>
      <c r="D32" s="178">
        <v>5.2999999999999999E-2</v>
      </c>
      <c r="E32" s="178">
        <v>4.4999999999999998E-2</v>
      </c>
      <c r="F32" s="178">
        <v>4.2000000000000003E-2</v>
      </c>
      <c r="G32" s="178">
        <v>3.7999999999999999E-2</v>
      </c>
    </row>
    <row r="33" spans="1:7">
      <c r="A33" s="116" t="s">
        <v>1274</v>
      </c>
      <c r="B33" s="116" t="s">
        <v>1778</v>
      </c>
      <c r="C33" s="178">
        <v>0.05</v>
      </c>
      <c r="D33" s="178">
        <v>4.5999999999999999E-2</v>
      </c>
      <c r="E33" s="178">
        <v>4.2000000000000003E-2</v>
      </c>
      <c r="F33" s="178">
        <v>3.7999999999999999E-2</v>
      </c>
      <c r="G33" s="178">
        <v>3.4000000000000002E-2</v>
      </c>
    </row>
    <row r="34" spans="1:7">
      <c r="A34" s="116" t="s">
        <v>1284</v>
      </c>
      <c r="B34" s="116" t="s">
        <v>1777</v>
      </c>
      <c r="C34" s="178">
        <v>5.8000000000000003E-2</v>
      </c>
      <c r="D34" s="178">
        <v>5.2999999999999999E-2</v>
      </c>
      <c r="E34" s="178">
        <v>4.8000000000000001E-2</v>
      </c>
      <c r="F34" s="178">
        <v>4.2999999999999997E-2</v>
      </c>
      <c r="G34" s="178">
        <v>3.7999999999999999E-2</v>
      </c>
    </row>
    <row r="35" spans="1:7">
      <c r="A35" s="116" t="s">
        <v>1290</v>
      </c>
      <c r="B35" s="116" t="s">
        <v>1776</v>
      </c>
      <c r="C35" s="178">
        <v>5.8000000000000003E-2</v>
      </c>
      <c r="D35" s="178">
        <v>5.2999999999999999E-2</v>
      </c>
      <c r="E35" s="178">
        <v>4.8000000000000001E-2</v>
      </c>
      <c r="F35" s="178">
        <v>4.2999999999999997E-2</v>
      </c>
      <c r="G35" s="178">
        <v>3.7999999999999999E-2</v>
      </c>
    </row>
  </sheetData>
  <mergeCells count="1">
    <mergeCell ref="C29:G29"/>
  </mergeCells>
  <phoneticPr fontId="2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T35"/>
  <sheetViews>
    <sheetView zoomScaleNormal="100" workbookViewId="0"/>
  </sheetViews>
  <sheetFormatPr defaultColWidth="9" defaultRowHeight="17"/>
  <cols>
    <col min="3" max="3" width="13.5" bestFit="1" customWidth="1"/>
    <col min="4" max="4" width="9" bestFit="1" customWidth="1"/>
    <col min="5" max="5" width="12.33203125" bestFit="1" customWidth="1"/>
    <col min="6" max="6" width="5.5" bestFit="1" customWidth="1"/>
    <col min="8" max="8" width="12.33203125" bestFit="1" customWidth="1"/>
    <col min="9" max="10" width="13.5" bestFit="1" customWidth="1"/>
    <col min="11" max="11" width="10.83203125" bestFit="1" customWidth="1"/>
    <col min="12" max="12" width="12.33203125" bestFit="1" customWidth="1"/>
    <col min="13" max="13" width="1.58203125" customWidth="1"/>
    <col min="15" max="20" width="13.5" bestFit="1" customWidth="1"/>
    <col min="21" max="21" width="10.58203125" bestFit="1" customWidth="1"/>
  </cols>
  <sheetData>
    <row r="1" spans="1:17">
      <c r="A1" t="s">
        <v>1948</v>
      </c>
      <c r="G1" t="s">
        <v>1947</v>
      </c>
      <c r="N1" t="s">
        <v>1946</v>
      </c>
    </row>
    <row r="2" spans="1:17">
      <c r="A2" s="116" t="s">
        <v>1945</v>
      </c>
      <c r="B2" s="116" t="s">
        <v>1938</v>
      </c>
      <c r="C2" s="116" t="s">
        <v>1936</v>
      </c>
      <c r="D2" s="116" t="s">
        <v>1937</v>
      </c>
      <c r="E2" s="180" t="s">
        <v>1935</v>
      </c>
      <c r="G2" s="116" t="s">
        <v>1944</v>
      </c>
      <c r="H2" s="116" t="s">
        <v>1943</v>
      </c>
      <c r="I2" s="116" t="s">
        <v>1942</v>
      </c>
      <c r="J2" s="116" t="s">
        <v>1941</v>
      </c>
      <c r="K2" s="116" t="s">
        <v>1940</v>
      </c>
      <c r="L2" s="117" t="s">
        <v>1939</v>
      </c>
      <c r="N2" s="116" t="s">
        <v>1938</v>
      </c>
      <c r="O2" s="116" t="s">
        <v>1937</v>
      </c>
      <c r="P2" s="116" t="s">
        <v>1936</v>
      </c>
      <c r="Q2" s="180" t="s">
        <v>1935</v>
      </c>
    </row>
    <row r="3" spans="1:17">
      <c r="A3" s="116" t="s">
        <v>1190</v>
      </c>
      <c r="B3" s="116" t="s">
        <v>1826</v>
      </c>
      <c r="C3" s="183">
        <v>5000000</v>
      </c>
      <c r="D3" s="116">
        <v>3</v>
      </c>
      <c r="E3" s="183">
        <f t="shared" ref="E3:E26" ca="1" si="0">IFERROR(PMT(OFFSET($B$30,MATCH(LEFT(A3,2),$A$31:$A$35,0),D3)/12,D3*12,-C3),"대출없음")</f>
        <v>150979.50902155141</v>
      </c>
      <c r="G3" s="116" t="s">
        <v>1934</v>
      </c>
      <c r="H3" s="151">
        <v>55</v>
      </c>
      <c r="I3" s="150">
        <v>1500</v>
      </c>
      <c r="J3" s="150">
        <f t="shared" ref="J3:J24" si="1">H3*I3</f>
        <v>82500</v>
      </c>
      <c r="K3" s="151">
        <v>2</v>
      </c>
      <c r="L3" s="185">
        <f t="shared" ref="L3:L24" si="2">ROUNDDOWN(PMT(3%/12,K3,-J3),-1)</f>
        <v>41400</v>
      </c>
      <c r="N3" s="116" t="s">
        <v>1848</v>
      </c>
      <c r="O3" s="151">
        <v>3</v>
      </c>
      <c r="P3" s="179">
        <v>5000000</v>
      </c>
      <c r="Q3" s="185">
        <f t="shared" ref="Q3:Q21" si="3">PMT(HLOOKUP(O3,$O$24:$S$25,2)/12,O3*12,-P3)</f>
        <v>150979.50902155141</v>
      </c>
    </row>
    <row r="4" spans="1:17">
      <c r="A4" s="116" t="s">
        <v>1197</v>
      </c>
      <c r="B4" s="116" t="s">
        <v>1933</v>
      </c>
      <c r="C4" s="183">
        <v>7000000</v>
      </c>
      <c r="D4" s="116">
        <v>2</v>
      </c>
      <c r="E4" s="183">
        <f t="shared" ca="1" si="0"/>
        <v>308041.06925023685</v>
      </c>
      <c r="G4" s="116" t="s">
        <v>1932</v>
      </c>
      <c r="H4" s="151">
        <v>20</v>
      </c>
      <c r="I4" s="150">
        <v>3000</v>
      </c>
      <c r="J4" s="150">
        <f t="shared" si="1"/>
        <v>60000</v>
      </c>
      <c r="K4" s="151">
        <v>2</v>
      </c>
      <c r="L4" s="185">
        <f t="shared" si="2"/>
        <v>30110</v>
      </c>
      <c r="N4" s="116" t="s">
        <v>1931</v>
      </c>
      <c r="O4" s="151">
        <v>2</v>
      </c>
      <c r="P4" s="179">
        <v>7000000</v>
      </c>
      <c r="Q4" s="185">
        <f t="shared" si="3"/>
        <v>310244.27176929824</v>
      </c>
    </row>
    <row r="5" spans="1:17">
      <c r="A5" s="116" t="s">
        <v>1202</v>
      </c>
      <c r="B5" s="116" t="s">
        <v>1930</v>
      </c>
      <c r="C5" s="183">
        <v>5500000</v>
      </c>
      <c r="D5" s="116">
        <v>2</v>
      </c>
      <c r="E5" s="183">
        <f t="shared" ca="1" si="0"/>
        <v>240308.5965616304</v>
      </c>
      <c r="G5" s="116" t="s">
        <v>1929</v>
      </c>
      <c r="H5" s="151">
        <v>20</v>
      </c>
      <c r="I5" s="150">
        <v>2000</v>
      </c>
      <c r="J5" s="150">
        <f t="shared" si="1"/>
        <v>40000</v>
      </c>
      <c r="K5" s="151">
        <v>2</v>
      </c>
      <c r="L5" s="185">
        <f t="shared" si="2"/>
        <v>20070</v>
      </c>
      <c r="N5" s="116" t="s">
        <v>1928</v>
      </c>
      <c r="O5" s="151">
        <v>2</v>
      </c>
      <c r="P5" s="179">
        <v>5500000</v>
      </c>
      <c r="Q5" s="185">
        <f t="shared" si="3"/>
        <v>243763.35639016289</v>
      </c>
    </row>
    <row r="6" spans="1:17">
      <c r="A6" s="116" t="s">
        <v>1208</v>
      </c>
      <c r="B6" s="116" t="s">
        <v>1927</v>
      </c>
      <c r="C6" s="183">
        <v>2000000</v>
      </c>
      <c r="D6" s="116">
        <v>4</v>
      </c>
      <c r="E6" s="183">
        <f t="shared" ca="1" si="0"/>
        <v>45427.096547435249</v>
      </c>
      <c r="G6" s="116" t="s">
        <v>1926</v>
      </c>
      <c r="H6" s="151">
        <v>21</v>
      </c>
      <c r="I6" s="150">
        <v>5300</v>
      </c>
      <c r="J6" s="150">
        <f t="shared" si="1"/>
        <v>111300</v>
      </c>
      <c r="K6" s="151">
        <v>2</v>
      </c>
      <c r="L6" s="185">
        <f t="shared" si="2"/>
        <v>55850</v>
      </c>
      <c r="N6" s="116" t="s">
        <v>1852</v>
      </c>
      <c r="O6" s="151">
        <v>4</v>
      </c>
      <c r="P6" s="179">
        <v>2000000</v>
      </c>
      <c r="Q6" s="185">
        <f t="shared" si="3"/>
        <v>46058.587141293036</v>
      </c>
    </row>
    <row r="7" spans="1:17">
      <c r="A7" s="116" t="s">
        <v>1212</v>
      </c>
      <c r="B7" s="116" t="s">
        <v>1851</v>
      </c>
      <c r="C7" s="183">
        <v>5000000</v>
      </c>
      <c r="D7" s="116">
        <v>1</v>
      </c>
      <c r="E7" s="183">
        <f t="shared" ca="1" si="0"/>
        <v>431482.08480140701</v>
      </c>
      <c r="G7" s="116" t="s">
        <v>1850</v>
      </c>
      <c r="H7" s="151">
        <v>95</v>
      </c>
      <c r="I7" s="150">
        <v>3000</v>
      </c>
      <c r="J7" s="150">
        <f t="shared" si="1"/>
        <v>285000</v>
      </c>
      <c r="K7" s="151">
        <v>6</v>
      </c>
      <c r="L7" s="185">
        <f t="shared" si="2"/>
        <v>47910</v>
      </c>
      <c r="N7" s="116" t="s">
        <v>1849</v>
      </c>
      <c r="O7" s="151">
        <v>1</v>
      </c>
      <c r="P7" s="179">
        <v>5000000</v>
      </c>
      <c r="Q7" s="185">
        <f t="shared" si="3"/>
        <v>431482.08480140701</v>
      </c>
    </row>
    <row r="8" spans="1:17">
      <c r="A8" s="116" t="s">
        <v>1215</v>
      </c>
      <c r="B8" s="116" t="s">
        <v>1848</v>
      </c>
      <c r="C8" s="183" t="s">
        <v>1811</v>
      </c>
      <c r="D8" s="116" t="s">
        <v>1811</v>
      </c>
      <c r="E8" s="183" t="str">
        <f t="shared" ca="1" si="0"/>
        <v>대출없음</v>
      </c>
      <c r="G8" s="116" t="s">
        <v>1925</v>
      </c>
      <c r="H8" s="151">
        <v>120</v>
      </c>
      <c r="I8" s="150">
        <v>2500</v>
      </c>
      <c r="J8" s="150">
        <f t="shared" si="1"/>
        <v>300000</v>
      </c>
      <c r="K8" s="151">
        <v>9</v>
      </c>
      <c r="L8" s="185">
        <f t="shared" si="2"/>
        <v>33750</v>
      </c>
      <c r="N8" s="116" t="s">
        <v>1924</v>
      </c>
      <c r="O8" s="151">
        <v>2</v>
      </c>
      <c r="P8" s="179">
        <v>10000000</v>
      </c>
      <c r="Q8" s="185">
        <f t="shared" si="3"/>
        <v>443206.10252756893</v>
      </c>
    </row>
    <row r="9" spans="1:17">
      <c r="A9" s="116" t="s">
        <v>1219</v>
      </c>
      <c r="B9" s="116" t="s">
        <v>1924</v>
      </c>
      <c r="C9" s="183" t="s">
        <v>1811</v>
      </c>
      <c r="D9" s="116" t="s">
        <v>1897</v>
      </c>
      <c r="E9" s="183" t="str">
        <f t="shared" ca="1" si="0"/>
        <v>대출없음</v>
      </c>
      <c r="G9" s="116" t="s">
        <v>1923</v>
      </c>
      <c r="H9" s="151">
        <v>20</v>
      </c>
      <c r="I9" s="150">
        <v>2000</v>
      </c>
      <c r="J9" s="150">
        <f t="shared" si="1"/>
        <v>40000</v>
      </c>
      <c r="K9" s="151">
        <v>2</v>
      </c>
      <c r="L9" s="185">
        <f t="shared" si="2"/>
        <v>20070</v>
      </c>
      <c r="N9" s="116" t="s">
        <v>1922</v>
      </c>
      <c r="O9" s="151">
        <v>1</v>
      </c>
      <c r="P9" s="179">
        <v>2000000</v>
      </c>
      <c r="Q9" s="185">
        <f t="shared" si="3"/>
        <v>172592.83392056279</v>
      </c>
    </row>
    <row r="10" spans="1:17">
      <c r="A10" s="116" t="s">
        <v>1222</v>
      </c>
      <c r="B10" s="116" t="s">
        <v>1921</v>
      </c>
      <c r="C10" s="183">
        <v>23000000</v>
      </c>
      <c r="D10" s="116">
        <v>5</v>
      </c>
      <c r="E10" s="183">
        <f t="shared" ca="1" si="0"/>
        <v>417380.91270801274</v>
      </c>
      <c r="G10" s="116" t="s">
        <v>1920</v>
      </c>
      <c r="H10" s="151">
        <v>25</v>
      </c>
      <c r="I10" s="150">
        <v>5300</v>
      </c>
      <c r="J10" s="150">
        <f t="shared" si="1"/>
        <v>132500</v>
      </c>
      <c r="K10" s="151">
        <v>6</v>
      </c>
      <c r="L10" s="185">
        <f t="shared" si="2"/>
        <v>22270</v>
      </c>
      <c r="N10" s="116" t="s">
        <v>1851</v>
      </c>
      <c r="O10" s="151">
        <v>5</v>
      </c>
      <c r="P10" s="179">
        <v>23000000</v>
      </c>
      <c r="Q10" s="185">
        <f t="shared" si="3"/>
        <v>428789.44255488296</v>
      </c>
    </row>
    <row r="11" spans="1:17">
      <c r="A11" s="116" t="s">
        <v>1226</v>
      </c>
      <c r="B11" s="116" t="s">
        <v>1919</v>
      </c>
      <c r="C11" s="183">
        <v>10000000</v>
      </c>
      <c r="D11" s="116">
        <v>3</v>
      </c>
      <c r="E11" s="183">
        <f t="shared" ca="1" si="0"/>
        <v>298811.84143792582</v>
      </c>
      <c r="G11" s="116" t="s">
        <v>1918</v>
      </c>
      <c r="H11" s="151">
        <v>90</v>
      </c>
      <c r="I11" s="150">
        <v>2500</v>
      </c>
      <c r="J11" s="150">
        <f t="shared" si="1"/>
        <v>225000</v>
      </c>
      <c r="K11" s="151">
        <v>9</v>
      </c>
      <c r="L11" s="185">
        <f t="shared" si="2"/>
        <v>25310</v>
      </c>
      <c r="N11" s="116" t="s">
        <v>1917</v>
      </c>
      <c r="O11" s="151">
        <v>3</v>
      </c>
      <c r="P11" s="179">
        <v>10000000</v>
      </c>
      <c r="Q11" s="185">
        <f t="shared" si="3"/>
        <v>301959.01804310281</v>
      </c>
    </row>
    <row r="12" spans="1:17">
      <c r="A12" s="116" t="s">
        <v>1228</v>
      </c>
      <c r="B12" s="116" t="s">
        <v>1916</v>
      </c>
      <c r="C12" s="183">
        <v>7000000</v>
      </c>
      <c r="D12" s="116">
        <v>1</v>
      </c>
      <c r="E12" s="183">
        <f t="shared" ca="1" si="0"/>
        <v>601821.71410148533</v>
      </c>
      <c r="G12" s="116" t="s">
        <v>1915</v>
      </c>
      <c r="H12" s="151">
        <v>55</v>
      </c>
      <c r="I12" s="150">
        <v>2500</v>
      </c>
      <c r="J12" s="150">
        <f t="shared" si="1"/>
        <v>137500</v>
      </c>
      <c r="K12" s="151">
        <v>6</v>
      </c>
      <c r="L12" s="185">
        <f t="shared" si="2"/>
        <v>23110</v>
      </c>
      <c r="N12" s="116" t="s">
        <v>1914</v>
      </c>
      <c r="O12" s="151">
        <v>1</v>
      </c>
      <c r="P12" s="179">
        <v>7000000</v>
      </c>
      <c r="Q12" s="185">
        <f t="shared" si="3"/>
        <v>604074.91872196982</v>
      </c>
    </row>
    <row r="13" spans="1:17">
      <c r="A13" s="116" t="s">
        <v>1231</v>
      </c>
      <c r="B13" s="116" t="s">
        <v>1834</v>
      </c>
      <c r="C13" s="183">
        <v>5000000</v>
      </c>
      <c r="D13" s="116">
        <v>1</v>
      </c>
      <c r="E13" s="183">
        <f t="shared" ca="1" si="0"/>
        <v>429872.65292963234</v>
      </c>
      <c r="G13" s="116" t="s">
        <v>1913</v>
      </c>
      <c r="H13" s="151">
        <v>30</v>
      </c>
      <c r="I13" s="150">
        <v>2000</v>
      </c>
      <c r="J13" s="150">
        <f t="shared" si="1"/>
        <v>60000</v>
      </c>
      <c r="K13" s="151">
        <v>3</v>
      </c>
      <c r="L13" s="185">
        <f t="shared" si="2"/>
        <v>20100</v>
      </c>
      <c r="N13" s="116" t="s">
        <v>1912</v>
      </c>
      <c r="O13" s="151">
        <v>1</v>
      </c>
      <c r="P13" s="179">
        <v>5000000</v>
      </c>
      <c r="Q13" s="185">
        <f t="shared" si="3"/>
        <v>431482.08480140701</v>
      </c>
    </row>
    <row r="14" spans="1:17">
      <c r="A14" s="116" t="s">
        <v>1233</v>
      </c>
      <c r="B14" s="116" t="s">
        <v>1831</v>
      </c>
      <c r="C14" s="183">
        <v>10000000</v>
      </c>
      <c r="D14" s="116">
        <v>5</v>
      </c>
      <c r="E14" s="183">
        <f t="shared" ca="1" si="0"/>
        <v>186430.1924151665</v>
      </c>
      <c r="G14" s="116" t="s">
        <v>1911</v>
      </c>
      <c r="H14" s="151">
        <v>25</v>
      </c>
      <c r="I14" s="150">
        <v>5300</v>
      </c>
      <c r="J14" s="150">
        <f t="shared" si="1"/>
        <v>132500</v>
      </c>
      <c r="K14" s="151">
        <v>3</v>
      </c>
      <c r="L14" s="185">
        <f t="shared" si="2"/>
        <v>44380</v>
      </c>
      <c r="N14" s="116" t="s">
        <v>1910</v>
      </c>
      <c r="O14" s="151">
        <v>5</v>
      </c>
      <c r="P14" s="179">
        <v>10000000</v>
      </c>
      <c r="Q14" s="185">
        <f t="shared" si="3"/>
        <v>186430.1924151665</v>
      </c>
    </row>
    <row r="15" spans="1:17">
      <c r="A15" s="116" t="s">
        <v>1236</v>
      </c>
      <c r="B15" s="116" t="s">
        <v>1828</v>
      </c>
      <c r="C15" s="183">
        <v>20000000</v>
      </c>
      <c r="D15" s="116">
        <v>5</v>
      </c>
      <c r="E15" s="183">
        <f t="shared" ca="1" si="0"/>
        <v>366528.09309015982</v>
      </c>
      <c r="G15" s="116" t="s">
        <v>1827</v>
      </c>
      <c r="H15" s="151">
        <v>100</v>
      </c>
      <c r="I15" s="150">
        <v>2000</v>
      </c>
      <c r="J15" s="150">
        <f t="shared" si="1"/>
        <v>200000</v>
      </c>
      <c r="K15" s="151">
        <v>6</v>
      </c>
      <c r="L15" s="185">
        <f t="shared" si="2"/>
        <v>33620</v>
      </c>
      <c r="N15" s="116" t="s">
        <v>1909</v>
      </c>
      <c r="O15" s="151">
        <v>5</v>
      </c>
      <c r="P15" s="179">
        <v>20000000</v>
      </c>
      <c r="Q15" s="185">
        <f t="shared" si="3"/>
        <v>372860.384830333</v>
      </c>
    </row>
    <row r="16" spans="1:17">
      <c r="A16" s="116" t="s">
        <v>1239</v>
      </c>
      <c r="B16" s="116" t="s">
        <v>1825</v>
      </c>
      <c r="C16" s="116" t="s">
        <v>1897</v>
      </c>
      <c r="D16" s="116" t="s">
        <v>1897</v>
      </c>
      <c r="E16" s="183" t="str">
        <f t="shared" ca="1" si="0"/>
        <v>대출없음</v>
      </c>
      <c r="G16" s="116" t="s">
        <v>1908</v>
      </c>
      <c r="H16" s="151">
        <v>90</v>
      </c>
      <c r="I16" s="150">
        <v>5300</v>
      </c>
      <c r="J16" s="150">
        <f t="shared" si="1"/>
        <v>477000</v>
      </c>
      <c r="K16" s="151">
        <v>24</v>
      </c>
      <c r="L16" s="185">
        <f t="shared" si="2"/>
        <v>20500</v>
      </c>
      <c r="N16" s="116" t="s">
        <v>1907</v>
      </c>
      <c r="O16" s="151">
        <v>1</v>
      </c>
      <c r="P16" s="179">
        <v>2000000</v>
      </c>
      <c r="Q16" s="185">
        <f t="shared" si="3"/>
        <v>172592.83392056279</v>
      </c>
    </row>
    <row r="17" spans="1:20">
      <c r="A17" s="116" t="s">
        <v>1242</v>
      </c>
      <c r="B17" s="116" t="s">
        <v>1906</v>
      </c>
      <c r="C17" s="183">
        <v>5000000</v>
      </c>
      <c r="D17" s="116">
        <v>2</v>
      </c>
      <c r="E17" s="183">
        <f t="shared" ca="1" si="0"/>
        <v>220029.33517874058</v>
      </c>
      <c r="G17" s="116" t="s">
        <v>1905</v>
      </c>
      <c r="H17" s="151">
        <v>55</v>
      </c>
      <c r="I17" s="150">
        <v>3000</v>
      </c>
      <c r="J17" s="150">
        <f t="shared" si="1"/>
        <v>165000</v>
      </c>
      <c r="K17" s="151">
        <v>3</v>
      </c>
      <c r="L17" s="185">
        <f t="shared" si="2"/>
        <v>55270</v>
      </c>
      <c r="N17" s="116" t="s">
        <v>1904</v>
      </c>
      <c r="O17" s="151">
        <v>2</v>
      </c>
      <c r="P17" s="179">
        <v>5000000</v>
      </c>
      <c r="Q17" s="185">
        <f t="shared" si="3"/>
        <v>221603.05126378447</v>
      </c>
    </row>
    <row r="18" spans="1:20">
      <c r="A18" s="116" t="s">
        <v>1244</v>
      </c>
      <c r="B18" s="116" t="s">
        <v>1818</v>
      </c>
      <c r="C18" s="183">
        <v>15000000</v>
      </c>
      <c r="D18" s="116">
        <v>1</v>
      </c>
      <c r="E18" s="183">
        <f t="shared" ca="1" si="0"/>
        <v>1294446.254404221</v>
      </c>
      <c r="G18" s="116" t="s">
        <v>1903</v>
      </c>
      <c r="H18" s="151">
        <v>32</v>
      </c>
      <c r="I18" s="150">
        <v>5300</v>
      </c>
      <c r="J18" s="150">
        <f t="shared" si="1"/>
        <v>169600</v>
      </c>
      <c r="K18" s="151">
        <v>6</v>
      </c>
      <c r="L18" s="185">
        <f t="shared" si="2"/>
        <v>28510</v>
      </c>
      <c r="N18" s="116" t="s">
        <v>1902</v>
      </c>
      <c r="O18" s="151">
        <v>1</v>
      </c>
      <c r="P18" s="179">
        <v>15000000</v>
      </c>
      <c r="Q18" s="185">
        <f t="shared" si="3"/>
        <v>1294446.254404221</v>
      </c>
    </row>
    <row r="19" spans="1:20">
      <c r="A19" s="116" t="s">
        <v>1247</v>
      </c>
      <c r="B19" s="116" t="s">
        <v>1901</v>
      </c>
      <c r="C19" s="183">
        <v>2000000</v>
      </c>
      <c r="D19" s="116">
        <v>4</v>
      </c>
      <c r="E19" s="183">
        <f t="shared" ca="1" si="0"/>
        <v>45337.323944525269</v>
      </c>
      <c r="G19" s="116" t="s">
        <v>1900</v>
      </c>
      <c r="H19" s="151">
        <v>60</v>
      </c>
      <c r="I19" s="150">
        <v>1500</v>
      </c>
      <c r="J19" s="150">
        <f t="shared" si="1"/>
        <v>90000</v>
      </c>
      <c r="K19" s="151">
        <v>3</v>
      </c>
      <c r="L19" s="185">
        <f t="shared" si="2"/>
        <v>30150</v>
      </c>
      <c r="N19" s="116" t="s">
        <v>1899</v>
      </c>
      <c r="O19" s="151">
        <v>4</v>
      </c>
      <c r="P19" s="179">
        <v>2000000</v>
      </c>
      <c r="Q19" s="185">
        <f t="shared" si="3"/>
        <v>46058.587141293036</v>
      </c>
    </row>
    <row r="20" spans="1:20">
      <c r="A20" s="116" t="s">
        <v>1249</v>
      </c>
      <c r="B20" s="116" t="s">
        <v>1898</v>
      </c>
      <c r="C20" s="116" t="s">
        <v>1897</v>
      </c>
      <c r="D20" s="116" t="s">
        <v>1897</v>
      </c>
      <c r="E20" s="183" t="str">
        <f t="shared" ca="1" si="0"/>
        <v>대출없음</v>
      </c>
      <c r="G20" s="116" t="s">
        <v>1896</v>
      </c>
      <c r="H20" s="151">
        <v>50</v>
      </c>
      <c r="I20" s="150">
        <v>3000</v>
      </c>
      <c r="J20" s="150">
        <f t="shared" si="1"/>
        <v>150000</v>
      </c>
      <c r="K20" s="151">
        <v>6</v>
      </c>
      <c r="L20" s="185">
        <f t="shared" si="2"/>
        <v>25210</v>
      </c>
      <c r="N20" s="116" t="s">
        <v>1858</v>
      </c>
      <c r="O20" s="151">
        <v>2</v>
      </c>
      <c r="P20" s="179">
        <v>5000000</v>
      </c>
      <c r="Q20" s="185">
        <f t="shared" si="3"/>
        <v>221603.05126378447</v>
      </c>
    </row>
    <row r="21" spans="1:20">
      <c r="A21" s="116" t="s">
        <v>1807</v>
      </c>
      <c r="B21" s="116" t="s">
        <v>1895</v>
      </c>
      <c r="C21" s="183">
        <v>10000000</v>
      </c>
      <c r="D21" s="116">
        <v>3</v>
      </c>
      <c r="E21" s="183">
        <f t="shared" ca="1" si="0"/>
        <v>297469.2447837558</v>
      </c>
      <c r="G21" s="116" t="s">
        <v>1894</v>
      </c>
      <c r="H21" s="151">
        <v>110</v>
      </c>
      <c r="I21" s="150">
        <v>3000</v>
      </c>
      <c r="J21" s="150">
        <f t="shared" si="1"/>
        <v>330000</v>
      </c>
      <c r="K21" s="151">
        <v>12</v>
      </c>
      <c r="L21" s="185">
        <f t="shared" si="2"/>
        <v>27940</v>
      </c>
      <c r="N21" s="116" t="s">
        <v>1893</v>
      </c>
      <c r="O21" s="151">
        <v>4</v>
      </c>
      <c r="P21" s="179">
        <v>10000000</v>
      </c>
      <c r="Q21" s="185">
        <f t="shared" si="3"/>
        <v>230292.93570646518</v>
      </c>
    </row>
    <row r="22" spans="1:20">
      <c r="A22" s="116" t="s">
        <v>1803</v>
      </c>
      <c r="B22" s="116" t="s">
        <v>1802</v>
      </c>
      <c r="C22" s="183">
        <v>10000000</v>
      </c>
      <c r="D22" s="116">
        <v>4</v>
      </c>
      <c r="E22" s="183">
        <f t="shared" ca="1" si="0"/>
        <v>227135.48273717627</v>
      </c>
      <c r="G22" s="116" t="s">
        <v>1892</v>
      </c>
      <c r="H22" s="151">
        <v>45</v>
      </c>
      <c r="I22" s="150">
        <v>1500</v>
      </c>
      <c r="J22" s="150">
        <f t="shared" si="1"/>
        <v>67500</v>
      </c>
      <c r="K22" s="151">
        <v>2</v>
      </c>
      <c r="L22" s="185">
        <f t="shared" si="2"/>
        <v>33870</v>
      </c>
    </row>
    <row r="23" spans="1:20">
      <c r="A23" s="116" t="s">
        <v>1800</v>
      </c>
      <c r="B23" s="116" t="s">
        <v>1891</v>
      </c>
      <c r="C23" s="183">
        <v>10000000</v>
      </c>
      <c r="D23" s="116">
        <v>2</v>
      </c>
      <c r="E23" s="183">
        <f t="shared" ca="1" si="0"/>
        <v>440058.67035748117</v>
      </c>
      <c r="G23" s="116" t="s">
        <v>1890</v>
      </c>
      <c r="H23" s="151">
        <v>50</v>
      </c>
      <c r="I23" s="150">
        <v>2500</v>
      </c>
      <c r="J23" s="150">
        <f t="shared" si="1"/>
        <v>125000</v>
      </c>
      <c r="K23" s="151">
        <v>3</v>
      </c>
      <c r="L23" s="185">
        <f t="shared" si="2"/>
        <v>41870</v>
      </c>
      <c r="N23" s="186" t="s">
        <v>1889</v>
      </c>
    </row>
    <row r="24" spans="1:20">
      <c r="A24" s="116" t="s">
        <v>1796</v>
      </c>
      <c r="B24" s="116" t="s">
        <v>1888</v>
      </c>
      <c r="C24" s="183">
        <v>10000000</v>
      </c>
      <c r="D24" s="116">
        <v>1</v>
      </c>
      <c r="E24" s="183">
        <f t="shared" ca="1" si="0"/>
        <v>862964.16960281401</v>
      </c>
      <c r="G24" s="116" t="s">
        <v>1887</v>
      </c>
      <c r="H24" s="151">
        <v>80</v>
      </c>
      <c r="I24" s="150">
        <v>1500</v>
      </c>
      <c r="J24" s="150">
        <f t="shared" si="1"/>
        <v>120000</v>
      </c>
      <c r="K24" s="151">
        <v>6</v>
      </c>
      <c r="L24" s="185">
        <f t="shared" si="2"/>
        <v>20170</v>
      </c>
      <c r="N24" s="116" t="s">
        <v>1882</v>
      </c>
      <c r="O24" s="116">
        <v>1</v>
      </c>
      <c r="P24" s="116">
        <v>2</v>
      </c>
      <c r="Q24" s="116">
        <v>3</v>
      </c>
      <c r="R24" s="116">
        <v>4</v>
      </c>
      <c r="S24" s="116">
        <v>5</v>
      </c>
    </row>
    <row r="25" spans="1:20">
      <c r="A25" s="116" t="s">
        <v>1793</v>
      </c>
      <c r="B25" s="116" t="s">
        <v>1886</v>
      </c>
      <c r="C25" s="183">
        <v>10000000</v>
      </c>
      <c r="D25" s="116">
        <v>2</v>
      </c>
      <c r="E25" s="183">
        <f t="shared" ca="1" si="0"/>
        <v>440058.67035748117</v>
      </c>
      <c r="N25" s="116" t="s">
        <v>1885</v>
      </c>
      <c r="O25" s="184">
        <v>6.5000000000000002E-2</v>
      </c>
      <c r="P25" s="184">
        <v>0.06</v>
      </c>
      <c r="Q25" s="184">
        <v>5.5E-2</v>
      </c>
      <c r="R25" s="184">
        <v>0.05</v>
      </c>
      <c r="S25" s="184">
        <v>4.4999999999999998E-2</v>
      </c>
    </row>
    <row r="26" spans="1:20">
      <c r="A26" s="116" t="s">
        <v>1790</v>
      </c>
      <c r="B26" s="116" t="s">
        <v>1789</v>
      </c>
      <c r="C26" s="183">
        <v>10000000</v>
      </c>
      <c r="D26" s="116">
        <v>3</v>
      </c>
      <c r="E26" s="183">
        <f t="shared" ca="1" si="0"/>
        <v>297469.2447837558</v>
      </c>
    </row>
    <row r="27" spans="1:20">
      <c r="N27" t="s">
        <v>1884</v>
      </c>
    </row>
    <row r="28" spans="1:20">
      <c r="A28" s="118" t="s">
        <v>1883</v>
      </c>
      <c r="N28" s="116" t="s">
        <v>1744</v>
      </c>
      <c r="O28" s="120">
        <v>0.02</v>
      </c>
      <c r="P28" s="120">
        <v>0.03</v>
      </c>
      <c r="Q28" s="120">
        <v>0.04</v>
      </c>
      <c r="R28" s="120">
        <v>0.05</v>
      </c>
      <c r="S28" s="120">
        <v>0.06</v>
      </c>
      <c r="T28" s="120">
        <v>7.0000000000000007E-2</v>
      </c>
    </row>
    <row r="29" spans="1:20">
      <c r="C29" s="285" t="s">
        <v>1882</v>
      </c>
      <c r="D29" s="285"/>
      <c r="E29" s="285"/>
      <c r="F29" s="285"/>
      <c r="G29" s="285"/>
      <c r="N29" s="116" t="s">
        <v>1881</v>
      </c>
      <c r="O29" s="151">
        <v>2</v>
      </c>
      <c r="P29" s="151">
        <v>2</v>
      </c>
      <c r="Q29" s="151">
        <v>2</v>
      </c>
      <c r="R29" s="151">
        <v>2</v>
      </c>
      <c r="S29" s="151">
        <v>2</v>
      </c>
      <c r="T29" s="151">
        <v>2</v>
      </c>
    </row>
    <row r="30" spans="1:20">
      <c r="A30" s="116" t="s">
        <v>1680</v>
      </c>
      <c r="B30" s="182" t="s">
        <v>1880</v>
      </c>
      <c r="C30" s="116">
        <v>1</v>
      </c>
      <c r="D30" s="116">
        <v>2</v>
      </c>
      <c r="E30" s="116">
        <v>3</v>
      </c>
      <c r="F30" s="116">
        <v>4</v>
      </c>
      <c r="G30" s="116">
        <v>5</v>
      </c>
      <c r="N30" s="116" t="s">
        <v>1879</v>
      </c>
      <c r="O30" s="179">
        <v>-500000</v>
      </c>
      <c r="P30" s="179">
        <v>-600000</v>
      </c>
      <c r="Q30" s="179">
        <v>-800000</v>
      </c>
      <c r="R30" s="179">
        <v>-900000</v>
      </c>
      <c r="S30" s="179">
        <v>-1000000</v>
      </c>
      <c r="T30" s="179">
        <v>-1100000</v>
      </c>
    </row>
    <row r="31" spans="1:20">
      <c r="A31" s="181" t="s">
        <v>1265</v>
      </c>
      <c r="B31" s="181" t="s">
        <v>1878</v>
      </c>
      <c r="C31" s="178">
        <v>6.5000000000000002E-2</v>
      </c>
      <c r="D31" s="178">
        <v>0.06</v>
      </c>
      <c r="E31" s="178">
        <v>5.5E-2</v>
      </c>
      <c r="F31" s="178">
        <v>0.05</v>
      </c>
      <c r="G31" s="178">
        <v>4.4999999999999998E-2</v>
      </c>
      <c r="N31" s="180" t="s">
        <v>1877</v>
      </c>
      <c r="O31" s="179">
        <f t="shared" ref="O31:T31" si="4">IF(PV(O28/12,O29*12,O30)&gt;=20000000,"한도초과",ROUND(PV(O28/12,O29*12,O30),-3))</f>
        <v>11754000</v>
      </c>
      <c r="P31" s="179">
        <f t="shared" si="4"/>
        <v>13960000</v>
      </c>
      <c r="Q31" s="179">
        <f t="shared" si="4"/>
        <v>18423000</v>
      </c>
      <c r="R31" s="179" t="str">
        <f t="shared" si="4"/>
        <v>한도초과</v>
      </c>
      <c r="S31" s="179" t="str">
        <f t="shared" si="4"/>
        <v>한도초과</v>
      </c>
      <c r="T31" s="179" t="str">
        <f t="shared" si="4"/>
        <v>한도초과</v>
      </c>
    </row>
    <row r="32" spans="1:20">
      <c r="A32" s="116" t="s">
        <v>1268</v>
      </c>
      <c r="B32" s="116" t="s">
        <v>1876</v>
      </c>
      <c r="C32" s="178">
        <v>5.5E-2</v>
      </c>
      <c r="D32" s="178">
        <v>5.2999999999999999E-2</v>
      </c>
      <c r="E32" s="178">
        <v>4.4999999999999998E-2</v>
      </c>
      <c r="F32" s="178">
        <v>4.2000000000000003E-2</v>
      </c>
      <c r="G32" s="178">
        <v>3.7999999999999999E-2</v>
      </c>
    </row>
    <row r="33" spans="1:7">
      <c r="A33" s="116" t="s">
        <v>1274</v>
      </c>
      <c r="B33" s="116" t="s">
        <v>1875</v>
      </c>
      <c r="C33" s="178">
        <v>0.05</v>
      </c>
      <c r="D33" s="178">
        <v>4.5999999999999999E-2</v>
      </c>
      <c r="E33" s="178">
        <v>4.2000000000000003E-2</v>
      </c>
      <c r="F33" s="178">
        <v>3.7999999999999999E-2</v>
      </c>
      <c r="G33" s="178">
        <v>3.4000000000000002E-2</v>
      </c>
    </row>
    <row r="34" spans="1:7">
      <c r="A34" s="116" t="s">
        <v>1284</v>
      </c>
      <c r="B34" s="116" t="s">
        <v>1874</v>
      </c>
      <c r="C34" s="178">
        <v>5.8000000000000003E-2</v>
      </c>
      <c r="D34" s="178">
        <v>5.2999999999999999E-2</v>
      </c>
      <c r="E34" s="178">
        <v>4.8000000000000001E-2</v>
      </c>
      <c r="F34" s="178">
        <v>4.2999999999999997E-2</v>
      </c>
      <c r="G34" s="178">
        <v>3.7999999999999999E-2</v>
      </c>
    </row>
    <row r="35" spans="1:7">
      <c r="A35" s="116" t="s">
        <v>1290</v>
      </c>
      <c r="B35" s="116" t="s">
        <v>1873</v>
      </c>
      <c r="C35" s="178">
        <v>5.8000000000000003E-2</v>
      </c>
      <c r="D35" s="178">
        <v>5.2999999999999999E-2</v>
      </c>
      <c r="E35" s="178">
        <v>4.8000000000000001E-2</v>
      </c>
      <c r="F35" s="178">
        <v>4.2999999999999997E-2</v>
      </c>
      <c r="G35" s="178">
        <v>3.7999999999999999E-2</v>
      </c>
    </row>
  </sheetData>
  <mergeCells count="1">
    <mergeCell ref="C29:G29"/>
  </mergeCells>
  <phoneticPr fontId="2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13"/>
  <sheetViews>
    <sheetView workbookViewId="0"/>
  </sheetViews>
  <sheetFormatPr defaultColWidth="9" defaultRowHeight="17"/>
  <cols>
    <col min="7" max="7" width="12.33203125" bestFit="1" customWidth="1"/>
  </cols>
  <sheetData>
    <row r="1" spans="1:11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>
      <c r="A2" s="134"/>
      <c r="B2" s="134"/>
      <c r="C2" s="134"/>
      <c r="D2" s="134"/>
      <c r="E2" s="134"/>
      <c r="F2" s="134"/>
      <c r="G2" s="134"/>
      <c r="H2" s="134"/>
      <c r="I2" s="286" t="s">
        <v>1972</v>
      </c>
      <c r="J2" s="286"/>
      <c r="K2" s="286"/>
    </row>
    <row r="3" spans="1:11">
      <c r="A3" s="134"/>
      <c r="B3" s="189" t="s">
        <v>1971</v>
      </c>
      <c r="C3" s="189" t="s">
        <v>1970</v>
      </c>
      <c r="D3" s="189" t="s">
        <v>1969</v>
      </c>
      <c r="E3" s="190" t="s">
        <v>1968</v>
      </c>
      <c r="F3" s="189" t="s">
        <v>1967</v>
      </c>
      <c r="G3" s="189" t="s">
        <v>1966</v>
      </c>
      <c r="H3" s="134"/>
      <c r="I3" s="97" t="s">
        <v>1965</v>
      </c>
      <c r="J3" s="97" t="s">
        <v>1964</v>
      </c>
      <c r="K3" s="97" t="s">
        <v>1963</v>
      </c>
    </row>
    <row r="4" spans="1:11">
      <c r="A4" s="134"/>
      <c r="B4" s="97">
        <v>1</v>
      </c>
      <c r="C4" s="97" t="s">
        <v>1962</v>
      </c>
      <c r="D4" s="97"/>
      <c r="E4" s="188">
        <v>10</v>
      </c>
      <c r="F4" s="188"/>
      <c r="G4" s="188"/>
      <c r="H4" s="134"/>
      <c r="I4" s="97" t="s">
        <v>1962</v>
      </c>
      <c r="J4" s="97" t="s">
        <v>1956</v>
      </c>
      <c r="K4" s="100">
        <v>235000</v>
      </c>
    </row>
    <row r="5" spans="1:11">
      <c r="A5" s="134"/>
      <c r="B5" s="97">
        <v>2</v>
      </c>
      <c r="C5" s="97" t="s">
        <v>1961</v>
      </c>
      <c r="D5" s="97"/>
      <c r="E5" s="188">
        <v>15</v>
      </c>
      <c r="F5" s="188"/>
      <c r="G5" s="188"/>
      <c r="H5" s="134"/>
      <c r="I5" s="97" t="s">
        <v>1960</v>
      </c>
      <c r="J5" s="97" t="s">
        <v>1949</v>
      </c>
      <c r="K5" s="100">
        <v>127000</v>
      </c>
    </row>
    <row r="6" spans="1:11">
      <c r="A6" s="134"/>
      <c r="B6" s="97">
        <v>3</v>
      </c>
      <c r="C6" s="97"/>
      <c r="D6" s="97"/>
      <c r="E6" s="188"/>
      <c r="F6" s="188"/>
      <c r="G6" s="188"/>
      <c r="H6" s="134"/>
      <c r="I6" s="97" t="s">
        <v>1959</v>
      </c>
      <c r="J6" s="97" t="s">
        <v>1949</v>
      </c>
      <c r="K6" s="100">
        <v>203000</v>
      </c>
    </row>
    <row r="7" spans="1:11">
      <c r="A7" s="134"/>
      <c r="B7" s="97">
        <v>4</v>
      </c>
      <c r="C7" s="97"/>
      <c r="D7" s="97"/>
      <c r="E7" s="188"/>
      <c r="F7" s="188"/>
      <c r="G7" s="188"/>
      <c r="H7" s="134"/>
      <c r="I7" s="97" t="s">
        <v>1958</v>
      </c>
      <c r="J7" s="97" t="s">
        <v>1949</v>
      </c>
      <c r="K7" s="100">
        <v>67000</v>
      </c>
    </row>
    <row r="8" spans="1:11">
      <c r="A8" s="134"/>
      <c r="B8" s="97">
        <v>5</v>
      </c>
      <c r="C8" s="97"/>
      <c r="D8" s="97"/>
      <c r="E8" s="188"/>
      <c r="F8" s="188"/>
      <c r="G8" s="188"/>
      <c r="H8" s="134"/>
      <c r="I8" s="97" t="s">
        <v>1957</v>
      </c>
      <c r="J8" s="97" t="s">
        <v>1956</v>
      </c>
      <c r="K8" s="100">
        <v>103000</v>
      </c>
    </row>
    <row r="9" spans="1:11">
      <c r="A9" s="134"/>
      <c r="B9" s="97">
        <v>6</v>
      </c>
      <c r="C9" s="97"/>
      <c r="D9" s="97"/>
      <c r="E9" s="188"/>
      <c r="F9" s="188"/>
      <c r="G9" s="188"/>
      <c r="H9" s="134"/>
      <c r="I9" s="97" t="s">
        <v>1955</v>
      </c>
      <c r="J9" s="97" t="s">
        <v>1949</v>
      </c>
      <c r="K9" s="100">
        <v>54000</v>
      </c>
    </row>
    <row r="10" spans="1:11">
      <c r="A10" s="134"/>
      <c r="B10" s="97">
        <v>7</v>
      </c>
      <c r="C10" s="97"/>
      <c r="D10" s="97"/>
      <c r="E10" s="97"/>
      <c r="F10" s="188"/>
      <c r="G10" s="188"/>
      <c r="H10" s="134"/>
      <c r="I10" s="97" t="s">
        <v>1954</v>
      </c>
      <c r="J10" s="97" t="s">
        <v>1949</v>
      </c>
      <c r="K10" s="100">
        <v>135000</v>
      </c>
    </row>
    <row r="11" spans="1:11">
      <c r="A11" s="134"/>
      <c r="B11" s="287" t="s">
        <v>1953</v>
      </c>
      <c r="C11" s="288"/>
      <c r="D11" s="289"/>
      <c r="E11" s="97"/>
      <c r="F11" s="97"/>
      <c r="G11" s="187">
        <f>SUM(G4:G10)</f>
        <v>0</v>
      </c>
      <c r="H11" s="134"/>
      <c r="I11" s="97" t="s">
        <v>1952</v>
      </c>
      <c r="J11" s="97" t="s">
        <v>1949</v>
      </c>
      <c r="K11" s="100">
        <v>113000</v>
      </c>
    </row>
    <row r="12" spans="1:11">
      <c r="A12" s="134"/>
      <c r="B12" s="134"/>
      <c r="C12" s="134"/>
      <c r="D12" s="134"/>
      <c r="E12" s="134"/>
      <c r="F12" s="134"/>
      <c r="G12" s="134"/>
      <c r="H12" s="134"/>
      <c r="I12" s="97" t="s">
        <v>1951</v>
      </c>
      <c r="J12" s="97" t="s">
        <v>1949</v>
      </c>
      <c r="K12" s="100">
        <v>114000</v>
      </c>
    </row>
    <row r="13" spans="1:11">
      <c r="A13" s="134"/>
      <c r="B13" s="134"/>
      <c r="C13" s="134"/>
      <c r="D13" s="134"/>
      <c r="E13" s="134"/>
      <c r="F13" s="134"/>
      <c r="G13" s="134"/>
      <c r="H13" s="134"/>
      <c r="I13" s="97" t="s">
        <v>1950</v>
      </c>
      <c r="J13" s="97" t="s">
        <v>1949</v>
      </c>
      <c r="K13" s="100">
        <v>192000</v>
      </c>
    </row>
  </sheetData>
  <mergeCells count="2">
    <mergeCell ref="I2:K2"/>
    <mergeCell ref="B11:D11"/>
  </mergeCells>
  <phoneticPr fontId="2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K13"/>
  <sheetViews>
    <sheetView workbookViewId="0"/>
  </sheetViews>
  <sheetFormatPr defaultColWidth="9" defaultRowHeight="17"/>
  <cols>
    <col min="7" max="7" width="12.33203125" bestFit="1" customWidth="1"/>
  </cols>
  <sheetData>
    <row r="1" spans="1:11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>
      <c r="A2" s="134"/>
      <c r="B2" s="134"/>
      <c r="C2" s="134"/>
      <c r="D2" s="134"/>
      <c r="E2" s="134"/>
      <c r="F2" s="134"/>
      <c r="G2" s="134"/>
      <c r="H2" s="134"/>
      <c r="I2" s="286" t="s">
        <v>1972</v>
      </c>
      <c r="J2" s="286"/>
      <c r="K2" s="286"/>
    </row>
    <row r="3" spans="1:11">
      <c r="A3" s="134"/>
      <c r="B3" s="189" t="s">
        <v>1971</v>
      </c>
      <c r="C3" s="189" t="s">
        <v>1970</v>
      </c>
      <c r="D3" s="189" t="s">
        <v>1969</v>
      </c>
      <c r="E3" s="190" t="s">
        <v>1968</v>
      </c>
      <c r="F3" s="189" t="s">
        <v>1967</v>
      </c>
      <c r="G3" s="189" t="s">
        <v>1966</v>
      </c>
      <c r="H3" s="134"/>
      <c r="I3" s="97" t="s">
        <v>1965</v>
      </c>
      <c r="J3" s="97" t="s">
        <v>1964</v>
      </c>
      <c r="K3" s="97" t="s">
        <v>1963</v>
      </c>
    </row>
    <row r="4" spans="1:11">
      <c r="A4" s="134"/>
      <c r="B4" s="97">
        <v>1</v>
      </c>
      <c r="C4" s="97" t="s">
        <v>1962</v>
      </c>
      <c r="D4" s="97" t="str">
        <f t="shared" ref="D4:D10" si="0">IF(ISBLANK(C4),"",VLOOKUP(C4,$I$4:$K$13,2,0))</f>
        <v>Box</v>
      </c>
      <c r="E4" s="188">
        <v>10</v>
      </c>
      <c r="F4" s="188">
        <f t="shared" ref="F4:F10" si="1">IF(ISBLANK(C4),"",VLOOKUP(C4,$I$4:$K$13,3,0))</f>
        <v>235000</v>
      </c>
      <c r="G4" s="188">
        <f t="shared" ref="G4:G10" si="2">IF(ISERROR(E4*F4),"",E4*F4)</f>
        <v>2350000</v>
      </c>
      <c r="H4" s="134"/>
      <c r="I4" s="97" t="s">
        <v>1962</v>
      </c>
      <c r="J4" s="97" t="s">
        <v>1956</v>
      </c>
      <c r="K4" s="100">
        <v>235000</v>
      </c>
    </row>
    <row r="5" spans="1:11">
      <c r="A5" s="134"/>
      <c r="B5" s="97">
        <v>2</v>
      </c>
      <c r="C5" s="97" t="s">
        <v>1961</v>
      </c>
      <c r="D5" s="97" t="str">
        <f t="shared" si="0"/>
        <v>개</v>
      </c>
      <c r="E5" s="188">
        <v>15</v>
      </c>
      <c r="F5" s="188">
        <f t="shared" si="1"/>
        <v>203000</v>
      </c>
      <c r="G5" s="188">
        <f t="shared" si="2"/>
        <v>3045000</v>
      </c>
      <c r="H5" s="134"/>
      <c r="I5" s="97" t="s">
        <v>1960</v>
      </c>
      <c r="J5" s="97" t="s">
        <v>1949</v>
      </c>
      <c r="K5" s="100">
        <v>127000</v>
      </c>
    </row>
    <row r="6" spans="1:11">
      <c r="A6" s="134"/>
      <c r="B6" s="97">
        <v>3</v>
      </c>
      <c r="C6" s="97"/>
      <c r="D6" s="97" t="str">
        <f t="shared" si="0"/>
        <v/>
      </c>
      <c r="E6" s="188"/>
      <c r="F6" s="188" t="str">
        <f t="shared" si="1"/>
        <v/>
      </c>
      <c r="G6" s="188" t="str">
        <f t="shared" si="2"/>
        <v/>
      </c>
      <c r="H6" s="134"/>
      <c r="I6" s="97" t="s">
        <v>1959</v>
      </c>
      <c r="J6" s="97" t="s">
        <v>1949</v>
      </c>
      <c r="K6" s="100">
        <v>203000</v>
      </c>
    </row>
    <row r="7" spans="1:11">
      <c r="A7" s="134"/>
      <c r="B7" s="97">
        <v>4</v>
      </c>
      <c r="C7" s="97"/>
      <c r="D7" s="97" t="str">
        <f t="shared" si="0"/>
        <v/>
      </c>
      <c r="E7" s="188"/>
      <c r="F7" s="188" t="str">
        <f t="shared" si="1"/>
        <v/>
      </c>
      <c r="G7" s="188" t="str">
        <f t="shared" si="2"/>
        <v/>
      </c>
      <c r="H7" s="134"/>
      <c r="I7" s="97" t="s">
        <v>1958</v>
      </c>
      <c r="J7" s="97" t="s">
        <v>1949</v>
      </c>
      <c r="K7" s="100">
        <v>67000</v>
      </c>
    </row>
    <row r="8" spans="1:11">
      <c r="A8" s="134"/>
      <c r="B8" s="97">
        <v>5</v>
      </c>
      <c r="C8" s="97"/>
      <c r="D8" s="97" t="str">
        <f t="shared" si="0"/>
        <v/>
      </c>
      <c r="E8" s="188"/>
      <c r="F8" s="188" t="str">
        <f t="shared" si="1"/>
        <v/>
      </c>
      <c r="G8" s="188" t="str">
        <f t="shared" si="2"/>
        <v/>
      </c>
      <c r="H8" s="134"/>
      <c r="I8" s="97" t="s">
        <v>1957</v>
      </c>
      <c r="J8" s="97" t="s">
        <v>1956</v>
      </c>
      <c r="K8" s="100">
        <v>103000</v>
      </c>
    </row>
    <row r="9" spans="1:11">
      <c r="A9" s="134"/>
      <c r="B9" s="97">
        <v>6</v>
      </c>
      <c r="C9" s="97"/>
      <c r="D9" s="97" t="str">
        <f t="shared" si="0"/>
        <v/>
      </c>
      <c r="E9" s="188"/>
      <c r="F9" s="188" t="str">
        <f t="shared" si="1"/>
        <v/>
      </c>
      <c r="G9" s="188" t="str">
        <f t="shared" si="2"/>
        <v/>
      </c>
      <c r="H9" s="134"/>
      <c r="I9" s="97" t="s">
        <v>1955</v>
      </c>
      <c r="J9" s="97" t="s">
        <v>1949</v>
      </c>
      <c r="K9" s="100">
        <v>54000</v>
      </c>
    </row>
    <row r="10" spans="1:11">
      <c r="A10" s="134"/>
      <c r="B10" s="97">
        <v>7</v>
      </c>
      <c r="C10" s="97"/>
      <c r="D10" s="97" t="str">
        <f t="shared" si="0"/>
        <v/>
      </c>
      <c r="E10" s="97"/>
      <c r="F10" s="188" t="str">
        <f t="shared" si="1"/>
        <v/>
      </c>
      <c r="G10" s="188" t="str">
        <f t="shared" si="2"/>
        <v/>
      </c>
      <c r="H10" s="134"/>
      <c r="I10" s="97" t="s">
        <v>1954</v>
      </c>
      <c r="J10" s="97" t="s">
        <v>1949</v>
      </c>
      <c r="K10" s="100">
        <v>135000</v>
      </c>
    </row>
    <row r="11" spans="1:11">
      <c r="A11" s="134"/>
      <c r="B11" s="287" t="s">
        <v>1953</v>
      </c>
      <c r="C11" s="288"/>
      <c r="D11" s="289"/>
      <c r="E11" s="97"/>
      <c r="F11" s="97"/>
      <c r="G11" s="187">
        <f>SUM(G4:G10)</f>
        <v>5395000</v>
      </c>
      <c r="H11" s="134"/>
      <c r="I11" s="97" t="s">
        <v>1952</v>
      </c>
      <c r="J11" s="97" t="s">
        <v>1949</v>
      </c>
      <c r="K11" s="100">
        <v>113000</v>
      </c>
    </row>
    <row r="12" spans="1:11">
      <c r="A12" s="134"/>
      <c r="B12" s="134"/>
      <c r="C12" s="134"/>
      <c r="D12" s="134"/>
      <c r="E12" s="134"/>
      <c r="F12" s="134"/>
      <c r="G12" s="134"/>
      <c r="H12" s="134"/>
      <c r="I12" s="97" t="s">
        <v>1951</v>
      </c>
      <c r="J12" s="97" t="s">
        <v>1949</v>
      </c>
      <c r="K12" s="100">
        <v>114000</v>
      </c>
    </row>
    <row r="13" spans="1:11">
      <c r="A13" s="134"/>
      <c r="B13" s="134"/>
      <c r="C13" s="134"/>
      <c r="D13" s="134"/>
      <c r="E13" s="134"/>
      <c r="F13" s="134"/>
      <c r="G13" s="134"/>
      <c r="H13" s="134"/>
      <c r="I13" s="97" t="s">
        <v>1950</v>
      </c>
      <c r="J13" s="97" t="s">
        <v>1949</v>
      </c>
      <c r="K13" s="100">
        <v>192000</v>
      </c>
    </row>
  </sheetData>
  <mergeCells count="2">
    <mergeCell ref="I2:K2"/>
    <mergeCell ref="B11:D11"/>
  </mergeCells>
  <phoneticPr fontId="2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H18"/>
  <sheetViews>
    <sheetView workbookViewId="0"/>
  </sheetViews>
  <sheetFormatPr defaultColWidth="9" defaultRowHeight="17"/>
  <cols>
    <col min="1" max="1" width="14" customWidth="1"/>
    <col min="2" max="2" width="12.75" customWidth="1"/>
    <col min="3" max="3" width="16" customWidth="1"/>
    <col min="6" max="6" width="15.75" customWidth="1"/>
  </cols>
  <sheetData>
    <row r="1" spans="1:8">
      <c r="A1" s="203" t="s">
        <v>2008</v>
      </c>
      <c r="B1" s="202"/>
      <c r="C1" s="202"/>
      <c r="D1" s="202"/>
      <c r="E1" s="202"/>
      <c r="F1" s="202"/>
      <c r="G1" s="202"/>
      <c r="H1" s="202"/>
    </row>
    <row r="2" spans="1:8">
      <c r="A2" s="201"/>
      <c r="B2" s="200"/>
      <c r="C2" s="200"/>
      <c r="D2" s="200"/>
      <c r="E2" s="200"/>
      <c r="F2" s="200"/>
      <c r="G2" s="200" t="s">
        <v>2007</v>
      </c>
      <c r="H2" s="200" t="s">
        <v>2006</v>
      </c>
    </row>
    <row r="3" spans="1:8">
      <c r="A3" s="199" t="s">
        <v>2005</v>
      </c>
      <c r="B3" s="198" t="s">
        <v>2004</v>
      </c>
      <c r="C3" s="198" t="s">
        <v>2003</v>
      </c>
      <c r="D3" s="198" t="s">
        <v>2002</v>
      </c>
      <c r="E3" s="198" t="s">
        <v>2001</v>
      </c>
      <c r="F3" s="198" t="s">
        <v>2000</v>
      </c>
      <c r="G3" s="198" t="s">
        <v>1999</v>
      </c>
      <c r="H3" s="198" t="s">
        <v>1976</v>
      </c>
    </row>
    <row r="4" spans="1:8">
      <c r="A4" s="196"/>
      <c r="B4" s="97" t="s">
        <v>1998</v>
      </c>
      <c r="C4" s="97" t="s">
        <v>1997</v>
      </c>
      <c r="D4" s="97"/>
      <c r="E4" s="196"/>
      <c r="F4" s="195" t="s">
        <v>1980</v>
      </c>
      <c r="G4" s="97"/>
      <c r="H4" s="194">
        <f t="shared" ref="H4:H12" si="0">$E$15-($E$15*G4)</f>
        <v>20000</v>
      </c>
    </row>
    <row r="5" spans="1:8">
      <c r="A5" s="196"/>
      <c r="B5" s="97" t="s">
        <v>1996</v>
      </c>
      <c r="C5" s="97" t="s">
        <v>1995</v>
      </c>
      <c r="D5" s="97"/>
      <c r="E5" s="196"/>
      <c r="F5" s="197" t="s">
        <v>1975</v>
      </c>
      <c r="G5" s="97"/>
      <c r="H5" s="194">
        <f t="shared" si="0"/>
        <v>20000</v>
      </c>
    </row>
    <row r="6" spans="1:8">
      <c r="A6" s="196"/>
      <c r="B6" s="97" t="s">
        <v>1994</v>
      </c>
      <c r="C6" s="97" t="s">
        <v>1993</v>
      </c>
      <c r="D6" s="97"/>
      <c r="E6" s="196"/>
      <c r="F6" s="195" t="s">
        <v>1980</v>
      </c>
      <c r="G6" s="97"/>
      <c r="H6" s="194">
        <f t="shared" si="0"/>
        <v>20000</v>
      </c>
    </row>
    <row r="7" spans="1:8">
      <c r="A7" s="196"/>
      <c r="B7" s="97" t="s">
        <v>1992</v>
      </c>
      <c r="C7" s="97" t="s">
        <v>1991</v>
      </c>
      <c r="D7" s="97"/>
      <c r="E7" s="196"/>
      <c r="F7" s="195" t="s">
        <v>1980</v>
      </c>
      <c r="G7" s="97"/>
      <c r="H7" s="194">
        <f t="shared" si="0"/>
        <v>20000</v>
      </c>
    </row>
    <row r="8" spans="1:8">
      <c r="A8" s="196"/>
      <c r="B8" s="97" t="s">
        <v>1990</v>
      </c>
      <c r="C8" s="97" t="s">
        <v>1989</v>
      </c>
      <c r="D8" s="97"/>
      <c r="E8" s="196"/>
      <c r="F8" s="195" t="s">
        <v>1980</v>
      </c>
      <c r="G8" s="97"/>
      <c r="H8" s="194">
        <f t="shared" si="0"/>
        <v>20000</v>
      </c>
    </row>
    <row r="9" spans="1:8">
      <c r="A9" s="196"/>
      <c r="B9" s="97" t="s">
        <v>1988</v>
      </c>
      <c r="C9" s="97" t="s">
        <v>1987</v>
      </c>
      <c r="D9" s="97"/>
      <c r="E9" s="196"/>
      <c r="F9" s="97" t="s">
        <v>1974</v>
      </c>
      <c r="G9" s="97"/>
      <c r="H9" s="194">
        <f t="shared" si="0"/>
        <v>20000</v>
      </c>
    </row>
    <row r="10" spans="1:8">
      <c r="A10" s="196"/>
      <c r="B10" s="97" t="s">
        <v>1986</v>
      </c>
      <c r="C10" s="97" t="s">
        <v>1985</v>
      </c>
      <c r="D10" s="97"/>
      <c r="E10" s="196"/>
      <c r="F10" s="195" t="s">
        <v>1973</v>
      </c>
      <c r="G10" s="97"/>
      <c r="H10" s="194">
        <f t="shared" si="0"/>
        <v>20000</v>
      </c>
    </row>
    <row r="11" spans="1:8">
      <c r="A11" s="196"/>
      <c r="B11" s="110" t="s">
        <v>1984</v>
      </c>
      <c r="C11" s="110" t="s">
        <v>1983</v>
      </c>
      <c r="D11" s="97"/>
      <c r="E11" s="196"/>
      <c r="F11" s="195" t="s">
        <v>1980</v>
      </c>
      <c r="G11" s="97"/>
      <c r="H11" s="194">
        <f t="shared" si="0"/>
        <v>20000</v>
      </c>
    </row>
    <row r="12" spans="1:8">
      <c r="A12" s="196"/>
      <c r="B12" s="110" t="s">
        <v>1982</v>
      </c>
      <c r="C12" s="110" t="s">
        <v>1981</v>
      </c>
      <c r="D12" s="97"/>
      <c r="E12" s="196"/>
      <c r="F12" s="195" t="s">
        <v>1980</v>
      </c>
      <c r="G12" s="97"/>
      <c r="H12" s="194">
        <f t="shared" si="0"/>
        <v>20000</v>
      </c>
    </row>
    <row r="13" spans="1:8">
      <c r="A13" s="290" t="s">
        <v>1979</v>
      </c>
      <c r="B13" s="291"/>
      <c r="C13" s="291"/>
      <c r="D13" s="291"/>
      <c r="E13" s="291"/>
      <c r="F13" s="291"/>
      <c r="G13" s="292"/>
      <c r="H13" s="194">
        <f>SUM(H4:H12)</f>
        <v>180000</v>
      </c>
    </row>
    <row r="14" spans="1:8">
      <c r="A14" s="114"/>
      <c r="B14" s="114"/>
      <c r="C14" s="114"/>
      <c r="D14" s="114"/>
      <c r="E14" s="114"/>
      <c r="F14" s="114"/>
      <c r="G14" s="114"/>
      <c r="H14" s="114"/>
    </row>
    <row r="15" spans="1:8">
      <c r="A15" s="112" t="s">
        <v>1978</v>
      </c>
      <c r="B15" s="112" t="s">
        <v>1977</v>
      </c>
      <c r="C15" s="114"/>
      <c r="D15" s="112" t="s">
        <v>1976</v>
      </c>
      <c r="E15" s="127">
        <v>20000</v>
      </c>
      <c r="F15" s="114"/>
      <c r="G15" s="114"/>
      <c r="H15" s="114"/>
    </row>
    <row r="16" spans="1:8">
      <c r="A16" s="193" t="s">
        <v>1975</v>
      </c>
      <c r="B16" s="128">
        <v>0.2</v>
      </c>
      <c r="C16" s="114"/>
      <c r="D16" s="114"/>
      <c r="E16" s="192"/>
      <c r="F16" s="114"/>
      <c r="G16" s="114"/>
      <c r="H16" s="114"/>
    </row>
    <row r="17" spans="1:8">
      <c r="A17" s="97" t="s">
        <v>1974</v>
      </c>
      <c r="B17" s="128">
        <v>0.1</v>
      </c>
      <c r="C17" s="114"/>
      <c r="D17" s="114"/>
      <c r="E17" s="191"/>
      <c r="F17" s="114"/>
      <c r="G17" s="135"/>
      <c r="H17" s="114"/>
    </row>
    <row r="18" spans="1:8">
      <c r="A18" s="97" t="s">
        <v>1973</v>
      </c>
      <c r="B18" s="128">
        <v>0.05</v>
      </c>
      <c r="C18" s="114"/>
      <c r="D18" s="114"/>
      <c r="E18" s="191"/>
      <c r="F18" s="114"/>
      <c r="G18" s="135"/>
      <c r="H18" s="114"/>
    </row>
  </sheetData>
  <mergeCells count="1">
    <mergeCell ref="A13:G13"/>
  </mergeCells>
  <phoneticPr fontId="2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H18"/>
  <sheetViews>
    <sheetView workbookViewId="0"/>
  </sheetViews>
  <sheetFormatPr defaultColWidth="9" defaultRowHeight="17"/>
  <cols>
    <col min="1" max="1" width="14" customWidth="1"/>
    <col min="2" max="2" width="12.75" customWidth="1"/>
    <col min="3" max="3" width="16" customWidth="1"/>
    <col min="6" max="6" width="15.75" customWidth="1"/>
  </cols>
  <sheetData>
    <row r="1" spans="1:8">
      <c r="A1" s="203" t="s">
        <v>2008</v>
      </c>
      <c r="B1" s="202"/>
      <c r="C1" s="202"/>
      <c r="D1" s="202"/>
      <c r="E1" s="202"/>
      <c r="F1" s="202"/>
      <c r="G1" s="202"/>
      <c r="H1" s="202"/>
    </row>
    <row r="2" spans="1:8">
      <c r="A2" s="201"/>
      <c r="B2" s="200"/>
      <c r="C2" s="200"/>
      <c r="D2" s="200"/>
      <c r="E2" s="200"/>
      <c r="F2" s="200"/>
      <c r="G2" s="200" t="s">
        <v>2043</v>
      </c>
      <c r="H2" s="200" t="s">
        <v>2042</v>
      </c>
    </row>
    <row r="3" spans="1:8">
      <c r="A3" s="199" t="s">
        <v>2041</v>
      </c>
      <c r="B3" s="198" t="s">
        <v>2040</v>
      </c>
      <c r="C3" s="198" t="s">
        <v>2039</v>
      </c>
      <c r="D3" s="198" t="s">
        <v>2038</v>
      </c>
      <c r="E3" s="198" t="s">
        <v>2037</v>
      </c>
      <c r="F3" s="198" t="s">
        <v>2036</v>
      </c>
      <c r="G3" s="198" t="s">
        <v>2035</v>
      </c>
      <c r="H3" s="198" t="s">
        <v>2012</v>
      </c>
    </row>
    <row r="4" spans="1:8">
      <c r="A4" s="196" t="str">
        <f t="shared" ref="A4:A12" ca="1" si="0">CELL("contents",$H$2)&amp;"-"&amp;CELL("row",A1)</f>
        <v>A2225-5-1</v>
      </c>
      <c r="B4" s="97" t="s">
        <v>2034</v>
      </c>
      <c r="C4" s="97" t="s">
        <v>2033</v>
      </c>
      <c r="D4" s="97" t="str">
        <f t="shared" ref="D4:D12" si="1">IF(ISODD(MID(C4,8,1)),"남","여")</f>
        <v>여</v>
      </c>
      <c r="E4" s="196" t="str">
        <f t="shared" ref="E4:E12" si="2">IF(ISEVEN(LEFT(C4,2)),"2분단","1분단")</f>
        <v>2분단</v>
      </c>
      <c r="F4" s="195" t="s">
        <v>2016</v>
      </c>
      <c r="G4" s="97">
        <f t="shared" ref="G4:G12" si="3">IF(TYPE(VLOOKUP(F4,$A$16:$B$18,2,FALSE))=1,VLOOKUP(F4,$A$16:$B$18,2,FALSE),0)</f>
        <v>0</v>
      </c>
      <c r="H4" s="194">
        <f t="shared" ref="H4:H12" si="4">$E$15-($E$15*G4)</f>
        <v>20000</v>
      </c>
    </row>
    <row r="5" spans="1:8">
      <c r="A5" s="196" t="str">
        <f t="shared" ca="1" si="0"/>
        <v>A2225-5-2</v>
      </c>
      <c r="B5" s="97" t="s">
        <v>2032</v>
      </c>
      <c r="C5" s="97" t="s">
        <v>2031</v>
      </c>
      <c r="D5" s="97" t="str">
        <f t="shared" si="1"/>
        <v>여</v>
      </c>
      <c r="E5" s="196" t="str">
        <f t="shared" si="2"/>
        <v>1분단</v>
      </c>
      <c r="F5" s="197" t="s">
        <v>2011</v>
      </c>
      <c r="G5" s="97">
        <f t="shared" si="3"/>
        <v>0.2</v>
      </c>
      <c r="H5" s="194">
        <f t="shared" si="4"/>
        <v>16000</v>
      </c>
    </row>
    <row r="6" spans="1:8">
      <c r="A6" s="196" t="str">
        <f t="shared" ca="1" si="0"/>
        <v>A2225-5-3</v>
      </c>
      <c r="B6" s="97" t="s">
        <v>2030</v>
      </c>
      <c r="C6" s="97" t="s">
        <v>2029</v>
      </c>
      <c r="D6" s="97" t="str">
        <f t="shared" si="1"/>
        <v>남</v>
      </c>
      <c r="E6" s="196" t="str">
        <f t="shared" si="2"/>
        <v>2분단</v>
      </c>
      <c r="F6" s="195" t="s">
        <v>2016</v>
      </c>
      <c r="G6" s="97">
        <f t="shared" si="3"/>
        <v>0</v>
      </c>
      <c r="H6" s="194">
        <f t="shared" si="4"/>
        <v>20000</v>
      </c>
    </row>
    <row r="7" spans="1:8">
      <c r="A7" s="196" t="str">
        <f t="shared" ca="1" si="0"/>
        <v>A2225-5-4</v>
      </c>
      <c r="B7" s="97" t="s">
        <v>2028</v>
      </c>
      <c r="C7" s="97" t="s">
        <v>2027</v>
      </c>
      <c r="D7" s="97" t="str">
        <f t="shared" si="1"/>
        <v>여</v>
      </c>
      <c r="E7" s="196" t="str">
        <f t="shared" si="2"/>
        <v>1분단</v>
      </c>
      <c r="F7" s="195" t="s">
        <v>2016</v>
      </c>
      <c r="G7" s="97">
        <f t="shared" si="3"/>
        <v>0</v>
      </c>
      <c r="H7" s="194">
        <f t="shared" si="4"/>
        <v>20000</v>
      </c>
    </row>
    <row r="8" spans="1:8">
      <c r="A8" s="196" t="str">
        <f t="shared" ca="1" si="0"/>
        <v>A2225-5-5</v>
      </c>
      <c r="B8" s="97" t="s">
        <v>2026</v>
      </c>
      <c r="C8" s="97" t="s">
        <v>2025</v>
      </c>
      <c r="D8" s="97" t="str">
        <f t="shared" si="1"/>
        <v>남</v>
      </c>
      <c r="E8" s="196" t="str">
        <f t="shared" si="2"/>
        <v>1분단</v>
      </c>
      <c r="F8" s="195" t="s">
        <v>2016</v>
      </c>
      <c r="G8" s="97">
        <f t="shared" si="3"/>
        <v>0</v>
      </c>
      <c r="H8" s="194">
        <f t="shared" si="4"/>
        <v>20000</v>
      </c>
    </row>
    <row r="9" spans="1:8">
      <c r="A9" s="196" t="str">
        <f t="shared" ca="1" si="0"/>
        <v>A2225-5-6</v>
      </c>
      <c r="B9" s="97" t="s">
        <v>2024</v>
      </c>
      <c r="C9" s="97" t="s">
        <v>2023</v>
      </c>
      <c r="D9" s="97" t="str">
        <f t="shared" si="1"/>
        <v>남</v>
      </c>
      <c r="E9" s="196" t="str">
        <f t="shared" si="2"/>
        <v>2분단</v>
      </c>
      <c r="F9" s="97" t="s">
        <v>2010</v>
      </c>
      <c r="G9" s="97">
        <f t="shared" si="3"/>
        <v>0.1</v>
      </c>
      <c r="H9" s="194">
        <f t="shared" si="4"/>
        <v>18000</v>
      </c>
    </row>
    <row r="10" spans="1:8">
      <c r="A10" s="196" t="str">
        <f t="shared" ca="1" si="0"/>
        <v>A2225-5-7</v>
      </c>
      <c r="B10" s="97" t="s">
        <v>2022</v>
      </c>
      <c r="C10" s="97" t="s">
        <v>2021</v>
      </c>
      <c r="D10" s="97" t="str">
        <f t="shared" si="1"/>
        <v>여</v>
      </c>
      <c r="E10" s="196" t="str">
        <f t="shared" si="2"/>
        <v>2분단</v>
      </c>
      <c r="F10" s="195" t="s">
        <v>2009</v>
      </c>
      <c r="G10" s="97">
        <f t="shared" si="3"/>
        <v>0.05</v>
      </c>
      <c r="H10" s="194">
        <f t="shared" si="4"/>
        <v>19000</v>
      </c>
    </row>
    <row r="11" spans="1:8">
      <c r="A11" s="196" t="str">
        <f t="shared" ca="1" si="0"/>
        <v>A2225-5-8</v>
      </c>
      <c r="B11" s="110" t="s">
        <v>2020</v>
      </c>
      <c r="C11" s="110" t="s">
        <v>2019</v>
      </c>
      <c r="D11" s="97" t="str">
        <f t="shared" si="1"/>
        <v>여</v>
      </c>
      <c r="E11" s="196" t="str">
        <f t="shared" si="2"/>
        <v>1분단</v>
      </c>
      <c r="F11" s="195" t="s">
        <v>2016</v>
      </c>
      <c r="G11" s="97">
        <f t="shared" si="3"/>
        <v>0</v>
      </c>
      <c r="H11" s="194">
        <f t="shared" si="4"/>
        <v>20000</v>
      </c>
    </row>
    <row r="12" spans="1:8">
      <c r="A12" s="196" t="str">
        <f t="shared" ca="1" si="0"/>
        <v>A2225-5-9</v>
      </c>
      <c r="B12" s="110" t="s">
        <v>2018</v>
      </c>
      <c r="C12" s="110" t="s">
        <v>2017</v>
      </c>
      <c r="D12" s="97" t="str">
        <f t="shared" si="1"/>
        <v>여</v>
      </c>
      <c r="E12" s="196" t="str">
        <f t="shared" si="2"/>
        <v>2분단</v>
      </c>
      <c r="F12" s="195" t="s">
        <v>2016</v>
      </c>
      <c r="G12" s="97">
        <f t="shared" si="3"/>
        <v>0</v>
      </c>
      <c r="H12" s="194">
        <f t="shared" si="4"/>
        <v>20000</v>
      </c>
    </row>
    <row r="13" spans="1:8">
      <c r="A13" s="290" t="s">
        <v>2015</v>
      </c>
      <c r="B13" s="291"/>
      <c r="C13" s="291"/>
      <c r="D13" s="291"/>
      <c r="E13" s="291"/>
      <c r="F13" s="291"/>
      <c r="G13" s="292"/>
      <c r="H13" s="194">
        <f>SUM(H4:H12)</f>
        <v>173000</v>
      </c>
    </row>
    <row r="14" spans="1:8">
      <c r="A14" s="114"/>
      <c r="B14" s="114"/>
      <c r="C14" s="114"/>
      <c r="D14" s="114"/>
      <c r="E14" s="114"/>
      <c r="F14" s="114"/>
      <c r="G14" s="114"/>
      <c r="H14" s="114"/>
    </row>
    <row r="15" spans="1:8">
      <c r="A15" s="112" t="s">
        <v>2014</v>
      </c>
      <c r="B15" s="112" t="s">
        <v>2013</v>
      </c>
      <c r="C15" s="114"/>
      <c r="D15" s="112" t="s">
        <v>2012</v>
      </c>
      <c r="E15" s="127">
        <v>20000</v>
      </c>
      <c r="F15" s="114"/>
      <c r="G15" s="114"/>
      <c r="H15" s="114"/>
    </row>
    <row r="16" spans="1:8">
      <c r="A16" s="193" t="s">
        <v>2011</v>
      </c>
      <c r="B16" s="128">
        <v>0.2</v>
      </c>
      <c r="C16" s="114"/>
      <c r="D16" s="114"/>
      <c r="E16" s="192"/>
      <c r="F16" s="114"/>
      <c r="G16" s="114"/>
      <c r="H16" s="114"/>
    </row>
    <row r="17" spans="1:8">
      <c r="A17" s="97" t="s">
        <v>2010</v>
      </c>
      <c r="B17" s="128">
        <v>0.1</v>
      </c>
      <c r="C17" s="114"/>
      <c r="D17" s="114"/>
      <c r="E17" s="191"/>
      <c r="F17" s="114"/>
      <c r="G17" s="135"/>
      <c r="H17" s="114"/>
    </row>
    <row r="18" spans="1:8">
      <c r="A18" s="97" t="s">
        <v>2009</v>
      </c>
      <c r="B18" s="128">
        <v>0.05</v>
      </c>
      <c r="C18" s="114"/>
      <c r="D18" s="114"/>
      <c r="E18" s="191"/>
      <c r="F18" s="114"/>
      <c r="G18" s="135"/>
      <c r="H18" s="114"/>
    </row>
  </sheetData>
  <mergeCells count="1">
    <mergeCell ref="A13:G13"/>
  </mergeCells>
  <phoneticPr fontId="2" type="noConversion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10"/>
  <sheetViews>
    <sheetView workbookViewId="0"/>
  </sheetViews>
  <sheetFormatPr defaultColWidth="9" defaultRowHeight="17"/>
  <sheetData>
    <row r="1" spans="1:3">
      <c r="A1" s="206" t="s">
        <v>825</v>
      </c>
      <c r="B1" s="206" t="s">
        <v>2054</v>
      </c>
      <c r="C1" s="206" t="s">
        <v>2053</v>
      </c>
    </row>
    <row r="2" spans="1:3">
      <c r="A2" s="206" t="s">
        <v>2052</v>
      </c>
      <c r="B2" s="206" t="s">
        <v>2048</v>
      </c>
      <c r="C2" s="205">
        <v>10000</v>
      </c>
    </row>
    <row r="3" spans="1:3">
      <c r="A3" s="206" t="s">
        <v>2051</v>
      </c>
      <c r="B3" s="206" t="s">
        <v>2046</v>
      </c>
      <c r="C3" s="205">
        <v>15000</v>
      </c>
    </row>
    <row r="4" spans="1:3">
      <c r="A4" s="206" t="s">
        <v>2050</v>
      </c>
      <c r="B4" s="206" t="s">
        <v>2046</v>
      </c>
      <c r="C4" s="205">
        <v>10000</v>
      </c>
    </row>
    <row r="5" spans="1:3">
      <c r="A5" s="206" t="s">
        <v>2049</v>
      </c>
      <c r="B5" s="206" t="s">
        <v>2048</v>
      </c>
      <c r="C5" s="205">
        <v>20000</v>
      </c>
    </row>
    <row r="6" spans="1:3">
      <c r="A6" s="206" t="s">
        <v>2047</v>
      </c>
      <c r="B6" s="206" t="s">
        <v>2046</v>
      </c>
      <c r="C6" s="205">
        <v>17000</v>
      </c>
    </row>
    <row r="7" spans="1:3">
      <c r="A7" s="204"/>
      <c r="B7" s="204"/>
      <c r="C7" s="204"/>
    </row>
    <row r="8" spans="1:3">
      <c r="A8" s="293" t="s">
        <v>2045</v>
      </c>
      <c r="B8" s="293"/>
      <c r="C8" s="10"/>
    </row>
    <row r="9" spans="1:3">
      <c r="A9" s="204"/>
      <c r="B9" s="204"/>
      <c r="C9" s="204"/>
    </row>
    <row r="10" spans="1:3">
      <c r="A10" s="293" t="s">
        <v>2044</v>
      </c>
      <c r="B10" s="293"/>
      <c r="C10" s="10"/>
    </row>
  </sheetData>
  <mergeCells count="2">
    <mergeCell ref="A8:B8"/>
    <mergeCell ref="A10:B10"/>
  </mergeCells>
  <phoneticPr fontId="2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10"/>
  <sheetViews>
    <sheetView workbookViewId="0"/>
  </sheetViews>
  <sheetFormatPr defaultColWidth="9" defaultRowHeight="17"/>
  <sheetData>
    <row r="1" spans="1:3">
      <c r="A1" s="206" t="s">
        <v>825</v>
      </c>
      <c r="B1" s="206" t="s">
        <v>2054</v>
      </c>
      <c r="C1" s="206" t="s">
        <v>2053</v>
      </c>
    </row>
    <row r="2" spans="1:3">
      <c r="A2" s="206" t="s">
        <v>2052</v>
      </c>
      <c r="B2" s="206" t="s">
        <v>2048</v>
      </c>
      <c r="C2" s="205">
        <v>10000</v>
      </c>
    </row>
    <row r="3" spans="1:3">
      <c r="A3" s="206" t="s">
        <v>2051</v>
      </c>
      <c r="B3" s="206" t="s">
        <v>2046</v>
      </c>
      <c r="C3" s="205">
        <v>15000</v>
      </c>
    </row>
    <row r="4" spans="1:3">
      <c r="A4" s="206" t="s">
        <v>2050</v>
      </c>
      <c r="B4" s="206" t="s">
        <v>2046</v>
      </c>
      <c r="C4" s="205">
        <v>10000</v>
      </c>
    </row>
    <row r="5" spans="1:3">
      <c r="A5" s="206" t="s">
        <v>2049</v>
      </c>
      <c r="B5" s="206" t="s">
        <v>2048</v>
      </c>
      <c r="C5" s="205">
        <v>20000</v>
      </c>
    </row>
    <row r="6" spans="1:3">
      <c r="A6" s="206" t="s">
        <v>2047</v>
      </c>
      <c r="B6" s="206" t="s">
        <v>2046</v>
      </c>
      <c r="C6" s="205">
        <v>17000</v>
      </c>
    </row>
    <row r="7" spans="1:3">
      <c r="A7" s="204"/>
      <c r="B7" s="204"/>
      <c r="C7" s="204"/>
    </row>
    <row r="8" spans="1:3">
      <c r="A8" s="293" t="s">
        <v>2045</v>
      </c>
      <c r="B8" s="293"/>
      <c r="C8" s="10">
        <f t="array" ref="C8">SUM((B2:B6="남")*C2:C6)</f>
        <v>42000</v>
      </c>
    </row>
    <row r="9" spans="1:3">
      <c r="A9" s="204"/>
      <c r="B9" s="204"/>
      <c r="C9" s="204"/>
    </row>
    <row r="10" spans="1:3">
      <c r="A10" s="293" t="s">
        <v>2044</v>
      </c>
      <c r="B10" s="293"/>
      <c r="C10" s="10">
        <f t="array" ref="C10">SUM((B2:B6="남")*1)</f>
        <v>3</v>
      </c>
    </row>
  </sheetData>
  <mergeCells count="2">
    <mergeCell ref="A8:B8"/>
    <mergeCell ref="A10:B10"/>
  </mergeCells>
  <phoneticPr fontId="2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F33"/>
  <sheetViews>
    <sheetView workbookViewId="0"/>
  </sheetViews>
  <sheetFormatPr defaultColWidth="9" defaultRowHeight="17"/>
  <cols>
    <col min="2" max="2" width="14" bestFit="1" customWidth="1"/>
  </cols>
  <sheetData>
    <row r="1" spans="1:6">
      <c r="A1" s="45" t="s">
        <v>2093</v>
      </c>
      <c r="B1" s="45"/>
      <c r="C1" s="45"/>
      <c r="D1" s="45"/>
      <c r="E1" s="45"/>
      <c r="F1" s="45"/>
    </row>
    <row r="2" spans="1:6">
      <c r="A2" s="275" t="s">
        <v>2092</v>
      </c>
      <c r="B2" s="275"/>
      <c r="C2" s="275"/>
      <c r="D2" s="14"/>
      <c r="E2" s="45"/>
      <c r="F2" s="45"/>
    </row>
    <row r="3" spans="1:6">
      <c r="A3" s="190" t="s">
        <v>2091</v>
      </c>
      <c r="B3" s="207" t="s">
        <v>2090</v>
      </c>
      <c r="C3" s="207" t="s">
        <v>2089</v>
      </c>
      <c r="D3" s="45"/>
      <c r="E3" s="45"/>
      <c r="F3" s="45"/>
    </row>
    <row r="4" spans="1:6">
      <c r="A4" s="110" t="s">
        <v>2058</v>
      </c>
      <c r="B4" s="110"/>
      <c r="C4" s="110"/>
      <c r="D4" s="45"/>
      <c r="E4" s="14"/>
      <c r="F4" s="45"/>
    </row>
    <row r="5" spans="1:6">
      <c r="A5" s="110" t="s">
        <v>2064</v>
      </c>
      <c r="B5" s="110"/>
      <c r="C5" s="110"/>
      <c r="D5" s="45"/>
      <c r="E5" s="45"/>
      <c r="F5" s="45"/>
    </row>
    <row r="6" spans="1:6">
      <c r="A6" s="110" t="s">
        <v>2061</v>
      </c>
      <c r="B6" s="110"/>
      <c r="C6" s="110"/>
      <c r="D6" s="45"/>
      <c r="E6" s="45"/>
      <c r="F6" s="45"/>
    </row>
    <row r="7" spans="1:6">
      <c r="A7" s="110" t="s">
        <v>2056</v>
      </c>
      <c r="B7" s="110"/>
      <c r="C7" s="110"/>
      <c r="D7" s="45"/>
      <c r="E7" s="45"/>
      <c r="F7" s="45"/>
    </row>
    <row r="8" spans="1:6">
      <c r="A8" s="45"/>
      <c r="B8" s="45"/>
      <c r="C8" s="45"/>
      <c r="D8" s="45"/>
      <c r="E8" s="45"/>
      <c r="F8" s="14"/>
    </row>
    <row r="9" spans="1:6">
      <c r="A9" s="45" t="s">
        <v>2088</v>
      </c>
      <c r="B9" s="45"/>
      <c r="C9" s="45"/>
      <c r="D9" s="45"/>
      <c r="E9" s="45"/>
      <c r="F9" s="45"/>
    </row>
    <row r="10" spans="1:6">
      <c r="A10" s="190" t="s">
        <v>2087</v>
      </c>
      <c r="B10" s="190" t="s">
        <v>2086</v>
      </c>
      <c r="C10" s="190" t="s">
        <v>2085</v>
      </c>
      <c r="D10" s="190" t="s">
        <v>2084</v>
      </c>
      <c r="E10" s="190" t="s">
        <v>2083</v>
      </c>
      <c r="F10" s="190" t="s">
        <v>2082</v>
      </c>
    </row>
    <row r="11" spans="1:6">
      <c r="A11" s="97" t="s">
        <v>2061</v>
      </c>
      <c r="B11" s="97" t="s">
        <v>2081</v>
      </c>
      <c r="C11" s="97">
        <v>82</v>
      </c>
      <c r="D11" s="97">
        <v>56</v>
      </c>
      <c r="E11" s="97">
        <v>77</v>
      </c>
      <c r="F11" s="97">
        <v>91</v>
      </c>
    </row>
    <row r="12" spans="1:6">
      <c r="A12" s="97" t="s">
        <v>2061</v>
      </c>
      <c r="B12" s="97" t="s">
        <v>2080</v>
      </c>
      <c r="C12" s="97">
        <v>85</v>
      </c>
      <c r="D12" s="97">
        <v>70</v>
      </c>
      <c r="E12" s="97">
        <v>78</v>
      </c>
      <c r="F12" s="97">
        <v>62</v>
      </c>
    </row>
    <row r="13" spans="1:6">
      <c r="A13" s="111" t="s">
        <v>2064</v>
      </c>
      <c r="B13" s="97" t="s">
        <v>2079</v>
      </c>
      <c r="C13" s="97">
        <v>91</v>
      </c>
      <c r="D13" s="97">
        <v>62</v>
      </c>
      <c r="E13" s="97">
        <v>70</v>
      </c>
      <c r="F13" s="97">
        <v>82</v>
      </c>
    </row>
    <row r="14" spans="1:6">
      <c r="A14" s="111" t="s">
        <v>2064</v>
      </c>
      <c r="B14" s="97" t="s">
        <v>2078</v>
      </c>
      <c r="C14" s="97">
        <v>92</v>
      </c>
      <c r="D14" s="97">
        <v>90</v>
      </c>
      <c r="E14" s="97">
        <v>78</v>
      </c>
      <c r="F14" s="97">
        <v>85</v>
      </c>
    </row>
    <row r="15" spans="1:6">
      <c r="A15" s="134" t="s">
        <v>2061</v>
      </c>
      <c r="B15" s="97" t="s">
        <v>2077</v>
      </c>
      <c r="C15" s="97">
        <v>87</v>
      </c>
      <c r="D15" s="97">
        <v>85</v>
      </c>
      <c r="E15" s="97">
        <v>82</v>
      </c>
      <c r="F15" s="97">
        <v>70</v>
      </c>
    </row>
    <row r="16" spans="1:6">
      <c r="A16" s="111" t="s">
        <v>2058</v>
      </c>
      <c r="B16" s="97" t="s">
        <v>2076</v>
      </c>
      <c r="C16" s="110">
        <v>78</v>
      </c>
      <c r="D16" s="97">
        <v>68</v>
      </c>
      <c r="E16" s="97">
        <v>78</v>
      </c>
      <c r="F16" s="97">
        <v>91</v>
      </c>
    </row>
    <row r="17" spans="1:6">
      <c r="A17" s="111" t="s">
        <v>2058</v>
      </c>
      <c r="B17" s="97" t="s">
        <v>2075</v>
      </c>
      <c r="C17" s="110">
        <v>77</v>
      </c>
      <c r="D17" s="97">
        <v>78</v>
      </c>
      <c r="E17" s="97">
        <v>82</v>
      </c>
      <c r="F17" s="97">
        <v>91</v>
      </c>
    </row>
    <row r="18" spans="1:6">
      <c r="A18" s="111" t="s">
        <v>2056</v>
      </c>
      <c r="B18" s="97" t="s">
        <v>2074</v>
      </c>
      <c r="C18" s="110">
        <v>77</v>
      </c>
      <c r="D18" s="97">
        <v>78</v>
      </c>
      <c r="E18" s="97">
        <v>76</v>
      </c>
      <c r="F18" s="97">
        <v>80</v>
      </c>
    </row>
    <row r="19" spans="1:6">
      <c r="A19" s="111" t="s">
        <v>2064</v>
      </c>
      <c r="B19" s="97" t="s">
        <v>2073</v>
      </c>
      <c r="C19" s="110">
        <v>96</v>
      </c>
      <c r="D19" s="97">
        <v>82</v>
      </c>
      <c r="E19" s="97">
        <v>78</v>
      </c>
      <c r="F19" s="97">
        <v>56</v>
      </c>
    </row>
    <row r="20" spans="1:6">
      <c r="A20" s="97" t="s">
        <v>2061</v>
      </c>
      <c r="B20" s="97" t="s">
        <v>2072</v>
      </c>
      <c r="C20" s="110">
        <v>84</v>
      </c>
      <c r="D20" s="97">
        <v>78</v>
      </c>
      <c r="E20" s="97">
        <v>69</v>
      </c>
      <c r="F20" s="97">
        <v>70</v>
      </c>
    </row>
    <row r="21" spans="1:6">
      <c r="A21" s="97" t="s">
        <v>2061</v>
      </c>
      <c r="B21" s="97" t="s">
        <v>2071</v>
      </c>
      <c r="C21" s="110">
        <v>75</v>
      </c>
      <c r="D21" s="97">
        <v>79</v>
      </c>
      <c r="E21" s="97">
        <v>82</v>
      </c>
      <c r="F21" s="97">
        <v>82</v>
      </c>
    </row>
    <row r="22" spans="1:6">
      <c r="A22" s="111" t="s">
        <v>2056</v>
      </c>
      <c r="B22" s="97" t="s">
        <v>2070</v>
      </c>
      <c r="C22" s="110">
        <v>72</v>
      </c>
      <c r="D22" s="97">
        <v>92</v>
      </c>
      <c r="E22" s="97">
        <v>95</v>
      </c>
      <c r="F22" s="97">
        <v>90</v>
      </c>
    </row>
    <row r="23" spans="1:6">
      <c r="A23" s="111" t="s">
        <v>2056</v>
      </c>
      <c r="B23" s="97" t="s">
        <v>2069</v>
      </c>
      <c r="C23" s="110">
        <v>88</v>
      </c>
      <c r="D23" s="97">
        <v>95</v>
      </c>
      <c r="E23" s="97">
        <v>89</v>
      </c>
      <c r="F23" s="97">
        <v>82</v>
      </c>
    </row>
    <row r="24" spans="1:6">
      <c r="A24" s="111" t="s">
        <v>2064</v>
      </c>
      <c r="B24" s="97" t="s">
        <v>2068</v>
      </c>
      <c r="C24" s="110">
        <v>92</v>
      </c>
      <c r="D24" s="97">
        <v>68</v>
      </c>
      <c r="E24" s="97">
        <v>77</v>
      </c>
      <c r="F24" s="97">
        <v>75</v>
      </c>
    </row>
    <row r="25" spans="1:6">
      <c r="A25" s="111" t="s">
        <v>2056</v>
      </c>
      <c r="B25" s="97" t="s">
        <v>2067</v>
      </c>
      <c r="C25" s="110">
        <v>84</v>
      </c>
      <c r="D25" s="97">
        <v>56</v>
      </c>
      <c r="E25" s="97">
        <v>67</v>
      </c>
      <c r="F25" s="97">
        <v>87</v>
      </c>
    </row>
    <row r="26" spans="1:6">
      <c r="A26" s="134" t="s">
        <v>2061</v>
      </c>
      <c r="B26" s="97" t="s">
        <v>2066</v>
      </c>
      <c r="C26" s="110">
        <v>97</v>
      </c>
      <c r="D26" s="97">
        <v>89</v>
      </c>
      <c r="E26" s="97">
        <v>88</v>
      </c>
      <c r="F26" s="97">
        <v>77</v>
      </c>
    </row>
    <row r="27" spans="1:6">
      <c r="A27" s="111" t="s">
        <v>2058</v>
      </c>
      <c r="B27" s="97" t="s">
        <v>2065</v>
      </c>
      <c r="C27" s="110">
        <v>88</v>
      </c>
      <c r="D27" s="97">
        <v>69</v>
      </c>
      <c r="E27" s="97">
        <v>72</v>
      </c>
      <c r="F27" s="97">
        <v>68</v>
      </c>
    </row>
    <row r="28" spans="1:6">
      <c r="A28" s="111" t="s">
        <v>2064</v>
      </c>
      <c r="B28" s="97" t="s">
        <v>2063</v>
      </c>
      <c r="C28" s="110">
        <v>88</v>
      </c>
      <c r="D28" s="97">
        <v>91</v>
      </c>
      <c r="E28" s="97">
        <v>78</v>
      </c>
      <c r="F28" s="97">
        <v>85</v>
      </c>
    </row>
    <row r="29" spans="1:6">
      <c r="A29" s="111" t="s">
        <v>2056</v>
      </c>
      <c r="B29" s="97" t="s">
        <v>2062</v>
      </c>
      <c r="C29" s="110">
        <v>66</v>
      </c>
      <c r="D29" s="97">
        <v>92</v>
      </c>
      <c r="E29" s="97">
        <v>90</v>
      </c>
      <c r="F29" s="97">
        <v>97</v>
      </c>
    </row>
    <row r="30" spans="1:6">
      <c r="A30" s="134" t="s">
        <v>2061</v>
      </c>
      <c r="B30" s="97" t="s">
        <v>2060</v>
      </c>
      <c r="C30" s="110">
        <v>92</v>
      </c>
      <c r="D30" s="97">
        <v>68</v>
      </c>
      <c r="E30" s="97">
        <v>91</v>
      </c>
      <c r="F30" s="97">
        <v>91</v>
      </c>
    </row>
    <row r="31" spans="1:6">
      <c r="A31" s="111" t="s">
        <v>2058</v>
      </c>
      <c r="B31" s="97" t="s">
        <v>2059</v>
      </c>
      <c r="C31" s="110">
        <v>81</v>
      </c>
      <c r="D31" s="97">
        <v>78</v>
      </c>
      <c r="E31" s="97">
        <v>82</v>
      </c>
      <c r="F31" s="97">
        <v>77</v>
      </c>
    </row>
    <row r="32" spans="1:6">
      <c r="A32" s="111" t="s">
        <v>2058</v>
      </c>
      <c r="B32" s="97" t="s">
        <v>2057</v>
      </c>
      <c r="C32" s="110">
        <v>76</v>
      </c>
      <c r="D32" s="97">
        <v>82</v>
      </c>
      <c r="E32" s="97">
        <v>80</v>
      </c>
      <c r="F32" s="97">
        <v>75</v>
      </c>
    </row>
    <row r="33" spans="1:6">
      <c r="A33" s="111" t="s">
        <v>2056</v>
      </c>
      <c r="B33" s="97" t="s">
        <v>2055</v>
      </c>
      <c r="C33" s="110">
        <v>98</v>
      </c>
      <c r="D33" s="97">
        <v>98</v>
      </c>
      <c r="E33" s="97">
        <v>90</v>
      </c>
      <c r="F33" s="97">
        <v>80</v>
      </c>
    </row>
  </sheetData>
  <mergeCells count="1">
    <mergeCell ref="A2:C2"/>
  </mergeCells>
  <phoneticPr fontId="2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F33"/>
  <sheetViews>
    <sheetView workbookViewId="0"/>
  </sheetViews>
  <sheetFormatPr defaultColWidth="9" defaultRowHeight="17"/>
  <cols>
    <col min="2" max="2" width="14" bestFit="1" customWidth="1"/>
  </cols>
  <sheetData>
    <row r="1" spans="1:6">
      <c r="A1" s="45" t="s">
        <v>2132</v>
      </c>
      <c r="B1" s="45"/>
      <c r="C1" s="45"/>
      <c r="D1" s="45"/>
      <c r="E1" s="45"/>
      <c r="F1" s="45"/>
    </row>
    <row r="2" spans="1:6">
      <c r="A2" s="275" t="s">
        <v>2131</v>
      </c>
      <c r="B2" s="275"/>
      <c r="C2" s="275"/>
      <c r="D2" s="14"/>
      <c r="E2" s="45"/>
      <c r="F2" s="45"/>
    </row>
    <row r="3" spans="1:6">
      <c r="A3" s="190" t="s">
        <v>2130</v>
      </c>
      <c r="B3" s="207" t="s">
        <v>2129</v>
      </c>
      <c r="C3" s="207" t="s">
        <v>2128</v>
      </c>
      <c r="D3" s="45"/>
      <c r="E3" s="45"/>
      <c r="F3" s="45"/>
    </row>
    <row r="4" spans="1:6">
      <c r="A4" s="110" t="s">
        <v>2097</v>
      </c>
      <c r="B4" s="110">
        <f t="array" ref="B4">AVERAGE(IF($A$11:$A$33=A4,$C$11:$C$33))</f>
        <v>80</v>
      </c>
      <c r="C4" s="110">
        <f t="array" ref="C4">SUM(IF($A$11:$A$33=A4,1))</f>
        <v>5</v>
      </c>
      <c r="D4" s="45"/>
      <c r="E4" s="14"/>
      <c r="F4" s="45"/>
    </row>
    <row r="5" spans="1:6">
      <c r="A5" s="110" t="s">
        <v>2103</v>
      </c>
      <c r="B5" s="110">
        <f t="array" ref="B5">AVERAGE(IF($A$11:$A$33=A5,$C$11:$C$33))</f>
        <v>91.8</v>
      </c>
      <c r="C5" s="110">
        <f t="array" ref="C5">SUM(IF($A$11:$A$33=A5,1))</f>
        <v>5</v>
      </c>
      <c r="D5" s="45"/>
      <c r="E5" s="45"/>
      <c r="F5" s="45"/>
    </row>
    <row r="6" spans="1:6">
      <c r="A6" s="110" t="s">
        <v>2100</v>
      </c>
      <c r="B6" s="110">
        <f t="array" ref="B6">AVERAGE(IF($A$11:$A$33=A6,$C$11:$C$33))</f>
        <v>86</v>
      </c>
      <c r="C6" s="110">
        <f t="array" ref="C6">SUM(IF($A$11:$A$33=A6,1))</f>
        <v>7</v>
      </c>
      <c r="D6" s="45"/>
      <c r="E6" s="45"/>
      <c r="F6" s="45"/>
    </row>
    <row r="7" spans="1:6">
      <c r="A7" s="110" t="s">
        <v>2095</v>
      </c>
      <c r="B7" s="110">
        <f t="array" ref="B7">AVERAGE(IF($A$11:$A$33=A7,$C$11:$C$33))</f>
        <v>80.833333333333329</v>
      </c>
      <c r="C7" s="110">
        <f t="array" ref="C7">SUM(IF($A$11:$A$33=A7,1))</f>
        <v>6</v>
      </c>
      <c r="D7" s="45"/>
      <c r="E7" s="45"/>
      <c r="F7" s="45"/>
    </row>
    <row r="8" spans="1:6">
      <c r="A8" s="45"/>
      <c r="B8" s="45"/>
      <c r="C8" s="45"/>
      <c r="D8" s="45"/>
      <c r="E8" s="45"/>
      <c r="F8" s="14"/>
    </row>
    <row r="9" spans="1:6">
      <c r="A9" s="45" t="s">
        <v>2127</v>
      </c>
      <c r="B9" s="45"/>
      <c r="C9" s="45"/>
      <c r="D9" s="45"/>
      <c r="E9" s="45"/>
      <c r="F9" s="45"/>
    </row>
    <row r="10" spans="1:6">
      <c r="A10" s="190" t="s">
        <v>2126</v>
      </c>
      <c r="B10" s="190" t="s">
        <v>2125</v>
      </c>
      <c r="C10" s="190" t="s">
        <v>2124</v>
      </c>
      <c r="D10" s="190" t="s">
        <v>2123</v>
      </c>
      <c r="E10" s="190" t="s">
        <v>2122</v>
      </c>
      <c r="F10" s="190" t="s">
        <v>2121</v>
      </c>
    </row>
    <row r="11" spans="1:6">
      <c r="A11" s="97" t="s">
        <v>2100</v>
      </c>
      <c r="B11" s="97" t="s">
        <v>2120</v>
      </c>
      <c r="C11" s="97">
        <v>82</v>
      </c>
      <c r="D11" s="97">
        <v>56</v>
      </c>
      <c r="E11" s="97">
        <v>77</v>
      </c>
      <c r="F11" s="97">
        <v>91</v>
      </c>
    </row>
    <row r="12" spans="1:6">
      <c r="A12" s="97" t="s">
        <v>2100</v>
      </c>
      <c r="B12" s="97" t="s">
        <v>2119</v>
      </c>
      <c r="C12" s="97">
        <v>85</v>
      </c>
      <c r="D12" s="97">
        <v>70</v>
      </c>
      <c r="E12" s="97">
        <v>78</v>
      </c>
      <c r="F12" s="97">
        <v>62</v>
      </c>
    </row>
    <row r="13" spans="1:6">
      <c r="A13" s="111" t="s">
        <v>2103</v>
      </c>
      <c r="B13" s="97" t="s">
        <v>2118</v>
      </c>
      <c r="C13" s="97">
        <v>91</v>
      </c>
      <c r="D13" s="97">
        <v>62</v>
      </c>
      <c r="E13" s="97">
        <v>70</v>
      </c>
      <c r="F13" s="97">
        <v>82</v>
      </c>
    </row>
    <row r="14" spans="1:6">
      <c r="A14" s="111" t="s">
        <v>2103</v>
      </c>
      <c r="B14" s="97" t="s">
        <v>2117</v>
      </c>
      <c r="C14" s="97">
        <v>92</v>
      </c>
      <c r="D14" s="97">
        <v>90</v>
      </c>
      <c r="E14" s="97">
        <v>78</v>
      </c>
      <c r="F14" s="97">
        <v>85</v>
      </c>
    </row>
    <row r="15" spans="1:6">
      <c r="A15" s="134" t="s">
        <v>2100</v>
      </c>
      <c r="B15" s="97" t="s">
        <v>2116</v>
      </c>
      <c r="C15" s="97">
        <v>87</v>
      </c>
      <c r="D15" s="97">
        <v>85</v>
      </c>
      <c r="E15" s="97">
        <v>82</v>
      </c>
      <c r="F15" s="97">
        <v>70</v>
      </c>
    </row>
    <row r="16" spans="1:6">
      <c r="A16" s="111" t="s">
        <v>2097</v>
      </c>
      <c r="B16" s="97" t="s">
        <v>2115</v>
      </c>
      <c r="C16" s="110">
        <v>78</v>
      </c>
      <c r="D16" s="97">
        <v>68</v>
      </c>
      <c r="E16" s="97">
        <v>78</v>
      </c>
      <c r="F16" s="97">
        <v>91</v>
      </c>
    </row>
    <row r="17" spans="1:6">
      <c r="A17" s="111" t="s">
        <v>2097</v>
      </c>
      <c r="B17" s="97" t="s">
        <v>2114</v>
      </c>
      <c r="C17" s="110">
        <v>77</v>
      </c>
      <c r="D17" s="97">
        <v>78</v>
      </c>
      <c r="E17" s="97">
        <v>82</v>
      </c>
      <c r="F17" s="97">
        <v>91</v>
      </c>
    </row>
    <row r="18" spans="1:6">
      <c r="A18" s="111" t="s">
        <v>2095</v>
      </c>
      <c r="B18" s="97" t="s">
        <v>2113</v>
      </c>
      <c r="C18" s="110">
        <v>77</v>
      </c>
      <c r="D18" s="97">
        <v>78</v>
      </c>
      <c r="E18" s="97">
        <v>76</v>
      </c>
      <c r="F18" s="97">
        <v>80</v>
      </c>
    </row>
    <row r="19" spans="1:6">
      <c r="A19" s="111" t="s">
        <v>2103</v>
      </c>
      <c r="B19" s="97" t="s">
        <v>2112</v>
      </c>
      <c r="C19" s="110">
        <v>96</v>
      </c>
      <c r="D19" s="97">
        <v>82</v>
      </c>
      <c r="E19" s="97">
        <v>78</v>
      </c>
      <c r="F19" s="97">
        <v>56</v>
      </c>
    </row>
    <row r="20" spans="1:6">
      <c r="A20" s="97" t="s">
        <v>2100</v>
      </c>
      <c r="B20" s="97" t="s">
        <v>2111</v>
      </c>
      <c r="C20" s="110">
        <v>84</v>
      </c>
      <c r="D20" s="97">
        <v>78</v>
      </c>
      <c r="E20" s="97">
        <v>69</v>
      </c>
      <c r="F20" s="97">
        <v>70</v>
      </c>
    </row>
    <row r="21" spans="1:6">
      <c r="A21" s="97" t="s">
        <v>2100</v>
      </c>
      <c r="B21" s="97" t="s">
        <v>2110</v>
      </c>
      <c r="C21" s="110">
        <v>75</v>
      </c>
      <c r="D21" s="97">
        <v>79</v>
      </c>
      <c r="E21" s="97">
        <v>82</v>
      </c>
      <c r="F21" s="97">
        <v>82</v>
      </c>
    </row>
    <row r="22" spans="1:6">
      <c r="A22" s="111" t="s">
        <v>2095</v>
      </c>
      <c r="B22" s="97" t="s">
        <v>2109</v>
      </c>
      <c r="C22" s="110">
        <v>72</v>
      </c>
      <c r="D22" s="97">
        <v>92</v>
      </c>
      <c r="E22" s="97">
        <v>95</v>
      </c>
      <c r="F22" s="97">
        <v>90</v>
      </c>
    </row>
    <row r="23" spans="1:6">
      <c r="A23" s="111" t="s">
        <v>2095</v>
      </c>
      <c r="B23" s="97" t="s">
        <v>2108</v>
      </c>
      <c r="C23" s="110">
        <v>88</v>
      </c>
      <c r="D23" s="97">
        <v>95</v>
      </c>
      <c r="E23" s="97">
        <v>89</v>
      </c>
      <c r="F23" s="97">
        <v>82</v>
      </c>
    </row>
    <row r="24" spans="1:6">
      <c r="A24" s="111" t="s">
        <v>2103</v>
      </c>
      <c r="B24" s="97" t="s">
        <v>2107</v>
      </c>
      <c r="C24" s="110">
        <v>92</v>
      </c>
      <c r="D24" s="97">
        <v>68</v>
      </c>
      <c r="E24" s="97">
        <v>77</v>
      </c>
      <c r="F24" s="97">
        <v>75</v>
      </c>
    </row>
    <row r="25" spans="1:6">
      <c r="A25" s="111" t="s">
        <v>2095</v>
      </c>
      <c r="B25" s="97" t="s">
        <v>2106</v>
      </c>
      <c r="C25" s="110">
        <v>84</v>
      </c>
      <c r="D25" s="97">
        <v>56</v>
      </c>
      <c r="E25" s="97">
        <v>67</v>
      </c>
      <c r="F25" s="97">
        <v>87</v>
      </c>
    </row>
    <row r="26" spans="1:6">
      <c r="A26" s="134" t="s">
        <v>2100</v>
      </c>
      <c r="B26" s="97" t="s">
        <v>2105</v>
      </c>
      <c r="C26" s="110">
        <v>97</v>
      </c>
      <c r="D26" s="97">
        <v>89</v>
      </c>
      <c r="E26" s="97">
        <v>88</v>
      </c>
      <c r="F26" s="97">
        <v>77</v>
      </c>
    </row>
    <row r="27" spans="1:6">
      <c r="A27" s="111" t="s">
        <v>2097</v>
      </c>
      <c r="B27" s="97" t="s">
        <v>2104</v>
      </c>
      <c r="C27" s="110">
        <v>88</v>
      </c>
      <c r="D27" s="97">
        <v>69</v>
      </c>
      <c r="E27" s="97">
        <v>72</v>
      </c>
      <c r="F27" s="97">
        <v>68</v>
      </c>
    </row>
    <row r="28" spans="1:6">
      <c r="A28" s="111" t="s">
        <v>2103</v>
      </c>
      <c r="B28" s="97" t="s">
        <v>2102</v>
      </c>
      <c r="C28" s="110">
        <v>88</v>
      </c>
      <c r="D28" s="97">
        <v>91</v>
      </c>
      <c r="E28" s="97">
        <v>78</v>
      </c>
      <c r="F28" s="97">
        <v>85</v>
      </c>
    </row>
    <row r="29" spans="1:6">
      <c r="A29" s="111" t="s">
        <v>2095</v>
      </c>
      <c r="B29" s="97" t="s">
        <v>2101</v>
      </c>
      <c r="C29" s="110">
        <v>66</v>
      </c>
      <c r="D29" s="97">
        <v>92</v>
      </c>
      <c r="E29" s="97">
        <v>90</v>
      </c>
      <c r="F29" s="97">
        <v>97</v>
      </c>
    </row>
    <row r="30" spans="1:6">
      <c r="A30" s="134" t="s">
        <v>2100</v>
      </c>
      <c r="B30" s="97" t="s">
        <v>2099</v>
      </c>
      <c r="C30" s="110">
        <v>92</v>
      </c>
      <c r="D30" s="97">
        <v>68</v>
      </c>
      <c r="E30" s="97">
        <v>91</v>
      </c>
      <c r="F30" s="97">
        <v>91</v>
      </c>
    </row>
    <row r="31" spans="1:6">
      <c r="A31" s="111" t="s">
        <v>2097</v>
      </c>
      <c r="B31" s="97" t="s">
        <v>2098</v>
      </c>
      <c r="C31" s="110">
        <v>81</v>
      </c>
      <c r="D31" s="97">
        <v>78</v>
      </c>
      <c r="E31" s="97">
        <v>82</v>
      </c>
      <c r="F31" s="97">
        <v>77</v>
      </c>
    </row>
    <row r="32" spans="1:6">
      <c r="A32" s="111" t="s">
        <v>2097</v>
      </c>
      <c r="B32" s="97" t="s">
        <v>2096</v>
      </c>
      <c r="C32" s="110">
        <v>76</v>
      </c>
      <c r="D32" s="97">
        <v>82</v>
      </c>
      <c r="E32" s="97">
        <v>80</v>
      </c>
      <c r="F32" s="97">
        <v>75</v>
      </c>
    </row>
    <row r="33" spans="1:6">
      <c r="A33" s="111" t="s">
        <v>2095</v>
      </c>
      <c r="B33" s="97" t="s">
        <v>2094</v>
      </c>
      <c r="C33" s="110">
        <v>98</v>
      </c>
      <c r="D33" s="97">
        <v>98</v>
      </c>
      <c r="E33" s="97">
        <v>90</v>
      </c>
      <c r="F33" s="97">
        <v>80</v>
      </c>
    </row>
  </sheetData>
  <mergeCells count="1">
    <mergeCell ref="A2:C2"/>
  </mergeCells>
  <phoneticPr fontId="2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U31"/>
  <sheetViews>
    <sheetView workbookViewId="0"/>
  </sheetViews>
  <sheetFormatPr defaultRowHeight="17"/>
  <cols>
    <col min="1" max="1" width="11" bestFit="1" customWidth="1"/>
    <col min="2" max="2" width="11.25" bestFit="1" customWidth="1"/>
    <col min="3" max="3" width="22.75" bestFit="1" customWidth="1"/>
    <col min="4" max="4" width="11" bestFit="1" customWidth="1"/>
    <col min="5" max="5" width="1.58203125" customWidth="1"/>
    <col min="6" max="6" width="10.83203125" customWidth="1"/>
    <col min="7" max="7" width="14.75" customWidth="1"/>
    <col min="8" max="8" width="9" bestFit="1" customWidth="1"/>
    <col min="9" max="9" width="11.75" customWidth="1"/>
    <col min="10" max="10" width="7.08203125" bestFit="1" customWidth="1"/>
    <col min="11" max="11" width="11" bestFit="1" customWidth="1"/>
    <col min="12" max="12" width="1.58203125" customWidth="1"/>
    <col min="15" max="15" width="6.58203125" customWidth="1"/>
    <col min="16" max="16" width="8.83203125" bestFit="1" customWidth="1"/>
    <col min="17" max="17" width="1.58203125" customWidth="1"/>
    <col min="19" max="19" width="13" bestFit="1" customWidth="1"/>
  </cols>
  <sheetData>
    <row r="1" spans="1:21">
      <c r="A1" t="s">
        <v>2232</v>
      </c>
      <c r="F1" t="s">
        <v>1947</v>
      </c>
      <c r="M1" t="s">
        <v>2231</v>
      </c>
    </row>
    <row r="2" spans="1:21">
      <c r="A2" s="116" t="s">
        <v>2224</v>
      </c>
      <c r="B2" s="116" t="s">
        <v>2145</v>
      </c>
      <c r="C2" s="116" t="s">
        <v>2230</v>
      </c>
      <c r="D2" s="116" t="s">
        <v>2229</v>
      </c>
      <c r="F2" s="116" t="s">
        <v>2228</v>
      </c>
      <c r="G2" s="116" t="s">
        <v>2155</v>
      </c>
      <c r="H2" s="116" t="s">
        <v>2227</v>
      </c>
      <c r="I2" s="116" t="s">
        <v>2153</v>
      </c>
      <c r="J2" s="116" t="s">
        <v>2226</v>
      </c>
      <c r="K2" s="116" t="s">
        <v>2225</v>
      </c>
      <c r="M2" s="116" t="s">
        <v>2224</v>
      </c>
      <c r="N2" s="116" t="s">
        <v>2223</v>
      </c>
      <c r="O2" s="116" t="s">
        <v>2222</v>
      </c>
      <c r="P2" s="116" t="s">
        <v>2221</v>
      </c>
      <c r="R2" t="s">
        <v>2220</v>
      </c>
    </row>
    <row r="3" spans="1:21">
      <c r="A3" s="116" t="s">
        <v>2181</v>
      </c>
      <c r="B3" s="116" t="s">
        <v>2137</v>
      </c>
      <c r="C3" s="116" t="s">
        <v>2144</v>
      </c>
      <c r="D3" s="150">
        <v>6800</v>
      </c>
      <c r="E3" s="216"/>
      <c r="F3" s="116" t="s">
        <v>2219</v>
      </c>
      <c r="G3" s="116" t="s">
        <v>2147</v>
      </c>
      <c r="H3" s="215">
        <v>85</v>
      </c>
      <c r="I3" s="151">
        <v>250</v>
      </c>
      <c r="J3" s="151">
        <v>5</v>
      </c>
      <c r="K3" s="151">
        <v>2</v>
      </c>
      <c r="M3" s="116" t="s">
        <v>2218</v>
      </c>
      <c r="N3" s="116" t="s">
        <v>2150</v>
      </c>
      <c r="O3" s="151">
        <v>230</v>
      </c>
      <c r="P3" s="208">
        <v>44656</v>
      </c>
      <c r="R3" s="116" t="s">
        <v>2217</v>
      </c>
      <c r="S3" s="116"/>
      <c r="T3" s="163" t="s">
        <v>2150</v>
      </c>
      <c r="U3" s="163" t="s">
        <v>2133</v>
      </c>
    </row>
    <row r="4" spans="1:21">
      <c r="A4" s="116" t="s">
        <v>2216</v>
      </c>
      <c r="B4" s="116" t="s">
        <v>2140</v>
      </c>
      <c r="C4" s="116" t="s">
        <v>2159</v>
      </c>
      <c r="D4" s="150">
        <v>200000</v>
      </c>
      <c r="F4" s="116" t="s">
        <v>2215</v>
      </c>
      <c r="G4" s="116" t="s">
        <v>2142</v>
      </c>
      <c r="H4" s="215">
        <v>108</v>
      </c>
      <c r="I4" s="151">
        <v>800</v>
      </c>
      <c r="J4" s="151">
        <v>5</v>
      </c>
      <c r="K4" s="151">
        <v>5</v>
      </c>
      <c r="M4" s="116" t="s">
        <v>2214</v>
      </c>
      <c r="N4" s="116" t="s">
        <v>2150</v>
      </c>
      <c r="O4" s="151">
        <v>390</v>
      </c>
      <c r="P4" s="208">
        <v>44601</v>
      </c>
      <c r="R4" s="218">
        <v>0</v>
      </c>
      <c r="S4" s="116">
        <v>200</v>
      </c>
      <c r="T4" s="151"/>
      <c r="U4" s="151"/>
    </row>
    <row r="5" spans="1:21">
      <c r="A5" s="116" t="s">
        <v>2181</v>
      </c>
      <c r="B5" s="116" t="s">
        <v>2213</v>
      </c>
      <c r="C5" s="116" t="s">
        <v>2159</v>
      </c>
      <c r="D5" s="150">
        <v>110000</v>
      </c>
      <c r="E5" s="216"/>
      <c r="F5" s="116" t="s">
        <v>2212</v>
      </c>
      <c r="G5" s="116" t="s">
        <v>2139</v>
      </c>
      <c r="H5" s="215">
        <v>59</v>
      </c>
      <c r="I5" s="151">
        <v>200</v>
      </c>
      <c r="J5" s="151">
        <v>3</v>
      </c>
      <c r="K5" s="151">
        <v>4</v>
      </c>
      <c r="M5" s="116" t="s">
        <v>2211</v>
      </c>
      <c r="N5" s="116" t="s">
        <v>2150</v>
      </c>
      <c r="O5" s="151">
        <v>120</v>
      </c>
      <c r="P5" s="208">
        <v>44904</v>
      </c>
      <c r="R5" s="218">
        <v>201</v>
      </c>
      <c r="S5" s="116">
        <v>300</v>
      </c>
      <c r="T5" s="151"/>
      <c r="U5" s="151"/>
    </row>
    <row r="6" spans="1:21">
      <c r="A6" s="116" t="s">
        <v>2181</v>
      </c>
      <c r="B6" s="116" t="s">
        <v>2137</v>
      </c>
      <c r="C6" s="116" t="s">
        <v>2144</v>
      </c>
      <c r="D6" s="150">
        <v>4500</v>
      </c>
      <c r="F6" s="116" t="s">
        <v>2210</v>
      </c>
      <c r="G6" s="116" t="s">
        <v>2147</v>
      </c>
      <c r="H6" s="215">
        <v>108</v>
      </c>
      <c r="I6" s="151">
        <v>1500</v>
      </c>
      <c r="J6" s="151">
        <v>5</v>
      </c>
      <c r="K6" s="151">
        <v>5</v>
      </c>
      <c r="M6" s="116" t="s">
        <v>2209</v>
      </c>
      <c r="N6" s="116" t="s">
        <v>2150</v>
      </c>
      <c r="O6" s="151">
        <v>350</v>
      </c>
      <c r="P6" s="208">
        <v>44684</v>
      </c>
      <c r="R6" s="218">
        <v>301</v>
      </c>
      <c r="S6" s="116">
        <v>400</v>
      </c>
      <c r="T6" s="151"/>
      <c r="U6" s="151"/>
    </row>
    <row r="7" spans="1:21">
      <c r="A7" s="116" t="s">
        <v>2169</v>
      </c>
      <c r="B7" s="116" t="s">
        <v>2137</v>
      </c>
      <c r="C7" s="116" t="s">
        <v>2201</v>
      </c>
      <c r="D7" s="150">
        <v>123000</v>
      </c>
      <c r="F7" s="116" t="s">
        <v>2208</v>
      </c>
      <c r="G7" s="116" t="s">
        <v>2147</v>
      </c>
      <c r="H7" s="215">
        <v>98</v>
      </c>
      <c r="I7" s="151">
        <v>550</v>
      </c>
      <c r="J7" s="151">
        <v>8</v>
      </c>
      <c r="K7" s="151">
        <v>2</v>
      </c>
      <c r="M7" s="116" t="s">
        <v>2207</v>
      </c>
      <c r="N7" s="116" t="s">
        <v>2133</v>
      </c>
      <c r="O7" s="151">
        <v>150</v>
      </c>
      <c r="P7" s="208">
        <v>44655</v>
      </c>
      <c r="R7" s="218">
        <v>401</v>
      </c>
      <c r="S7" s="116">
        <v>500</v>
      </c>
      <c r="T7" s="151"/>
      <c r="U7" s="151"/>
    </row>
    <row r="8" spans="1:21">
      <c r="A8" s="116" t="s">
        <v>2160</v>
      </c>
      <c r="B8" s="116" t="s">
        <v>2137</v>
      </c>
      <c r="C8" s="116" t="s">
        <v>2144</v>
      </c>
      <c r="D8" s="150">
        <v>53200</v>
      </c>
      <c r="E8" s="216"/>
      <c r="F8" s="116" t="s">
        <v>2206</v>
      </c>
      <c r="G8" s="116" t="s">
        <v>2142</v>
      </c>
      <c r="H8" s="215">
        <v>98</v>
      </c>
      <c r="I8" s="151">
        <v>400</v>
      </c>
      <c r="J8" s="151">
        <v>6</v>
      </c>
      <c r="K8" s="151">
        <v>1</v>
      </c>
      <c r="M8" s="116" t="s">
        <v>2205</v>
      </c>
      <c r="N8" s="116" t="s">
        <v>2150</v>
      </c>
      <c r="O8" s="151">
        <v>452</v>
      </c>
      <c r="P8" s="208">
        <v>44597</v>
      </c>
      <c r="R8" s="218">
        <v>501</v>
      </c>
      <c r="S8" s="116">
        <v>600</v>
      </c>
      <c r="T8" s="151"/>
      <c r="U8" s="151"/>
    </row>
    <row r="9" spans="1:21">
      <c r="A9" s="116" t="s">
        <v>2169</v>
      </c>
      <c r="B9" s="116" t="s">
        <v>2168</v>
      </c>
      <c r="C9" s="116" t="s">
        <v>2204</v>
      </c>
      <c r="D9" s="150">
        <v>31100</v>
      </c>
      <c r="F9" s="116" t="s">
        <v>2203</v>
      </c>
      <c r="G9" s="116" t="s">
        <v>2142</v>
      </c>
      <c r="H9" s="215">
        <v>50</v>
      </c>
      <c r="I9" s="151">
        <v>300</v>
      </c>
      <c r="J9" s="151">
        <v>5</v>
      </c>
      <c r="K9" s="151">
        <v>2</v>
      </c>
      <c r="M9" s="116" t="s">
        <v>2202</v>
      </c>
      <c r="N9" s="116" t="s">
        <v>2133</v>
      </c>
      <c r="O9" s="151">
        <v>210</v>
      </c>
      <c r="P9" s="208">
        <v>44622</v>
      </c>
    </row>
    <row r="10" spans="1:21">
      <c r="A10" s="116" t="s">
        <v>2160</v>
      </c>
      <c r="B10" s="116" t="s">
        <v>2135</v>
      </c>
      <c r="C10" s="116" t="s">
        <v>2201</v>
      </c>
      <c r="D10" s="150">
        <v>62140</v>
      </c>
      <c r="F10" s="116" t="s">
        <v>2200</v>
      </c>
      <c r="G10" s="116" t="s">
        <v>2139</v>
      </c>
      <c r="H10" s="215">
        <v>98</v>
      </c>
      <c r="I10" s="151">
        <v>250</v>
      </c>
      <c r="J10" s="151">
        <v>9</v>
      </c>
      <c r="K10" s="151">
        <v>3</v>
      </c>
      <c r="M10" s="116" t="s">
        <v>2199</v>
      </c>
      <c r="N10" s="116" t="s">
        <v>2133</v>
      </c>
      <c r="O10" s="151">
        <v>215</v>
      </c>
      <c r="P10" s="208">
        <v>44564</v>
      </c>
      <c r="R10" t="s">
        <v>2198</v>
      </c>
    </row>
    <row r="11" spans="1:21">
      <c r="A11" s="116" t="s">
        <v>2172</v>
      </c>
      <c r="B11" s="116" t="s">
        <v>2135</v>
      </c>
      <c r="C11" s="116" t="s">
        <v>2144</v>
      </c>
      <c r="D11" s="150">
        <v>7800</v>
      </c>
      <c r="E11" s="216"/>
      <c r="F11" s="116" t="s">
        <v>2197</v>
      </c>
      <c r="G11" s="116" t="s">
        <v>2139</v>
      </c>
      <c r="H11" s="215">
        <v>69</v>
      </c>
      <c r="I11" s="151">
        <v>350</v>
      </c>
      <c r="J11" s="151">
        <v>4</v>
      </c>
      <c r="K11" s="151">
        <v>4</v>
      </c>
      <c r="M11" s="116" t="s">
        <v>2196</v>
      </c>
      <c r="N11" s="116" t="s">
        <v>2150</v>
      </c>
      <c r="O11" s="151">
        <v>153</v>
      </c>
      <c r="P11" s="208">
        <v>44612</v>
      </c>
      <c r="R11" s="116" t="s">
        <v>2195</v>
      </c>
      <c r="S11" s="163" t="s">
        <v>2194</v>
      </c>
    </row>
    <row r="12" spans="1:21">
      <c r="A12" s="116" t="s">
        <v>2162</v>
      </c>
      <c r="B12" s="116" t="s">
        <v>2135</v>
      </c>
      <c r="C12" s="116" t="s">
        <v>2144</v>
      </c>
      <c r="D12" s="150">
        <v>15000</v>
      </c>
      <c r="E12" s="216"/>
      <c r="F12" s="116" t="s">
        <v>2193</v>
      </c>
      <c r="G12" s="116" t="s">
        <v>2142</v>
      </c>
      <c r="H12" s="215">
        <v>59</v>
      </c>
      <c r="I12" s="151">
        <v>300</v>
      </c>
      <c r="J12" s="151">
        <v>3</v>
      </c>
      <c r="K12" s="151">
        <v>2</v>
      </c>
      <c r="M12" s="116" t="s">
        <v>2192</v>
      </c>
      <c r="N12" s="116" t="s">
        <v>2150</v>
      </c>
      <c r="O12" s="151">
        <v>412</v>
      </c>
      <c r="P12" s="208">
        <v>44598</v>
      </c>
      <c r="R12" s="217">
        <v>1</v>
      </c>
      <c r="S12" s="151"/>
    </row>
    <row r="13" spans="1:21">
      <c r="A13" s="116" t="s">
        <v>2181</v>
      </c>
      <c r="B13" s="116" t="s">
        <v>2140</v>
      </c>
      <c r="C13" s="116" t="s">
        <v>2177</v>
      </c>
      <c r="D13" s="150">
        <v>52500</v>
      </c>
      <c r="F13" s="116" t="s">
        <v>2191</v>
      </c>
      <c r="G13" s="116" t="s">
        <v>2139</v>
      </c>
      <c r="H13" s="215">
        <v>84</v>
      </c>
      <c r="I13" s="151">
        <v>100</v>
      </c>
      <c r="J13" s="151">
        <v>5</v>
      </c>
      <c r="K13" s="151">
        <v>1</v>
      </c>
      <c r="M13" s="116" t="s">
        <v>2190</v>
      </c>
      <c r="N13" s="116" t="s">
        <v>2150</v>
      </c>
      <c r="O13" s="151">
        <v>523</v>
      </c>
      <c r="P13" s="208">
        <v>44684</v>
      </c>
      <c r="R13" s="217">
        <v>2</v>
      </c>
      <c r="S13" s="151"/>
    </row>
    <row r="14" spans="1:21">
      <c r="A14" s="116" t="s">
        <v>2172</v>
      </c>
      <c r="B14" s="116" t="s">
        <v>2140</v>
      </c>
      <c r="C14" s="116" t="s">
        <v>2144</v>
      </c>
      <c r="D14" s="150">
        <v>132000</v>
      </c>
      <c r="F14" s="116" t="s">
        <v>2189</v>
      </c>
      <c r="G14" s="116" t="s">
        <v>2147</v>
      </c>
      <c r="H14" s="215">
        <v>151</v>
      </c>
      <c r="I14" s="151">
        <v>2000</v>
      </c>
      <c r="J14" s="151">
        <v>8</v>
      </c>
      <c r="K14" s="151">
        <v>3</v>
      </c>
      <c r="M14" s="116" t="s">
        <v>2188</v>
      </c>
      <c r="N14" s="116" t="s">
        <v>2133</v>
      </c>
      <c r="O14" s="151">
        <v>352</v>
      </c>
      <c r="P14" s="208">
        <v>44671</v>
      </c>
      <c r="R14" s="217">
        <v>3</v>
      </c>
      <c r="S14" s="151"/>
    </row>
    <row r="15" spans="1:21">
      <c r="A15" s="116" t="s">
        <v>2178</v>
      </c>
      <c r="B15" s="116" t="s">
        <v>2135</v>
      </c>
      <c r="C15" s="116" t="s">
        <v>2159</v>
      </c>
      <c r="D15" s="150">
        <v>200000</v>
      </c>
      <c r="E15" s="216"/>
      <c r="F15" s="116" t="s">
        <v>2187</v>
      </c>
      <c r="G15" s="116" t="s">
        <v>2142</v>
      </c>
      <c r="H15" s="215">
        <v>104</v>
      </c>
      <c r="I15" s="151">
        <v>500</v>
      </c>
      <c r="J15" s="151">
        <v>2</v>
      </c>
      <c r="K15" s="151">
        <v>2</v>
      </c>
      <c r="M15" s="116" t="s">
        <v>2186</v>
      </c>
      <c r="N15" s="116" t="s">
        <v>2133</v>
      </c>
      <c r="O15" s="151">
        <v>321</v>
      </c>
      <c r="P15" s="208">
        <v>44635</v>
      </c>
      <c r="R15" s="217">
        <v>4</v>
      </c>
      <c r="S15" s="151"/>
    </row>
    <row r="16" spans="1:21">
      <c r="A16" s="116" t="s">
        <v>2162</v>
      </c>
      <c r="B16" s="116" t="s">
        <v>2137</v>
      </c>
      <c r="C16" s="116" t="s">
        <v>2144</v>
      </c>
      <c r="D16" s="150">
        <v>12500</v>
      </c>
      <c r="E16" s="216"/>
      <c r="F16" s="116" t="s">
        <v>2185</v>
      </c>
      <c r="G16" s="116" t="s">
        <v>2147</v>
      </c>
      <c r="H16" s="215">
        <v>105</v>
      </c>
      <c r="I16" s="151">
        <v>800</v>
      </c>
      <c r="J16" s="151">
        <v>8</v>
      </c>
      <c r="K16" s="151">
        <v>2</v>
      </c>
      <c r="M16" s="116" t="s">
        <v>2184</v>
      </c>
      <c r="N16" s="116" t="s">
        <v>2133</v>
      </c>
      <c r="O16" s="151">
        <v>214</v>
      </c>
      <c r="P16" s="208">
        <v>44676</v>
      </c>
      <c r="R16" s="217">
        <v>5</v>
      </c>
      <c r="S16" s="151"/>
    </row>
    <row r="17" spans="1:19">
      <c r="A17" s="116" t="s">
        <v>2169</v>
      </c>
      <c r="B17" s="116" t="s">
        <v>2135</v>
      </c>
      <c r="C17" s="116" t="s">
        <v>2177</v>
      </c>
      <c r="D17" s="150">
        <v>123900</v>
      </c>
      <c r="F17" s="116" t="s">
        <v>2183</v>
      </c>
      <c r="G17" s="116" t="s">
        <v>2139</v>
      </c>
      <c r="H17" s="215">
        <v>98</v>
      </c>
      <c r="I17" s="151">
        <v>250</v>
      </c>
      <c r="J17" s="151">
        <v>3</v>
      </c>
      <c r="K17" s="151">
        <v>1</v>
      </c>
      <c r="M17" s="116" t="s">
        <v>2182</v>
      </c>
      <c r="N17" s="116" t="s">
        <v>2133</v>
      </c>
      <c r="O17" s="151">
        <v>251</v>
      </c>
      <c r="P17" s="208">
        <v>44711</v>
      </c>
      <c r="R17" s="217">
        <v>6</v>
      </c>
      <c r="S17" s="151"/>
    </row>
    <row r="18" spans="1:19">
      <c r="A18" s="116" t="s">
        <v>2181</v>
      </c>
      <c r="B18" s="116" t="s">
        <v>2135</v>
      </c>
      <c r="C18" s="116" t="s">
        <v>2159</v>
      </c>
      <c r="D18" s="150">
        <v>110000</v>
      </c>
      <c r="F18" s="116" t="s">
        <v>2180</v>
      </c>
      <c r="G18" s="116" t="s">
        <v>2147</v>
      </c>
      <c r="H18" s="215">
        <v>69</v>
      </c>
      <c r="I18" s="151">
        <v>450</v>
      </c>
      <c r="J18" s="151">
        <v>2</v>
      </c>
      <c r="K18" s="151">
        <v>5</v>
      </c>
      <c r="M18" s="116" t="s">
        <v>2179</v>
      </c>
      <c r="N18" s="116" t="s">
        <v>2133</v>
      </c>
      <c r="O18" s="151">
        <v>360</v>
      </c>
      <c r="P18" s="208">
        <v>44611</v>
      </c>
    </row>
    <row r="19" spans="1:19">
      <c r="A19" s="116" t="s">
        <v>2178</v>
      </c>
      <c r="B19" s="116" t="s">
        <v>2140</v>
      </c>
      <c r="C19" s="116" t="s">
        <v>2177</v>
      </c>
      <c r="D19" s="150">
        <v>62400</v>
      </c>
      <c r="F19" s="116" t="s">
        <v>2176</v>
      </c>
      <c r="G19" s="116" t="s">
        <v>2147</v>
      </c>
      <c r="H19" s="215">
        <v>105</v>
      </c>
      <c r="I19" s="151">
        <v>1500</v>
      </c>
      <c r="J19" s="151">
        <v>9</v>
      </c>
      <c r="K19" s="151">
        <v>3</v>
      </c>
      <c r="M19" s="116" t="s">
        <v>2175</v>
      </c>
      <c r="N19" s="116" t="s">
        <v>2150</v>
      </c>
      <c r="O19" s="151">
        <v>394</v>
      </c>
      <c r="P19" s="208">
        <v>44722</v>
      </c>
    </row>
    <row r="20" spans="1:19">
      <c r="A20" s="116" t="s">
        <v>2162</v>
      </c>
      <c r="B20" s="116" t="s">
        <v>2135</v>
      </c>
      <c r="C20" s="116" t="s">
        <v>2144</v>
      </c>
      <c r="D20" s="150">
        <v>3400</v>
      </c>
      <c r="E20" s="216"/>
      <c r="F20" s="116" t="s">
        <v>2174</v>
      </c>
      <c r="G20" s="116" t="s">
        <v>2139</v>
      </c>
      <c r="H20" s="215">
        <v>113</v>
      </c>
      <c r="I20" s="151">
        <v>500</v>
      </c>
      <c r="J20" s="151">
        <v>9</v>
      </c>
      <c r="K20" s="151">
        <v>2</v>
      </c>
      <c r="M20" s="116" t="s">
        <v>2173</v>
      </c>
      <c r="N20" s="116" t="s">
        <v>2133</v>
      </c>
      <c r="O20" s="151">
        <v>387</v>
      </c>
      <c r="P20" s="208">
        <v>44707</v>
      </c>
    </row>
    <row r="21" spans="1:19">
      <c r="A21" s="116" t="s">
        <v>2172</v>
      </c>
      <c r="B21" s="116" t="s">
        <v>2135</v>
      </c>
      <c r="C21" s="116" t="s">
        <v>2144</v>
      </c>
      <c r="D21" s="150">
        <v>2900</v>
      </c>
      <c r="E21" s="216"/>
      <c r="F21" s="116" t="s">
        <v>2171</v>
      </c>
      <c r="G21" s="116" t="s">
        <v>2142</v>
      </c>
      <c r="H21" s="215">
        <v>105</v>
      </c>
      <c r="I21" s="151">
        <v>800</v>
      </c>
      <c r="J21" s="151">
        <v>5</v>
      </c>
      <c r="K21" s="151">
        <v>2</v>
      </c>
      <c r="M21" s="116" t="s">
        <v>2170</v>
      </c>
      <c r="N21" s="116" t="s">
        <v>2150</v>
      </c>
      <c r="O21" s="151">
        <v>458</v>
      </c>
      <c r="P21" s="208">
        <v>44639</v>
      </c>
    </row>
    <row r="22" spans="1:19">
      <c r="A22" s="116" t="s">
        <v>2169</v>
      </c>
      <c r="B22" s="116" t="s">
        <v>2168</v>
      </c>
      <c r="C22" s="116" t="s">
        <v>2167</v>
      </c>
      <c r="D22" s="150">
        <v>562000</v>
      </c>
      <c r="F22" s="116" t="s">
        <v>2166</v>
      </c>
      <c r="G22" s="116" t="s">
        <v>2139</v>
      </c>
      <c r="H22" s="215">
        <v>69</v>
      </c>
      <c r="I22" s="151">
        <v>300</v>
      </c>
      <c r="J22" s="151">
        <v>13</v>
      </c>
      <c r="K22" s="151">
        <v>2</v>
      </c>
      <c r="M22" s="116" t="s">
        <v>2165</v>
      </c>
      <c r="N22" s="116" t="s">
        <v>2150</v>
      </c>
      <c r="O22" s="151">
        <v>294</v>
      </c>
      <c r="P22" s="208">
        <v>44640</v>
      </c>
    </row>
    <row r="23" spans="1:19">
      <c r="A23" s="116" t="s">
        <v>2162</v>
      </c>
      <c r="B23" s="116" t="s">
        <v>2135</v>
      </c>
      <c r="C23" s="116" t="s">
        <v>2144</v>
      </c>
      <c r="D23" s="150">
        <v>13900</v>
      </c>
      <c r="F23" s="116" t="s">
        <v>2164</v>
      </c>
      <c r="G23" s="116" t="s">
        <v>2147</v>
      </c>
      <c r="H23" s="215">
        <v>98</v>
      </c>
      <c r="I23" s="151">
        <v>500</v>
      </c>
      <c r="J23" s="151">
        <v>1</v>
      </c>
      <c r="K23" s="151">
        <v>1</v>
      </c>
      <c r="M23" s="116" t="s">
        <v>2163</v>
      </c>
      <c r="N23" s="116" t="s">
        <v>2133</v>
      </c>
      <c r="O23" s="151">
        <v>597</v>
      </c>
      <c r="P23" s="208">
        <v>44591</v>
      </c>
    </row>
    <row r="24" spans="1:19">
      <c r="A24" s="116" t="s">
        <v>2162</v>
      </c>
      <c r="B24" s="116" t="s">
        <v>2135</v>
      </c>
      <c r="C24" s="116" t="s">
        <v>2144</v>
      </c>
      <c r="D24" s="150">
        <v>5700</v>
      </c>
      <c r="M24" s="116" t="s">
        <v>2161</v>
      </c>
      <c r="N24" s="116" t="s">
        <v>2133</v>
      </c>
      <c r="O24" s="151">
        <v>481</v>
      </c>
      <c r="P24" s="208">
        <v>44645</v>
      </c>
    </row>
    <row r="25" spans="1:19">
      <c r="A25" s="116" t="s">
        <v>2160</v>
      </c>
      <c r="B25" s="116" t="s">
        <v>2137</v>
      </c>
      <c r="C25" s="116" t="s">
        <v>2159</v>
      </c>
      <c r="D25" s="150">
        <v>100000</v>
      </c>
      <c r="F25" t="s">
        <v>2158</v>
      </c>
      <c r="I25" t="s">
        <v>2157</v>
      </c>
      <c r="M25" s="116" t="s">
        <v>2156</v>
      </c>
      <c r="N25" s="116" t="s">
        <v>2150</v>
      </c>
      <c r="O25" s="151">
        <v>254</v>
      </c>
      <c r="P25" s="208">
        <v>44680</v>
      </c>
    </row>
    <row r="26" spans="1:19">
      <c r="F26" s="116" t="s">
        <v>2155</v>
      </c>
      <c r="G26" s="214" t="s">
        <v>2154</v>
      </c>
      <c r="I26" s="285" t="s">
        <v>2153</v>
      </c>
      <c r="J26" s="285"/>
      <c r="K26" s="163" t="s">
        <v>2152</v>
      </c>
      <c r="M26" s="116" t="s">
        <v>2151</v>
      </c>
      <c r="N26" s="116" t="s">
        <v>2150</v>
      </c>
      <c r="O26" s="151">
        <v>398</v>
      </c>
      <c r="P26" s="208">
        <v>44707</v>
      </c>
    </row>
    <row r="27" spans="1:19">
      <c r="A27" t="s">
        <v>2149</v>
      </c>
      <c r="B27" s="213" t="s">
        <v>2148</v>
      </c>
      <c r="F27" s="151" t="s">
        <v>2147</v>
      </c>
      <c r="G27" s="151"/>
      <c r="I27" s="211">
        <v>0</v>
      </c>
      <c r="J27" s="116">
        <v>200</v>
      </c>
      <c r="K27" s="209"/>
      <c r="M27" s="116" t="s">
        <v>2146</v>
      </c>
      <c r="N27" s="116" t="s">
        <v>2133</v>
      </c>
      <c r="O27" s="151">
        <v>251</v>
      </c>
      <c r="P27" s="208">
        <v>44722</v>
      </c>
    </row>
    <row r="28" spans="1:19">
      <c r="A28" s="116" t="s">
        <v>2145</v>
      </c>
      <c r="B28" s="163" t="s">
        <v>2144</v>
      </c>
      <c r="C28" s="212" t="s">
        <v>2143</v>
      </c>
      <c r="F28" s="151" t="s">
        <v>2142</v>
      </c>
      <c r="G28" s="151"/>
      <c r="I28" s="211">
        <v>201</v>
      </c>
      <c r="J28" s="116">
        <v>400</v>
      </c>
      <c r="K28" s="209"/>
      <c r="M28" s="116" t="s">
        <v>2141</v>
      </c>
      <c r="N28" s="116" t="s">
        <v>2133</v>
      </c>
      <c r="O28" s="151">
        <v>394</v>
      </c>
      <c r="P28" s="208">
        <v>44689</v>
      </c>
    </row>
    <row r="29" spans="1:19">
      <c r="A29" s="116" t="s">
        <v>2140</v>
      </c>
      <c r="B29" s="116"/>
      <c r="C29" s="150"/>
      <c r="F29" s="151" t="s">
        <v>2139</v>
      </c>
      <c r="G29" s="151"/>
      <c r="I29" s="211">
        <v>401</v>
      </c>
      <c r="J29" s="116">
        <v>600</v>
      </c>
      <c r="K29" s="209"/>
      <c r="M29" s="116" t="s">
        <v>2138</v>
      </c>
      <c r="N29" s="116" t="s">
        <v>2133</v>
      </c>
      <c r="O29" s="151">
        <v>540</v>
      </c>
      <c r="P29" s="208">
        <v>44660</v>
      </c>
    </row>
    <row r="30" spans="1:19">
      <c r="A30" s="116" t="s">
        <v>2137</v>
      </c>
      <c r="B30" s="116"/>
      <c r="C30" s="150"/>
      <c r="I30" s="211">
        <v>601</v>
      </c>
      <c r="J30" s="116">
        <v>1000</v>
      </c>
      <c r="K30" s="209"/>
      <c r="M30" s="116" t="s">
        <v>2136</v>
      </c>
      <c r="N30" s="116" t="s">
        <v>2133</v>
      </c>
      <c r="O30" s="151">
        <v>480</v>
      </c>
      <c r="P30" s="208">
        <v>44622</v>
      </c>
    </row>
    <row r="31" spans="1:19">
      <c r="A31" s="116" t="s">
        <v>2135</v>
      </c>
      <c r="B31" s="116"/>
      <c r="C31" s="150"/>
      <c r="I31" s="211">
        <v>1001</v>
      </c>
      <c r="J31" s="210">
        <v>3000</v>
      </c>
      <c r="K31" s="209"/>
      <c r="M31" s="116" t="s">
        <v>2134</v>
      </c>
      <c r="N31" s="116" t="s">
        <v>2133</v>
      </c>
      <c r="O31" s="151">
        <v>271</v>
      </c>
      <c r="P31" s="208">
        <v>44738</v>
      </c>
    </row>
  </sheetData>
  <mergeCells count="1">
    <mergeCell ref="I26:J26"/>
  </mergeCells>
  <phoneticPr fontId="2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31"/>
  <sheetViews>
    <sheetView workbookViewId="0"/>
  </sheetViews>
  <sheetFormatPr defaultColWidth="9" defaultRowHeight="17"/>
  <cols>
    <col min="1" max="2" width="11" bestFit="1" customWidth="1"/>
    <col min="3" max="3" width="22.75" bestFit="1" customWidth="1"/>
    <col min="4" max="4" width="11" bestFit="1" customWidth="1"/>
    <col min="5" max="5" width="1.58203125" customWidth="1"/>
    <col min="6" max="6" width="10.83203125" customWidth="1"/>
    <col min="7" max="7" width="14.75" customWidth="1"/>
    <col min="8" max="8" width="9" bestFit="1" customWidth="1"/>
    <col min="9" max="9" width="11.75" customWidth="1"/>
    <col min="10" max="10" width="7.08203125" bestFit="1" customWidth="1"/>
    <col min="11" max="11" width="11" bestFit="1" customWidth="1"/>
    <col min="12" max="12" width="1.58203125" customWidth="1"/>
    <col min="15" max="15" width="6.58203125" customWidth="1"/>
    <col min="16" max="16" width="8.83203125" bestFit="1" customWidth="1"/>
    <col min="17" max="17" width="1.58203125" customWidth="1"/>
    <col min="19" max="19" width="13" bestFit="1" customWidth="1"/>
  </cols>
  <sheetData>
    <row r="1" spans="1:21">
      <c r="A1" t="s">
        <v>1672</v>
      </c>
      <c r="F1" t="s">
        <v>1871</v>
      </c>
      <c r="M1" t="s">
        <v>2328</v>
      </c>
    </row>
    <row r="2" spans="1:21">
      <c r="A2" s="116" t="s">
        <v>2321</v>
      </c>
      <c r="B2" s="116" t="s">
        <v>2327</v>
      </c>
      <c r="C2" s="116" t="s">
        <v>2326</v>
      </c>
      <c r="D2" s="116" t="s">
        <v>2325</v>
      </c>
      <c r="F2" s="116" t="s">
        <v>2228</v>
      </c>
      <c r="G2" s="116" t="s">
        <v>2254</v>
      </c>
      <c r="H2" s="116" t="s">
        <v>2324</v>
      </c>
      <c r="I2" s="116" t="s">
        <v>2252</v>
      </c>
      <c r="J2" s="116" t="s">
        <v>2323</v>
      </c>
      <c r="K2" s="116" t="s">
        <v>2322</v>
      </c>
      <c r="M2" s="116" t="s">
        <v>2321</v>
      </c>
      <c r="N2" s="116" t="s">
        <v>2320</v>
      </c>
      <c r="O2" s="116" t="s">
        <v>2319</v>
      </c>
      <c r="P2" s="116" t="s">
        <v>2318</v>
      </c>
      <c r="R2" t="s">
        <v>2317</v>
      </c>
    </row>
    <row r="3" spans="1:21">
      <c r="A3" s="116" t="s">
        <v>2282</v>
      </c>
      <c r="B3" s="116" t="s">
        <v>2260</v>
      </c>
      <c r="C3" s="116" t="s">
        <v>2263</v>
      </c>
      <c r="D3" s="150">
        <v>6800</v>
      </c>
      <c r="E3" s="216"/>
      <c r="F3" s="116" t="s">
        <v>2219</v>
      </c>
      <c r="G3" s="116" t="s">
        <v>2247</v>
      </c>
      <c r="H3" s="215">
        <v>85</v>
      </c>
      <c r="I3" s="151">
        <v>250</v>
      </c>
      <c r="J3" s="151">
        <v>5</v>
      </c>
      <c r="K3" s="151">
        <v>2</v>
      </c>
      <c r="M3" s="116" t="s">
        <v>2316</v>
      </c>
      <c r="N3" s="116" t="s">
        <v>2315</v>
      </c>
      <c r="O3" s="151">
        <v>230</v>
      </c>
      <c r="P3" s="208">
        <v>44656</v>
      </c>
      <c r="R3" s="116" t="s">
        <v>2314</v>
      </c>
      <c r="S3" s="116"/>
      <c r="T3" s="163" t="s">
        <v>2249</v>
      </c>
      <c r="U3" s="163" t="s">
        <v>1341</v>
      </c>
    </row>
    <row r="4" spans="1:21">
      <c r="A4" s="116" t="s">
        <v>2278</v>
      </c>
      <c r="B4" s="116" t="s">
        <v>2311</v>
      </c>
      <c r="C4" s="116" t="s">
        <v>2280</v>
      </c>
      <c r="D4" s="150">
        <v>200000</v>
      </c>
      <c r="F4" s="116" t="s">
        <v>2215</v>
      </c>
      <c r="G4" s="116" t="s">
        <v>2313</v>
      </c>
      <c r="H4" s="215">
        <v>108</v>
      </c>
      <c r="I4" s="151">
        <v>800</v>
      </c>
      <c r="J4" s="151">
        <v>5</v>
      </c>
      <c r="K4" s="151">
        <v>5</v>
      </c>
      <c r="M4" s="116" t="s">
        <v>2312</v>
      </c>
      <c r="N4" s="116" t="s">
        <v>2255</v>
      </c>
      <c r="O4" s="151">
        <v>390</v>
      </c>
      <c r="P4" s="208">
        <v>44601</v>
      </c>
      <c r="R4" s="218">
        <v>0</v>
      </c>
      <c r="S4" s="116">
        <v>200</v>
      </c>
      <c r="T4" s="151">
        <f t="array" ref="T4:T8">FREQUENCY(IF($N$3:$N$31=T$3,$O$3:$O$31),$S$4:$S$8)</f>
        <v>2</v>
      </c>
      <c r="U4" s="151">
        <f t="array" ref="U4:U8">FREQUENCY(IF($N$3:$N$31=U$3,$O$3:$O$31),$S$4:$S$8)</f>
        <v>1</v>
      </c>
    </row>
    <row r="5" spans="1:21">
      <c r="A5" s="116" t="s">
        <v>2292</v>
      </c>
      <c r="B5" s="116" t="s">
        <v>2311</v>
      </c>
      <c r="C5" s="116" t="s">
        <v>2280</v>
      </c>
      <c r="D5" s="150">
        <v>110000</v>
      </c>
      <c r="E5" s="216"/>
      <c r="F5" s="116" t="s">
        <v>2212</v>
      </c>
      <c r="G5" s="116" t="s">
        <v>2267</v>
      </c>
      <c r="H5" s="215">
        <v>59</v>
      </c>
      <c r="I5" s="151">
        <v>200</v>
      </c>
      <c r="J5" s="151">
        <v>3</v>
      </c>
      <c r="K5" s="151">
        <v>4</v>
      </c>
      <c r="M5" s="116" t="s">
        <v>2310</v>
      </c>
      <c r="N5" s="116" t="s">
        <v>2249</v>
      </c>
      <c r="O5" s="151">
        <v>120</v>
      </c>
      <c r="P5" s="208">
        <v>44904</v>
      </c>
      <c r="R5" s="218">
        <v>201</v>
      </c>
      <c r="S5" s="116">
        <v>300</v>
      </c>
      <c r="T5" s="151">
        <v>3</v>
      </c>
      <c r="U5" s="151">
        <v>6</v>
      </c>
    </row>
    <row r="6" spans="1:21">
      <c r="A6" s="116" t="s">
        <v>2282</v>
      </c>
      <c r="B6" s="116" t="s">
        <v>2260</v>
      </c>
      <c r="C6" s="116" t="s">
        <v>2263</v>
      </c>
      <c r="D6" s="150">
        <v>4500</v>
      </c>
      <c r="F6" s="116" t="s">
        <v>2210</v>
      </c>
      <c r="G6" s="116" t="s">
        <v>1296</v>
      </c>
      <c r="H6" s="215">
        <v>108</v>
      </c>
      <c r="I6" s="151">
        <v>1500</v>
      </c>
      <c r="J6" s="151">
        <v>5</v>
      </c>
      <c r="K6" s="151">
        <v>5</v>
      </c>
      <c r="M6" s="116" t="s">
        <v>2309</v>
      </c>
      <c r="N6" s="116" t="s">
        <v>2255</v>
      </c>
      <c r="O6" s="151">
        <v>350</v>
      </c>
      <c r="P6" s="208">
        <v>44684</v>
      </c>
      <c r="R6" s="218">
        <v>301</v>
      </c>
      <c r="S6" s="116">
        <v>400</v>
      </c>
      <c r="T6" s="151">
        <v>4</v>
      </c>
      <c r="U6" s="151">
        <v>5</v>
      </c>
    </row>
    <row r="7" spans="1:21">
      <c r="A7" s="116" t="s">
        <v>2308</v>
      </c>
      <c r="B7" s="116" t="s">
        <v>2260</v>
      </c>
      <c r="C7" s="116" t="s">
        <v>2301</v>
      </c>
      <c r="D7" s="150">
        <v>123000</v>
      </c>
      <c r="F7" s="116" t="s">
        <v>2208</v>
      </c>
      <c r="G7" s="116" t="s">
        <v>1296</v>
      </c>
      <c r="H7" s="215">
        <v>98</v>
      </c>
      <c r="I7" s="151">
        <v>550</v>
      </c>
      <c r="J7" s="151">
        <v>8</v>
      </c>
      <c r="K7" s="151">
        <v>2</v>
      </c>
      <c r="M7" s="116" t="s">
        <v>2307</v>
      </c>
      <c r="N7" s="116" t="s">
        <v>2306</v>
      </c>
      <c r="O7" s="151">
        <v>150</v>
      </c>
      <c r="P7" s="208">
        <v>44655</v>
      </c>
      <c r="R7" s="218">
        <v>401</v>
      </c>
      <c r="S7" s="116">
        <v>500</v>
      </c>
      <c r="T7" s="151">
        <v>3</v>
      </c>
      <c r="U7" s="151">
        <v>2</v>
      </c>
    </row>
    <row r="8" spans="1:21">
      <c r="A8" s="116" t="s">
        <v>2261</v>
      </c>
      <c r="B8" s="116" t="s">
        <v>2260</v>
      </c>
      <c r="C8" s="116" t="s">
        <v>2263</v>
      </c>
      <c r="D8" s="150">
        <v>53200</v>
      </c>
      <c r="E8" s="216"/>
      <c r="F8" s="116" t="s">
        <v>2206</v>
      </c>
      <c r="G8" s="116" t="s">
        <v>2242</v>
      </c>
      <c r="H8" s="215">
        <v>98</v>
      </c>
      <c r="I8" s="151">
        <v>400</v>
      </c>
      <c r="J8" s="151">
        <v>6</v>
      </c>
      <c r="K8" s="151">
        <v>1</v>
      </c>
      <c r="M8" s="116" t="s">
        <v>2305</v>
      </c>
      <c r="N8" s="116" t="s">
        <v>2249</v>
      </c>
      <c r="O8" s="151">
        <v>452</v>
      </c>
      <c r="P8" s="208">
        <v>44597</v>
      </c>
      <c r="R8" s="218">
        <v>501</v>
      </c>
      <c r="S8" s="116">
        <v>600</v>
      </c>
      <c r="T8" s="151">
        <v>1</v>
      </c>
      <c r="U8" s="151">
        <v>2</v>
      </c>
    </row>
    <row r="9" spans="1:21">
      <c r="A9" s="116" t="s">
        <v>2284</v>
      </c>
      <c r="B9" s="116" t="s">
        <v>2304</v>
      </c>
      <c r="C9" s="116" t="s">
        <v>2303</v>
      </c>
      <c r="D9" s="150">
        <v>31100</v>
      </c>
      <c r="F9" s="116" t="s">
        <v>2203</v>
      </c>
      <c r="G9" s="116" t="s">
        <v>2272</v>
      </c>
      <c r="H9" s="215">
        <v>50</v>
      </c>
      <c r="I9" s="151">
        <v>300</v>
      </c>
      <c r="J9" s="151">
        <v>5</v>
      </c>
      <c r="K9" s="151">
        <v>2</v>
      </c>
      <c r="M9" s="116" t="s">
        <v>2302</v>
      </c>
      <c r="N9" s="116" t="s">
        <v>2233</v>
      </c>
      <c r="O9" s="151">
        <v>210</v>
      </c>
      <c r="P9" s="208">
        <v>44622</v>
      </c>
    </row>
    <row r="10" spans="1:21">
      <c r="A10" s="116" t="s">
        <v>2261</v>
      </c>
      <c r="B10" s="116" t="s">
        <v>2281</v>
      </c>
      <c r="C10" s="116" t="s">
        <v>2301</v>
      </c>
      <c r="D10" s="150">
        <v>62140</v>
      </c>
      <c r="F10" s="116" t="s">
        <v>2200</v>
      </c>
      <c r="G10" s="116" t="s">
        <v>2267</v>
      </c>
      <c r="H10" s="215">
        <v>98</v>
      </c>
      <c r="I10" s="151">
        <v>250</v>
      </c>
      <c r="J10" s="151">
        <v>9</v>
      </c>
      <c r="K10" s="151">
        <v>3</v>
      </c>
      <c r="M10" s="116" t="s">
        <v>2300</v>
      </c>
      <c r="N10" s="116" t="s">
        <v>2233</v>
      </c>
      <c r="O10" s="151">
        <v>215</v>
      </c>
      <c r="P10" s="208">
        <v>44564</v>
      </c>
      <c r="R10" t="s">
        <v>2299</v>
      </c>
    </row>
    <row r="11" spans="1:21">
      <c r="A11" s="116" t="s">
        <v>2298</v>
      </c>
      <c r="B11" s="116" t="s">
        <v>2235</v>
      </c>
      <c r="C11" s="116" t="s">
        <v>2297</v>
      </c>
      <c r="D11" s="150">
        <v>7800</v>
      </c>
      <c r="E11" s="216"/>
      <c r="F11" s="116" t="s">
        <v>2197</v>
      </c>
      <c r="G11" s="116" t="s">
        <v>2267</v>
      </c>
      <c r="H11" s="215">
        <v>69</v>
      </c>
      <c r="I11" s="151">
        <v>350</v>
      </c>
      <c r="J11" s="151">
        <v>4</v>
      </c>
      <c r="K11" s="151">
        <v>4</v>
      </c>
      <c r="M11" s="116" t="s">
        <v>2296</v>
      </c>
      <c r="N11" s="116" t="s">
        <v>2249</v>
      </c>
      <c r="O11" s="151">
        <v>153</v>
      </c>
      <c r="P11" s="208">
        <v>44612</v>
      </c>
      <c r="R11" s="116" t="s">
        <v>2295</v>
      </c>
      <c r="S11" s="163" t="s">
        <v>2294</v>
      </c>
    </row>
    <row r="12" spans="1:21">
      <c r="A12" s="116" t="s">
        <v>2264</v>
      </c>
      <c r="B12" s="116" t="s">
        <v>2281</v>
      </c>
      <c r="C12" s="116" t="s">
        <v>2244</v>
      </c>
      <c r="D12" s="150">
        <v>15000</v>
      </c>
      <c r="E12" s="216"/>
      <c r="F12" s="116" t="s">
        <v>2193</v>
      </c>
      <c r="G12" s="116" t="s">
        <v>2272</v>
      </c>
      <c r="H12" s="215">
        <v>59</v>
      </c>
      <c r="I12" s="151">
        <v>300</v>
      </c>
      <c r="J12" s="151">
        <v>3</v>
      </c>
      <c r="K12" s="151">
        <v>2</v>
      </c>
      <c r="M12" s="116" t="s">
        <v>2293</v>
      </c>
      <c r="N12" s="116" t="s">
        <v>2255</v>
      </c>
      <c r="O12" s="151">
        <v>412</v>
      </c>
      <c r="P12" s="208">
        <v>44598</v>
      </c>
      <c r="R12" s="217">
        <v>1</v>
      </c>
      <c r="S12" s="151" t="str">
        <f t="array" ref="S12">REPT("♥",SUM(IF(MONTH($P$3:$P$31)=R12,1)))</f>
        <v>♥♥</v>
      </c>
    </row>
    <row r="13" spans="1:21">
      <c r="A13" s="116" t="s">
        <v>2292</v>
      </c>
      <c r="B13" s="116" t="s">
        <v>2240</v>
      </c>
      <c r="C13" s="116" t="s">
        <v>2276</v>
      </c>
      <c r="D13" s="150">
        <v>52500</v>
      </c>
      <c r="F13" s="116" t="s">
        <v>2191</v>
      </c>
      <c r="G13" s="116" t="s">
        <v>2239</v>
      </c>
      <c r="H13" s="215">
        <v>84</v>
      </c>
      <c r="I13" s="151">
        <v>100</v>
      </c>
      <c r="J13" s="151">
        <v>5</v>
      </c>
      <c r="K13" s="151">
        <v>1</v>
      </c>
      <c r="M13" s="116" t="s">
        <v>2291</v>
      </c>
      <c r="N13" s="116" t="s">
        <v>2255</v>
      </c>
      <c r="O13" s="151">
        <v>523</v>
      </c>
      <c r="P13" s="208">
        <v>44684</v>
      </c>
      <c r="R13" s="217">
        <v>2</v>
      </c>
      <c r="S13" s="151" t="str">
        <f t="array" ref="S13">REPT("♥",SUM(IF(MONTH($P$3:$P$31)=R13,1)))</f>
        <v>♥♥♥♥♥</v>
      </c>
    </row>
    <row r="14" spans="1:21">
      <c r="A14" s="116" t="s">
        <v>2290</v>
      </c>
      <c r="B14" s="116" t="s">
        <v>2277</v>
      </c>
      <c r="C14" s="116" t="s">
        <v>2263</v>
      </c>
      <c r="D14" s="150">
        <v>132000</v>
      </c>
      <c r="F14" s="116" t="s">
        <v>2189</v>
      </c>
      <c r="G14" s="116" t="s">
        <v>2247</v>
      </c>
      <c r="H14" s="215">
        <v>151</v>
      </c>
      <c r="I14" s="151">
        <v>2000</v>
      </c>
      <c r="J14" s="151">
        <v>8</v>
      </c>
      <c r="K14" s="151">
        <v>3</v>
      </c>
      <c r="M14" s="116" t="s">
        <v>2289</v>
      </c>
      <c r="N14" s="116" t="s">
        <v>1341</v>
      </c>
      <c r="O14" s="151">
        <v>352</v>
      </c>
      <c r="P14" s="208">
        <v>44671</v>
      </c>
      <c r="R14" s="217">
        <v>3</v>
      </c>
      <c r="S14" s="151" t="str">
        <f t="array" ref="S14">REPT("♥",SUM(IF(MONTH($P$3:$P$31)=R14,1)))</f>
        <v>♥♥♥♥♥♥</v>
      </c>
    </row>
    <row r="15" spans="1:21">
      <c r="A15" s="116" t="s">
        <v>2288</v>
      </c>
      <c r="B15" s="116" t="s">
        <v>2235</v>
      </c>
      <c r="C15" s="116" t="s">
        <v>2280</v>
      </c>
      <c r="D15" s="150">
        <v>200000</v>
      </c>
      <c r="E15" s="216"/>
      <c r="F15" s="116" t="s">
        <v>2187</v>
      </c>
      <c r="G15" s="116" t="s">
        <v>2272</v>
      </c>
      <c r="H15" s="215">
        <v>104</v>
      </c>
      <c r="I15" s="151">
        <v>500</v>
      </c>
      <c r="J15" s="151">
        <v>2</v>
      </c>
      <c r="K15" s="151">
        <v>2</v>
      </c>
      <c r="M15" s="116" t="s">
        <v>2287</v>
      </c>
      <c r="N15" s="116" t="s">
        <v>2233</v>
      </c>
      <c r="O15" s="151">
        <v>321</v>
      </c>
      <c r="P15" s="208">
        <v>44635</v>
      </c>
      <c r="R15" s="217">
        <v>4</v>
      </c>
      <c r="S15" s="151" t="str">
        <f t="array" ref="S15">REPT("♥",SUM(IF(MONTH($P$3:$P$31)=R15,1)))</f>
        <v>♥♥♥♥♥♥</v>
      </c>
    </row>
    <row r="16" spans="1:21">
      <c r="A16" s="116" t="s">
        <v>2286</v>
      </c>
      <c r="B16" s="116" t="s">
        <v>2237</v>
      </c>
      <c r="C16" s="116" t="s">
        <v>2244</v>
      </c>
      <c r="D16" s="150">
        <v>12500</v>
      </c>
      <c r="E16" s="216"/>
      <c r="F16" s="116" t="s">
        <v>2185</v>
      </c>
      <c r="G16" s="116" t="s">
        <v>1296</v>
      </c>
      <c r="H16" s="215">
        <v>105</v>
      </c>
      <c r="I16" s="151">
        <v>800</v>
      </c>
      <c r="J16" s="151">
        <v>8</v>
      </c>
      <c r="K16" s="151">
        <v>2</v>
      </c>
      <c r="M16" s="116" t="s">
        <v>2285</v>
      </c>
      <c r="N16" s="116" t="s">
        <v>2233</v>
      </c>
      <c r="O16" s="151">
        <v>214</v>
      </c>
      <c r="P16" s="208">
        <v>44676</v>
      </c>
      <c r="R16" s="217">
        <v>5</v>
      </c>
      <c r="S16" s="151" t="str">
        <f t="array" ref="S16">REPT("♥",SUM(IF(MONTH($P$3:$P$31)=R16,1)))</f>
        <v>♥♥♥♥♥♥</v>
      </c>
    </row>
    <row r="17" spans="1:19">
      <c r="A17" s="116" t="s">
        <v>2284</v>
      </c>
      <c r="B17" s="116" t="s">
        <v>2235</v>
      </c>
      <c r="C17" s="116" t="s">
        <v>2276</v>
      </c>
      <c r="D17" s="150">
        <v>123900</v>
      </c>
      <c r="F17" s="116" t="s">
        <v>2183</v>
      </c>
      <c r="G17" s="116" t="s">
        <v>2267</v>
      </c>
      <c r="H17" s="215">
        <v>98</v>
      </c>
      <c r="I17" s="151">
        <v>250</v>
      </c>
      <c r="J17" s="151">
        <v>3</v>
      </c>
      <c r="K17" s="151">
        <v>1</v>
      </c>
      <c r="M17" s="116" t="s">
        <v>2283</v>
      </c>
      <c r="N17" s="116" t="s">
        <v>2233</v>
      </c>
      <c r="O17" s="151">
        <v>251</v>
      </c>
      <c r="P17" s="208">
        <v>44711</v>
      </c>
      <c r="R17" s="217">
        <v>6</v>
      </c>
      <c r="S17" s="151" t="str">
        <f t="array" ref="S17">REPT("♥",SUM(IF(MONTH($P$3:$P$31)=R17,1)))</f>
        <v>♥♥♥</v>
      </c>
    </row>
    <row r="18" spans="1:19">
      <c r="A18" s="116" t="s">
        <v>2282</v>
      </c>
      <c r="B18" s="116" t="s">
        <v>2281</v>
      </c>
      <c r="C18" s="116" t="s">
        <v>2280</v>
      </c>
      <c r="D18" s="150">
        <v>110000</v>
      </c>
      <c r="F18" s="116" t="s">
        <v>2180</v>
      </c>
      <c r="G18" s="116" t="s">
        <v>2247</v>
      </c>
      <c r="H18" s="215">
        <v>69</v>
      </c>
      <c r="I18" s="151">
        <v>450</v>
      </c>
      <c r="J18" s="151">
        <v>2</v>
      </c>
      <c r="K18" s="151">
        <v>5</v>
      </c>
      <c r="M18" s="116" t="s">
        <v>2279</v>
      </c>
      <c r="N18" s="116" t="s">
        <v>2233</v>
      </c>
      <c r="O18" s="151">
        <v>360</v>
      </c>
      <c r="P18" s="208">
        <v>44611</v>
      </c>
    </row>
    <row r="19" spans="1:19">
      <c r="A19" s="116" t="s">
        <v>2278</v>
      </c>
      <c r="B19" s="116" t="s">
        <v>2277</v>
      </c>
      <c r="C19" s="116" t="s">
        <v>2276</v>
      </c>
      <c r="D19" s="150">
        <v>62400</v>
      </c>
      <c r="F19" s="116" t="s">
        <v>2176</v>
      </c>
      <c r="G19" s="116" t="s">
        <v>1296</v>
      </c>
      <c r="H19" s="215">
        <v>105</v>
      </c>
      <c r="I19" s="151">
        <v>1500</v>
      </c>
      <c r="J19" s="151">
        <v>9</v>
      </c>
      <c r="K19" s="151">
        <v>3</v>
      </c>
      <c r="M19" s="116" t="s">
        <v>2275</v>
      </c>
      <c r="N19" s="116" t="s">
        <v>2249</v>
      </c>
      <c r="O19" s="151">
        <v>394</v>
      </c>
      <c r="P19" s="208">
        <v>44722</v>
      </c>
    </row>
    <row r="20" spans="1:19">
      <c r="A20" s="116" t="s">
        <v>2264</v>
      </c>
      <c r="B20" s="116" t="s">
        <v>2235</v>
      </c>
      <c r="C20" s="116" t="s">
        <v>2263</v>
      </c>
      <c r="D20" s="150">
        <v>3400</v>
      </c>
      <c r="E20" s="216"/>
      <c r="F20" s="116" t="s">
        <v>2174</v>
      </c>
      <c r="G20" s="116" t="s">
        <v>2267</v>
      </c>
      <c r="H20" s="215">
        <v>113</v>
      </c>
      <c r="I20" s="151">
        <v>500</v>
      </c>
      <c r="J20" s="151">
        <v>9</v>
      </c>
      <c r="K20" s="151">
        <v>2</v>
      </c>
      <c r="M20" s="116" t="s">
        <v>2274</v>
      </c>
      <c r="N20" s="116" t="s">
        <v>2233</v>
      </c>
      <c r="O20" s="151">
        <v>387</v>
      </c>
      <c r="P20" s="208">
        <v>44707</v>
      </c>
    </row>
    <row r="21" spans="1:19">
      <c r="A21" s="116" t="s">
        <v>2273</v>
      </c>
      <c r="B21" s="116" t="s">
        <v>2235</v>
      </c>
      <c r="C21" s="116" t="s">
        <v>2244</v>
      </c>
      <c r="D21" s="150">
        <v>2900</v>
      </c>
      <c r="E21" s="216"/>
      <c r="F21" s="116" t="s">
        <v>2171</v>
      </c>
      <c r="G21" s="116" t="s">
        <v>2272</v>
      </c>
      <c r="H21" s="215">
        <v>105</v>
      </c>
      <c r="I21" s="151">
        <v>800</v>
      </c>
      <c r="J21" s="151">
        <v>5</v>
      </c>
      <c r="K21" s="151">
        <v>2</v>
      </c>
      <c r="M21" s="116" t="s">
        <v>2271</v>
      </c>
      <c r="N21" s="116" t="s">
        <v>2249</v>
      </c>
      <c r="O21" s="151">
        <v>458</v>
      </c>
      <c r="P21" s="208">
        <v>44639</v>
      </c>
    </row>
    <row r="22" spans="1:19">
      <c r="A22" s="116" t="s">
        <v>2270</v>
      </c>
      <c r="B22" s="116" t="s">
        <v>2269</v>
      </c>
      <c r="C22" s="116" t="s">
        <v>2268</v>
      </c>
      <c r="D22" s="150">
        <v>562000</v>
      </c>
      <c r="F22" s="116" t="s">
        <v>2166</v>
      </c>
      <c r="G22" s="116" t="s">
        <v>2267</v>
      </c>
      <c r="H22" s="215">
        <v>69</v>
      </c>
      <c r="I22" s="151">
        <v>300</v>
      </c>
      <c r="J22" s="151">
        <v>13</v>
      </c>
      <c r="K22" s="151">
        <v>2</v>
      </c>
      <c r="M22" s="116" t="s">
        <v>2266</v>
      </c>
      <c r="N22" s="116" t="s">
        <v>2255</v>
      </c>
      <c r="O22" s="151">
        <v>294</v>
      </c>
      <c r="P22" s="208">
        <v>44640</v>
      </c>
    </row>
    <row r="23" spans="1:19">
      <c r="A23" s="116" t="s">
        <v>2264</v>
      </c>
      <c r="B23" s="116" t="s">
        <v>2235</v>
      </c>
      <c r="C23" s="116" t="s">
        <v>2263</v>
      </c>
      <c r="D23" s="150">
        <v>13900</v>
      </c>
      <c r="F23" s="116" t="s">
        <v>2164</v>
      </c>
      <c r="G23" s="116" t="s">
        <v>2247</v>
      </c>
      <c r="H23" s="215">
        <v>98</v>
      </c>
      <c r="I23" s="151">
        <v>500</v>
      </c>
      <c r="J23" s="151">
        <v>1</v>
      </c>
      <c r="K23" s="151">
        <v>1</v>
      </c>
      <c r="M23" s="116" t="s">
        <v>2265</v>
      </c>
      <c r="N23" s="116" t="s">
        <v>1341</v>
      </c>
      <c r="O23" s="151">
        <v>597</v>
      </c>
      <c r="P23" s="208">
        <v>44591</v>
      </c>
    </row>
    <row r="24" spans="1:19">
      <c r="A24" s="116" t="s">
        <v>2264</v>
      </c>
      <c r="B24" s="116" t="s">
        <v>2235</v>
      </c>
      <c r="C24" s="116" t="s">
        <v>2263</v>
      </c>
      <c r="D24" s="150">
        <v>5700</v>
      </c>
      <c r="M24" s="116" t="s">
        <v>2262</v>
      </c>
      <c r="N24" s="116" t="s">
        <v>2233</v>
      </c>
      <c r="O24" s="151">
        <v>481</v>
      </c>
      <c r="P24" s="208">
        <v>44645</v>
      </c>
    </row>
    <row r="25" spans="1:19">
      <c r="A25" s="116" t="s">
        <v>2261</v>
      </c>
      <c r="B25" s="116" t="s">
        <v>2260</v>
      </c>
      <c r="C25" s="116" t="s">
        <v>2259</v>
      </c>
      <c r="D25" s="150">
        <v>100000</v>
      </c>
      <c r="F25" t="s">
        <v>2258</v>
      </c>
      <c r="I25" t="s">
        <v>2257</v>
      </c>
      <c r="M25" s="116" t="s">
        <v>2256</v>
      </c>
      <c r="N25" s="116" t="s">
        <v>2255</v>
      </c>
      <c r="O25" s="151">
        <v>254</v>
      </c>
      <c r="P25" s="208">
        <v>44680</v>
      </c>
    </row>
    <row r="26" spans="1:19">
      <c r="F26" s="116" t="s">
        <v>2254</v>
      </c>
      <c r="G26" s="214" t="s">
        <v>2253</v>
      </c>
      <c r="I26" s="285" t="s">
        <v>2252</v>
      </c>
      <c r="J26" s="285"/>
      <c r="K26" s="163" t="s">
        <v>2251</v>
      </c>
      <c r="M26" s="116" t="s">
        <v>2250</v>
      </c>
      <c r="N26" s="116" t="s">
        <v>2249</v>
      </c>
      <c r="O26" s="151">
        <v>398</v>
      </c>
      <c r="P26" s="208">
        <v>44707</v>
      </c>
    </row>
    <row r="27" spans="1:19">
      <c r="A27" t="s">
        <v>1673</v>
      </c>
      <c r="B27" s="213" t="s">
        <v>2248</v>
      </c>
      <c r="F27" s="151" t="s">
        <v>2247</v>
      </c>
      <c r="G27" s="151" t="str">
        <f t="array" ref="G27">REPT("■",AVERAGE(IF($G$3:$G$23=F27,$J$3:$J$23)))</f>
        <v>■■■■■</v>
      </c>
      <c r="I27" s="211">
        <v>0</v>
      </c>
      <c r="J27" s="116">
        <v>200</v>
      </c>
      <c r="K27" s="209">
        <f t="array" ref="K27:K31">FREQUENCY(I3:I23,J27:J31)/COUNT(I3:I23)*100</f>
        <v>9.5238095238095237</v>
      </c>
      <c r="M27" s="116" t="s">
        <v>2246</v>
      </c>
      <c r="N27" s="116" t="s">
        <v>1341</v>
      </c>
      <c r="O27" s="151">
        <v>251</v>
      </c>
      <c r="P27" s="208">
        <v>44722</v>
      </c>
    </row>
    <row r="28" spans="1:19">
      <c r="A28" s="116" t="s">
        <v>2245</v>
      </c>
      <c r="B28" s="163" t="s">
        <v>2244</v>
      </c>
      <c r="C28" s="212" t="s">
        <v>2243</v>
      </c>
      <c r="F28" s="151" t="s">
        <v>2242</v>
      </c>
      <c r="G28" s="151" t="str">
        <f t="array" ref="G28">REPT("■",AVERAGE(IF($G$3:$G$23=F28,$J$3:$J$23)))</f>
        <v>■■■■</v>
      </c>
      <c r="I28" s="211">
        <v>201</v>
      </c>
      <c r="J28" s="116">
        <v>400</v>
      </c>
      <c r="K28" s="209">
        <v>38.095238095238095</v>
      </c>
      <c r="M28" s="116" t="s">
        <v>2241</v>
      </c>
      <c r="N28" s="116" t="s">
        <v>1341</v>
      </c>
      <c r="O28" s="151">
        <v>394</v>
      </c>
      <c r="P28" s="208">
        <v>44689</v>
      </c>
    </row>
    <row r="29" spans="1:19">
      <c r="A29" s="116" t="s">
        <v>2240</v>
      </c>
      <c r="B29" s="116" t="str">
        <f t="array" ref="B29">TEXT(SUM(IF(($B$3:$B$25=$A29)*($C$3:$C$25=B$28),$D$3:$D$25)),"#,##0,")</f>
        <v>132</v>
      </c>
      <c r="C29" s="150">
        <f t="array" ref="C29">LARGE(IF($B$3:$B$25=A29,$D$3:$D$25),1)-SMALL(IF($B$3:$B$25=A29,$D$3:$D$25),1)</f>
        <v>147500</v>
      </c>
      <c r="F29" s="151" t="s">
        <v>2239</v>
      </c>
      <c r="G29" s="151" t="str">
        <f t="array" ref="G29">REPT("■",AVERAGE(IF($G$3:$G$23=F29,$J$3:$J$23)))</f>
        <v>■■■■■■</v>
      </c>
      <c r="I29" s="211">
        <v>401</v>
      </c>
      <c r="J29" s="116">
        <v>600</v>
      </c>
      <c r="K29" s="209">
        <v>23.809523809523807</v>
      </c>
      <c r="M29" s="116" t="s">
        <v>2238</v>
      </c>
      <c r="N29" s="116" t="s">
        <v>2233</v>
      </c>
      <c r="O29" s="151">
        <v>540</v>
      </c>
      <c r="P29" s="208">
        <v>44660</v>
      </c>
    </row>
    <row r="30" spans="1:19">
      <c r="A30" s="116" t="s">
        <v>2237</v>
      </c>
      <c r="B30" s="116" t="str">
        <f t="array" ref="B30">TEXT(SUM(IF(($B$3:$B$25=$A30)*($C$3:$C$25=B$28),$D$3:$D$25)),"#,##0,")</f>
        <v>77</v>
      </c>
      <c r="C30" s="150">
        <f t="array" ref="C30">LARGE(IF($B$3:$B$25=A30,$D$3:$D$25),1)-SMALL(IF($B$3:$B$25=A30,$D$3:$D$25),1)</f>
        <v>118500</v>
      </c>
      <c r="I30" s="211">
        <v>601</v>
      </c>
      <c r="J30" s="116">
        <v>1000</v>
      </c>
      <c r="K30" s="209">
        <v>14.285714285714285</v>
      </c>
      <c r="M30" s="116" t="s">
        <v>2236</v>
      </c>
      <c r="N30" s="116" t="s">
        <v>1341</v>
      </c>
      <c r="O30" s="151">
        <v>480</v>
      </c>
      <c r="P30" s="208">
        <v>44622</v>
      </c>
    </row>
    <row r="31" spans="1:19">
      <c r="A31" s="116" t="s">
        <v>2235</v>
      </c>
      <c r="B31" s="116" t="str">
        <f t="array" ref="B31">TEXT(SUM(IF(($B$3:$B$25=$A31)*($C$3:$C$25=B$28),$D$3:$D$25)),"#,##0,")</f>
        <v>49</v>
      </c>
      <c r="C31" s="150">
        <f t="array" ref="C31">LARGE(IF($B$3:$B$25=A31,$D$3:$D$25),1)-SMALL(IF($B$3:$B$25=A31,$D$3:$D$25),1)</f>
        <v>197100</v>
      </c>
      <c r="I31" s="211">
        <v>1001</v>
      </c>
      <c r="J31" s="210">
        <v>3000</v>
      </c>
      <c r="K31" s="209">
        <v>14.285714285714285</v>
      </c>
      <c r="M31" s="116" t="s">
        <v>2234</v>
      </c>
      <c r="N31" s="116" t="s">
        <v>2233</v>
      </c>
      <c r="O31" s="151">
        <v>271</v>
      </c>
      <c r="P31" s="208">
        <v>44738</v>
      </c>
    </row>
  </sheetData>
  <mergeCells count="1">
    <mergeCell ref="I26:J26"/>
  </mergeCells>
  <phoneticPr fontId="2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Z38"/>
  <sheetViews>
    <sheetView workbookViewId="0"/>
  </sheetViews>
  <sheetFormatPr defaultRowHeight="17"/>
  <cols>
    <col min="2" max="2" width="15.08203125" bestFit="1" customWidth="1"/>
    <col min="6" max="6" width="1.58203125" customWidth="1"/>
    <col min="8" max="10" width="10.83203125" bestFit="1" customWidth="1"/>
    <col min="12" max="12" width="1.58203125" customWidth="1"/>
    <col min="15" max="15" width="10.75" bestFit="1" customWidth="1"/>
    <col min="16" max="16" width="1.58203125" customWidth="1"/>
    <col min="18" max="22" width="10.25" bestFit="1" customWidth="1"/>
  </cols>
  <sheetData>
    <row r="1" spans="1:26">
      <c r="A1" t="s">
        <v>2398</v>
      </c>
      <c r="G1" t="s">
        <v>2397</v>
      </c>
      <c r="M1" s="231" t="s">
        <v>2396</v>
      </c>
      <c r="N1" s="45"/>
      <c r="O1" s="237"/>
      <c r="P1" s="26"/>
      <c r="Q1" s="45"/>
      <c r="R1" s="26"/>
      <c r="S1" s="26"/>
      <c r="T1" s="26"/>
      <c r="U1" s="26"/>
      <c r="V1" s="26"/>
      <c r="W1" s="26"/>
      <c r="X1" s="26"/>
      <c r="Y1" s="26"/>
      <c r="Z1" s="26"/>
    </row>
    <row r="2" spans="1:26">
      <c r="A2" s="116" t="s">
        <v>1868</v>
      </c>
      <c r="B2" s="116" t="s">
        <v>2395</v>
      </c>
      <c r="C2" s="116" t="s">
        <v>1867</v>
      </c>
      <c r="D2" s="116" t="s">
        <v>1866</v>
      </c>
      <c r="E2" s="116" t="s">
        <v>1865</v>
      </c>
      <c r="G2" s="97" t="s">
        <v>2394</v>
      </c>
      <c r="H2" s="97" t="s">
        <v>2393</v>
      </c>
      <c r="I2" s="97" t="s">
        <v>2245</v>
      </c>
      <c r="J2" s="97" t="s">
        <v>2392</v>
      </c>
      <c r="K2" s="97" t="s">
        <v>2391</v>
      </c>
      <c r="L2" s="115"/>
      <c r="M2" s="110" t="s">
        <v>2390</v>
      </c>
      <c r="N2" s="110" t="s">
        <v>1784</v>
      </c>
      <c r="O2" s="113" t="s">
        <v>2389</v>
      </c>
      <c r="P2" s="26"/>
      <c r="Q2" s="231" t="s">
        <v>2388</v>
      </c>
      <c r="R2" s="26"/>
      <c r="S2" s="26"/>
      <c r="T2" s="26"/>
      <c r="U2" s="26"/>
      <c r="V2" s="26"/>
      <c r="W2" s="26"/>
      <c r="X2" s="26"/>
      <c r="Y2" s="26"/>
      <c r="Z2" s="26"/>
    </row>
    <row r="3" spans="1:26">
      <c r="A3" s="116" t="s">
        <v>1860</v>
      </c>
      <c r="B3" s="116" t="s">
        <v>2361</v>
      </c>
      <c r="C3" s="151">
        <v>55</v>
      </c>
      <c r="D3" s="150">
        <v>1500</v>
      </c>
      <c r="E3" s="150">
        <f t="shared" ref="E3:E20" si="0">C3*D3</f>
        <v>82500</v>
      </c>
      <c r="G3" s="116" t="s">
        <v>2368</v>
      </c>
      <c r="H3" s="150">
        <v>1000000</v>
      </c>
      <c r="I3" s="116" t="s">
        <v>2356</v>
      </c>
      <c r="J3" s="120">
        <v>0.03</v>
      </c>
      <c r="K3" s="151">
        <v>3</v>
      </c>
      <c r="M3" s="236">
        <v>24</v>
      </c>
      <c r="N3" s="232" t="s">
        <v>2352</v>
      </c>
      <c r="O3" s="41">
        <v>5</v>
      </c>
      <c r="P3" s="26"/>
      <c r="Q3" s="294" t="s">
        <v>2387</v>
      </c>
      <c r="R3" s="295"/>
      <c r="S3" s="235" t="s">
        <v>2386</v>
      </c>
      <c r="T3" s="26"/>
      <c r="U3" s="26"/>
      <c r="V3" s="26"/>
      <c r="W3" s="26"/>
      <c r="X3" s="26"/>
      <c r="Y3" s="26"/>
      <c r="Z3" s="26"/>
    </row>
    <row r="4" spans="1:26">
      <c r="A4" s="116" t="s">
        <v>1857</v>
      </c>
      <c r="B4" s="116" t="s">
        <v>2334</v>
      </c>
      <c r="C4" s="151">
        <v>20</v>
      </c>
      <c r="D4" s="150">
        <v>3000</v>
      </c>
      <c r="E4" s="150">
        <f t="shared" si="0"/>
        <v>60000</v>
      </c>
      <c r="G4" s="116" t="s">
        <v>2385</v>
      </c>
      <c r="H4" s="150">
        <v>800000</v>
      </c>
      <c r="I4" s="116" t="s">
        <v>2384</v>
      </c>
      <c r="J4" s="120">
        <v>0.02</v>
      </c>
      <c r="K4" s="151">
        <v>6</v>
      </c>
      <c r="M4" s="220">
        <v>41</v>
      </c>
      <c r="N4" s="219" t="s">
        <v>2383</v>
      </c>
      <c r="O4" s="44">
        <v>3</v>
      </c>
      <c r="P4" s="26"/>
      <c r="Q4" s="234">
        <v>1</v>
      </c>
      <c r="R4" s="233">
        <v>10</v>
      </c>
      <c r="S4" s="232"/>
      <c r="T4" s="26"/>
      <c r="U4" s="26"/>
      <c r="V4" s="26"/>
      <c r="W4" s="26"/>
      <c r="X4" s="26"/>
      <c r="Y4" s="26"/>
      <c r="Z4" s="26"/>
    </row>
    <row r="5" spans="1:26">
      <c r="A5" s="116" t="s">
        <v>1855</v>
      </c>
      <c r="B5" s="116" t="s">
        <v>2382</v>
      </c>
      <c r="C5" s="151">
        <v>20</v>
      </c>
      <c r="D5" s="150">
        <v>2000</v>
      </c>
      <c r="E5" s="150">
        <f t="shared" si="0"/>
        <v>40000</v>
      </c>
      <c r="G5" s="116" t="s">
        <v>2368</v>
      </c>
      <c r="H5" s="150">
        <v>750000</v>
      </c>
      <c r="I5" s="116" t="s">
        <v>2357</v>
      </c>
      <c r="J5" s="120">
        <v>0.01</v>
      </c>
      <c r="K5" s="151">
        <v>12</v>
      </c>
      <c r="M5" s="220">
        <v>50</v>
      </c>
      <c r="N5" s="219" t="s">
        <v>2381</v>
      </c>
      <c r="O5" s="44">
        <v>15</v>
      </c>
      <c r="P5" s="26"/>
      <c r="Q5" s="234">
        <v>11</v>
      </c>
      <c r="R5" s="233">
        <v>20</v>
      </c>
      <c r="S5" s="232"/>
      <c r="T5" s="26"/>
      <c r="U5" s="26"/>
      <c r="V5" s="26"/>
      <c r="W5" s="26"/>
      <c r="X5" s="26"/>
      <c r="Y5" s="26"/>
      <c r="Z5" s="26"/>
    </row>
    <row r="6" spans="1:26">
      <c r="A6" s="116" t="s">
        <v>2380</v>
      </c>
      <c r="B6" s="116" t="s">
        <v>2334</v>
      </c>
      <c r="C6" s="151">
        <v>95</v>
      </c>
      <c r="D6" s="150">
        <v>3000</v>
      </c>
      <c r="E6" s="150">
        <f t="shared" si="0"/>
        <v>285000</v>
      </c>
      <c r="G6" s="116" t="s">
        <v>2370</v>
      </c>
      <c r="H6" s="150">
        <v>150000</v>
      </c>
      <c r="I6" s="116" t="s">
        <v>2357</v>
      </c>
      <c r="J6" s="120">
        <v>0.03</v>
      </c>
      <c r="K6" s="151">
        <v>3</v>
      </c>
      <c r="M6" s="220">
        <v>29</v>
      </c>
      <c r="N6" s="219" t="s">
        <v>2338</v>
      </c>
      <c r="O6" s="44">
        <v>15</v>
      </c>
      <c r="P6" s="26"/>
      <c r="Q6" s="234">
        <v>21</v>
      </c>
      <c r="R6" s="233">
        <v>30</v>
      </c>
      <c r="S6" s="232"/>
      <c r="T6" s="26"/>
      <c r="U6" s="26"/>
      <c r="V6" s="26"/>
      <c r="W6" s="26"/>
      <c r="X6" s="26"/>
      <c r="Y6" s="26"/>
      <c r="Z6" s="26"/>
    </row>
    <row r="7" spans="1:26">
      <c r="A7" s="116" t="s">
        <v>1847</v>
      </c>
      <c r="B7" s="116" t="s">
        <v>2365</v>
      </c>
      <c r="C7" s="151">
        <v>120</v>
      </c>
      <c r="D7" s="150">
        <v>2500</v>
      </c>
      <c r="E7" s="150">
        <f t="shared" si="0"/>
        <v>300000</v>
      </c>
      <c r="G7" s="116" t="s">
        <v>2364</v>
      </c>
      <c r="H7" s="150">
        <v>1560000</v>
      </c>
      <c r="I7" s="116" t="s">
        <v>1192</v>
      </c>
      <c r="J7" s="120">
        <v>0.01</v>
      </c>
      <c r="K7" s="151">
        <v>12</v>
      </c>
      <c r="M7" s="220">
        <v>42</v>
      </c>
      <c r="N7" s="219" t="s">
        <v>2367</v>
      </c>
      <c r="O7" s="44">
        <v>5</v>
      </c>
      <c r="P7" s="26"/>
      <c r="Q7" s="234">
        <v>31</v>
      </c>
      <c r="R7" s="233">
        <v>40</v>
      </c>
      <c r="S7" s="232"/>
      <c r="Z7" s="26"/>
    </row>
    <row r="8" spans="1:26">
      <c r="A8" s="116" t="s">
        <v>1559</v>
      </c>
      <c r="B8" s="116" t="s">
        <v>2341</v>
      </c>
      <c r="C8" s="151">
        <v>20</v>
      </c>
      <c r="D8" s="150">
        <v>2000</v>
      </c>
      <c r="E8" s="150">
        <f t="shared" si="0"/>
        <v>40000</v>
      </c>
      <c r="G8" s="116" t="s">
        <v>2376</v>
      </c>
      <c r="H8" s="150">
        <v>1280000</v>
      </c>
      <c r="I8" s="116" t="s">
        <v>2358</v>
      </c>
      <c r="J8" s="120">
        <v>0.03</v>
      </c>
      <c r="K8" s="151">
        <v>3</v>
      </c>
      <c r="M8" s="220">
        <v>7</v>
      </c>
      <c r="N8" s="219" t="s">
        <v>2379</v>
      </c>
      <c r="O8" s="44">
        <v>10</v>
      </c>
      <c r="P8" s="26"/>
      <c r="Q8" s="234">
        <v>41</v>
      </c>
      <c r="R8" s="233">
        <v>50</v>
      </c>
      <c r="S8" s="232"/>
      <c r="Z8" s="26"/>
    </row>
    <row r="9" spans="1:26">
      <c r="A9" s="116" t="s">
        <v>1842</v>
      </c>
      <c r="B9" s="116" t="s">
        <v>2337</v>
      </c>
      <c r="C9" s="151">
        <v>25</v>
      </c>
      <c r="D9" s="150">
        <v>5300</v>
      </c>
      <c r="E9" s="150">
        <f t="shared" si="0"/>
        <v>132500</v>
      </c>
      <c r="G9" s="116" t="s">
        <v>2363</v>
      </c>
      <c r="H9" s="150">
        <v>2540000</v>
      </c>
      <c r="I9" s="116" t="s">
        <v>1204</v>
      </c>
      <c r="J9" s="120">
        <v>0.02</v>
      </c>
      <c r="K9" s="151">
        <v>12</v>
      </c>
      <c r="M9" s="220">
        <v>45</v>
      </c>
      <c r="N9" s="219" t="s">
        <v>2330</v>
      </c>
      <c r="O9" s="44">
        <v>14</v>
      </c>
      <c r="P9" s="26"/>
      <c r="Q9" s="234">
        <v>51</v>
      </c>
      <c r="R9" s="233">
        <v>60</v>
      </c>
      <c r="S9" s="232"/>
      <c r="Z9" s="26"/>
    </row>
    <row r="10" spans="1:26">
      <c r="A10" s="116" t="s">
        <v>1566</v>
      </c>
      <c r="B10" s="116" t="s">
        <v>1555</v>
      </c>
      <c r="C10" s="151">
        <v>90</v>
      </c>
      <c r="D10" s="150">
        <v>2500</v>
      </c>
      <c r="E10" s="150">
        <f t="shared" si="0"/>
        <v>225000</v>
      </c>
      <c r="G10" s="116" t="s">
        <v>2376</v>
      </c>
      <c r="H10" s="150">
        <v>3512000</v>
      </c>
      <c r="I10" s="116" t="s">
        <v>2357</v>
      </c>
      <c r="J10" s="120">
        <v>0.03</v>
      </c>
      <c r="K10" s="151">
        <v>3</v>
      </c>
      <c r="M10" s="220">
        <v>16</v>
      </c>
      <c r="N10" s="219" t="s">
        <v>2338</v>
      </c>
      <c r="O10" s="44">
        <v>5</v>
      </c>
      <c r="P10" s="26"/>
      <c r="Q10" s="234">
        <v>61</v>
      </c>
      <c r="R10" s="233">
        <v>70</v>
      </c>
      <c r="S10" s="232"/>
      <c r="Z10" s="26"/>
    </row>
    <row r="11" spans="1:26">
      <c r="A11" s="116" t="s">
        <v>1836</v>
      </c>
      <c r="B11" s="116" t="s">
        <v>1555</v>
      </c>
      <c r="C11" s="151">
        <v>55</v>
      </c>
      <c r="D11" s="150">
        <v>2500</v>
      </c>
      <c r="E11" s="150">
        <f t="shared" si="0"/>
        <v>137500</v>
      </c>
      <c r="G11" s="116" t="s">
        <v>2378</v>
      </c>
      <c r="H11" s="150">
        <v>4500000</v>
      </c>
      <c r="I11" s="116" t="s">
        <v>2357</v>
      </c>
      <c r="J11" s="120">
        <v>0.02</v>
      </c>
      <c r="K11" s="151">
        <v>3</v>
      </c>
      <c r="M11" s="220">
        <v>16</v>
      </c>
      <c r="N11" s="219" t="s">
        <v>2335</v>
      </c>
      <c r="O11" s="44">
        <v>6</v>
      </c>
      <c r="P11" s="26"/>
      <c r="Z11" s="26"/>
    </row>
    <row r="12" spans="1:26">
      <c r="A12" s="116" t="s">
        <v>2377</v>
      </c>
      <c r="B12" s="116" t="s">
        <v>2341</v>
      </c>
      <c r="C12" s="151">
        <v>30</v>
      </c>
      <c r="D12" s="150">
        <v>2000</v>
      </c>
      <c r="E12" s="150">
        <f t="shared" si="0"/>
        <v>60000</v>
      </c>
      <c r="G12" s="116" t="s">
        <v>2376</v>
      </c>
      <c r="H12" s="150">
        <v>6500000</v>
      </c>
      <c r="I12" s="116" t="s">
        <v>2356</v>
      </c>
      <c r="J12" s="120">
        <v>0.03</v>
      </c>
      <c r="K12" s="151">
        <v>3</v>
      </c>
      <c r="M12" s="220">
        <v>51</v>
      </c>
      <c r="N12" s="219" t="s">
        <v>2352</v>
      </c>
      <c r="O12" s="44">
        <v>8</v>
      </c>
      <c r="P12" s="26"/>
      <c r="Q12" s="231" t="s">
        <v>2375</v>
      </c>
      <c r="R12" s="26"/>
      <c r="S12" s="26"/>
      <c r="T12" s="26"/>
      <c r="U12" s="26"/>
      <c r="V12" s="26"/>
      <c r="Z12" s="26"/>
    </row>
    <row r="13" spans="1:26">
      <c r="A13" s="116" t="s">
        <v>2374</v>
      </c>
      <c r="B13" s="116" t="s">
        <v>1540</v>
      </c>
      <c r="C13" s="151">
        <v>100</v>
      </c>
      <c r="D13" s="150">
        <v>2000</v>
      </c>
      <c r="E13" s="150">
        <f t="shared" si="0"/>
        <v>200000</v>
      </c>
      <c r="G13" s="116" t="s">
        <v>2370</v>
      </c>
      <c r="H13" s="150">
        <v>7410000</v>
      </c>
      <c r="I13" s="116" t="s">
        <v>2358</v>
      </c>
      <c r="J13" s="120">
        <v>0.03</v>
      </c>
      <c r="K13" s="151">
        <v>6</v>
      </c>
      <c r="M13" s="220">
        <v>46</v>
      </c>
      <c r="N13" s="219" t="s">
        <v>2352</v>
      </c>
      <c r="O13" s="44">
        <v>8</v>
      </c>
      <c r="P13" s="26"/>
      <c r="Q13" s="296" t="s">
        <v>1784</v>
      </c>
      <c r="R13" s="230">
        <v>0</v>
      </c>
      <c r="S13" s="230">
        <v>20</v>
      </c>
      <c r="T13" s="230">
        <v>30</v>
      </c>
      <c r="U13" s="230">
        <v>40</v>
      </c>
      <c r="V13" s="230">
        <v>60</v>
      </c>
      <c r="Z13" s="26"/>
    </row>
    <row r="14" spans="1:26">
      <c r="A14" s="116" t="s">
        <v>1823</v>
      </c>
      <c r="B14" s="116" t="s">
        <v>2337</v>
      </c>
      <c r="C14" s="151">
        <v>90</v>
      </c>
      <c r="D14" s="150">
        <v>5300</v>
      </c>
      <c r="E14" s="150">
        <f t="shared" si="0"/>
        <v>477000</v>
      </c>
      <c r="G14" s="116" t="s">
        <v>2368</v>
      </c>
      <c r="H14" s="150">
        <v>985200</v>
      </c>
      <c r="I14" s="116" t="s">
        <v>2358</v>
      </c>
      <c r="J14" s="120">
        <v>0.02</v>
      </c>
      <c r="K14" s="151">
        <v>3</v>
      </c>
      <c r="M14" s="220">
        <v>22</v>
      </c>
      <c r="N14" s="219" t="s">
        <v>2352</v>
      </c>
      <c r="O14" s="44">
        <v>21</v>
      </c>
      <c r="P14" s="26"/>
      <c r="Q14" s="296"/>
      <c r="R14" s="229">
        <v>20</v>
      </c>
      <c r="S14" s="229">
        <v>30</v>
      </c>
      <c r="T14" s="229">
        <v>40</v>
      </c>
      <c r="U14" s="229">
        <v>60</v>
      </c>
      <c r="V14" s="229">
        <v>80</v>
      </c>
      <c r="Z14" s="26"/>
    </row>
    <row r="15" spans="1:26">
      <c r="A15" s="116" t="s">
        <v>2373</v>
      </c>
      <c r="B15" s="116" t="s">
        <v>2337</v>
      </c>
      <c r="C15" s="151">
        <v>32</v>
      </c>
      <c r="D15" s="150">
        <v>5300</v>
      </c>
      <c r="E15" s="150">
        <f t="shared" si="0"/>
        <v>169600</v>
      </c>
      <c r="G15" s="116" t="s">
        <v>2372</v>
      </c>
      <c r="H15" s="150">
        <v>3210000</v>
      </c>
      <c r="I15" s="116" t="s">
        <v>2356</v>
      </c>
      <c r="J15" s="120">
        <v>0.02</v>
      </c>
      <c r="K15" s="151">
        <v>6</v>
      </c>
      <c r="M15" s="220">
        <v>6</v>
      </c>
      <c r="N15" s="219" t="s">
        <v>2352</v>
      </c>
      <c r="O15" s="44">
        <v>7</v>
      </c>
      <c r="P15" s="26"/>
      <c r="Q15" s="228" t="s">
        <v>2352</v>
      </c>
      <c r="R15" s="227"/>
      <c r="S15" s="227"/>
      <c r="T15" s="227"/>
      <c r="U15" s="227"/>
      <c r="V15" s="227"/>
      <c r="Z15" s="26"/>
    </row>
    <row r="16" spans="1:26">
      <c r="A16" s="116" t="s">
        <v>2371</v>
      </c>
      <c r="B16" s="116" t="s">
        <v>2361</v>
      </c>
      <c r="C16" s="151">
        <v>60</v>
      </c>
      <c r="D16" s="150">
        <v>1500</v>
      </c>
      <c r="E16" s="150">
        <f t="shared" si="0"/>
        <v>90000</v>
      </c>
      <c r="G16" s="116" t="s">
        <v>2364</v>
      </c>
      <c r="H16" s="150">
        <v>2840000</v>
      </c>
      <c r="I16" s="116" t="s">
        <v>2356</v>
      </c>
      <c r="J16" s="120">
        <v>0.01</v>
      </c>
      <c r="K16" s="151">
        <v>12</v>
      </c>
      <c r="M16" s="220">
        <v>22</v>
      </c>
      <c r="N16" s="219" t="s">
        <v>2332</v>
      </c>
      <c r="O16" s="44">
        <v>21</v>
      </c>
      <c r="P16" s="26"/>
      <c r="Q16" s="219" t="s">
        <v>2332</v>
      </c>
      <c r="R16" s="227"/>
      <c r="S16" s="227"/>
      <c r="T16" s="227"/>
      <c r="U16" s="227"/>
      <c r="V16" s="227"/>
      <c r="W16" s="26"/>
      <c r="X16" s="26"/>
      <c r="Y16" s="26"/>
      <c r="Z16" s="26"/>
    </row>
    <row r="17" spans="1:26">
      <c r="A17" s="116" t="s">
        <v>1596</v>
      </c>
      <c r="B17" s="116" t="s">
        <v>2334</v>
      </c>
      <c r="C17" s="151">
        <v>110</v>
      </c>
      <c r="D17" s="150">
        <v>3000</v>
      </c>
      <c r="E17" s="150">
        <f t="shared" si="0"/>
        <v>330000</v>
      </c>
      <c r="G17" s="116" t="s">
        <v>2370</v>
      </c>
      <c r="H17" s="150">
        <v>5130000</v>
      </c>
      <c r="I17" s="116" t="s">
        <v>2356</v>
      </c>
      <c r="J17" s="120">
        <v>0.03</v>
      </c>
      <c r="K17" s="151">
        <v>12</v>
      </c>
      <c r="M17" s="220">
        <v>21</v>
      </c>
      <c r="N17" s="219" t="s">
        <v>2345</v>
      </c>
      <c r="O17" s="44">
        <v>20</v>
      </c>
      <c r="P17" s="26"/>
      <c r="Q17" s="219" t="s">
        <v>2345</v>
      </c>
      <c r="R17" s="227"/>
      <c r="S17" s="227"/>
      <c r="T17" s="227"/>
      <c r="U17" s="227"/>
      <c r="V17" s="227"/>
      <c r="W17" s="26"/>
      <c r="X17" s="26"/>
      <c r="Y17" s="26"/>
      <c r="Z17" s="26"/>
    </row>
    <row r="18" spans="1:26">
      <c r="A18" s="116" t="s">
        <v>2369</v>
      </c>
      <c r="B18" s="116" t="s">
        <v>2361</v>
      </c>
      <c r="C18" s="151">
        <v>45</v>
      </c>
      <c r="D18" s="150">
        <v>1500</v>
      </c>
      <c r="E18" s="150">
        <f t="shared" si="0"/>
        <v>67500</v>
      </c>
      <c r="G18" s="116" t="s">
        <v>2368</v>
      </c>
      <c r="H18" s="150">
        <v>857000</v>
      </c>
      <c r="I18" s="116" t="s">
        <v>2357</v>
      </c>
      <c r="J18" s="120">
        <v>0.02</v>
      </c>
      <c r="K18" s="151">
        <v>3</v>
      </c>
      <c r="M18" s="220">
        <v>13</v>
      </c>
      <c r="N18" s="219" t="s">
        <v>2367</v>
      </c>
      <c r="O18" s="44">
        <v>8</v>
      </c>
      <c r="P18" s="26"/>
      <c r="Q18" s="219" t="s">
        <v>2367</v>
      </c>
      <c r="R18" s="227"/>
      <c r="S18" s="227"/>
      <c r="T18" s="227"/>
      <c r="U18" s="227"/>
      <c r="V18" s="227"/>
    </row>
    <row r="19" spans="1:26">
      <c r="A19" s="116" t="s">
        <v>2366</v>
      </c>
      <c r="B19" s="116" t="s">
        <v>2365</v>
      </c>
      <c r="C19" s="151">
        <v>50</v>
      </c>
      <c r="D19" s="150">
        <v>2500</v>
      </c>
      <c r="E19" s="150">
        <f t="shared" si="0"/>
        <v>125000</v>
      </c>
      <c r="G19" s="116" t="s">
        <v>2364</v>
      </c>
      <c r="H19" s="150">
        <v>5840000</v>
      </c>
      <c r="I19" s="116" t="s">
        <v>1192</v>
      </c>
      <c r="J19" s="120">
        <v>0.03</v>
      </c>
      <c r="K19" s="151">
        <v>12</v>
      </c>
      <c r="M19" s="220">
        <v>29</v>
      </c>
      <c r="N19" s="219" t="s">
        <v>2352</v>
      </c>
      <c r="O19" s="44">
        <v>24</v>
      </c>
      <c r="P19" s="26"/>
      <c r="T19" s="26"/>
    </row>
    <row r="20" spans="1:26">
      <c r="A20" s="116" t="s">
        <v>2362</v>
      </c>
      <c r="B20" s="116" t="s">
        <v>2361</v>
      </c>
      <c r="C20" s="151">
        <v>80</v>
      </c>
      <c r="D20" s="150">
        <v>1500</v>
      </c>
      <c r="E20" s="150">
        <f t="shared" si="0"/>
        <v>120000</v>
      </c>
      <c r="J20" s="143"/>
      <c r="K20" s="226"/>
      <c r="M20" s="220">
        <v>61</v>
      </c>
      <c r="N20" s="219" t="s">
        <v>2331</v>
      </c>
      <c r="O20" s="44">
        <v>23</v>
      </c>
      <c r="P20" s="26"/>
      <c r="T20" s="26"/>
    </row>
    <row r="21" spans="1:26">
      <c r="G21" s="224" t="s">
        <v>2360</v>
      </c>
      <c r="M21" s="220">
        <v>12</v>
      </c>
      <c r="N21" s="219" t="s">
        <v>2331</v>
      </c>
      <c r="O21" s="44">
        <v>20</v>
      </c>
      <c r="P21" s="26"/>
      <c r="T21" s="26"/>
    </row>
    <row r="22" spans="1:26">
      <c r="A22" t="s">
        <v>2359</v>
      </c>
      <c r="G22" s="116" t="s">
        <v>1171</v>
      </c>
      <c r="H22" s="163" t="s">
        <v>2358</v>
      </c>
      <c r="I22" s="163" t="s">
        <v>2357</v>
      </c>
      <c r="J22" s="163" t="s">
        <v>2356</v>
      </c>
      <c r="M22" s="220">
        <v>64</v>
      </c>
      <c r="N22" s="219" t="s">
        <v>2338</v>
      </c>
      <c r="O22" s="44">
        <v>7</v>
      </c>
      <c r="P22" s="26"/>
      <c r="T22" s="26"/>
    </row>
    <row r="23" spans="1:26">
      <c r="A23" s="116" t="s">
        <v>2355</v>
      </c>
      <c r="B23" s="116" t="s">
        <v>1509</v>
      </c>
      <c r="C23" s="163" t="s">
        <v>2354</v>
      </c>
      <c r="D23" s="163" t="s">
        <v>2353</v>
      </c>
      <c r="G23" s="225">
        <v>3</v>
      </c>
      <c r="H23" s="116"/>
      <c r="I23" s="116"/>
      <c r="J23" s="116"/>
      <c r="M23" s="220">
        <v>29</v>
      </c>
      <c r="N23" s="219" t="s">
        <v>2352</v>
      </c>
      <c r="O23" s="44">
        <v>17</v>
      </c>
      <c r="P23" s="26"/>
      <c r="T23" s="26"/>
    </row>
    <row r="24" spans="1:26">
      <c r="A24" s="116" t="s">
        <v>2351</v>
      </c>
      <c r="B24" s="116" t="s">
        <v>2350</v>
      </c>
      <c r="C24" s="150"/>
      <c r="D24" s="150"/>
      <c r="G24" s="225">
        <v>6</v>
      </c>
      <c r="H24" s="116"/>
      <c r="I24" s="116"/>
      <c r="J24" s="116"/>
      <c r="M24" s="220">
        <v>17</v>
      </c>
      <c r="N24" s="219" t="s">
        <v>2331</v>
      </c>
      <c r="O24" s="44">
        <v>21</v>
      </c>
      <c r="P24" s="26"/>
      <c r="T24" s="26"/>
    </row>
    <row r="25" spans="1:26">
      <c r="A25" s="116" t="s">
        <v>2349</v>
      </c>
      <c r="B25" s="116" t="s">
        <v>2348</v>
      </c>
      <c r="C25" s="150"/>
      <c r="D25" s="150"/>
      <c r="G25" s="225">
        <v>12</v>
      </c>
      <c r="H25" s="116"/>
      <c r="I25" s="116"/>
      <c r="J25" s="116"/>
      <c r="M25" s="220">
        <v>29</v>
      </c>
      <c r="N25" s="219" t="s">
        <v>2330</v>
      </c>
      <c r="O25" s="44">
        <v>2</v>
      </c>
      <c r="P25" s="26"/>
      <c r="T25" s="26"/>
      <c r="U25" s="26"/>
      <c r="V25" s="26"/>
      <c r="W25" s="26"/>
      <c r="X25" s="26"/>
      <c r="Y25" s="26"/>
      <c r="Z25" s="26"/>
    </row>
    <row r="26" spans="1:26">
      <c r="M26" s="220">
        <v>26</v>
      </c>
      <c r="N26" s="219" t="s">
        <v>2330</v>
      </c>
      <c r="O26" s="44">
        <v>4</v>
      </c>
      <c r="P26" s="26"/>
      <c r="T26" s="26"/>
      <c r="U26" s="26"/>
      <c r="V26" s="26"/>
      <c r="W26" s="26"/>
      <c r="X26" s="26"/>
      <c r="Y26" s="26"/>
      <c r="Z26" s="26"/>
    </row>
    <row r="27" spans="1:26">
      <c r="A27" t="s">
        <v>2347</v>
      </c>
      <c r="G27" s="224" t="s">
        <v>2346</v>
      </c>
      <c r="M27" s="220">
        <v>59</v>
      </c>
      <c r="N27" s="219" t="s">
        <v>2345</v>
      </c>
      <c r="O27" s="44">
        <v>2</v>
      </c>
      <c r="P27" s="26"/>
      <c r="Q27" s="45"/>
      <c r="R27" s="26"/>
      <c r="S27" s="26"/>
      <c r="T27" s="26"/>
      <c r="U27" s="26"/>
      <c r="V27" s="26"/>
      <c r="W27" s="26"/>
      <c r="X27" s="26"/>
      <c r="Y27" s="26"/>
      <c r="Z27" s="26"/>
    </row>
    <row r="28" spans="1:26">
      <c r="A28" s="116" t="s">
        <v>1509</v>
      </c>
      <c r="B28" s="163" t="s">
        <v>2344</v>
      </c>
      <c r="G28" s="116" t="s">
        <v>2343</v>
      </c>
      <c r="H28" s="163" t="s">
        <v>1192</v>
      </c>
      <c r="I28" s="163" t="s">
        <v>1204</v>
      </c>
      <c r="J28" s="163" t="s">
        <v>2342</v>
      </c>
      <c r="M28" s="220">
        <v>43</v>
      </c>
      <c r="N28" s="219" t="s">
        <v>2331</v>
      </c>
      <c r="O28" s="44">
        <v>5</v>
      </c>
      <c r="P28" s="26"/>
      <c r="Q28" s="45"/>
      <c r="R28" s="26"/>
      <c r="S28" s="26"/>
      <c r="T28" s="26"/>
      <c r="U28" s="26"/>
      <c r="V28" s="26"/>
      <c r="W28" s="26"/>
      <c r="X28" s="26"/>
      <c r="Y28" s="26"/>
      <c r="Z28" s="26"/>
    </row>
    <row r="29" spans="1:26">
      <c r="A29" s="151" t="s">
        <v>2341</v>
      </c>
      <c r="B29" s="151"/>
      <c r="D29" s="223"/>
      <c r="G29" s="222" t="s">
        <v>2340</v>
      </c>
      <c r="H29" s="221"/>
      <c r="I29" s="221"/>
      <c r="J29" s="221"/>
      <c r="M29" s="220">
        <v>53</v>
      </c>
      <c r="N29" s="219" t="s">
        <v>2330</v>
      </c>
      <c r="O29" s="44">
        <v>21</v>
      </c>
      <c r="P29" s="26"/>
      <c r="Q29" s="45"/>
      <c r="R29" s="26"/>
      <c r="S29" s="26"/>
      <c r="T29" s="26"/>
      <c r="U29" s="26"/>
      <c r="V29" s="26"/>
      <c r="W29" s="26"/>
      <c r="X29" s="26"/>
      <c r="Y29" s="26"/>
      <c r="Z29" s="26"/>
    </row>
    <row r="30" spans="1:26">
      <c r="A30" s="151" t="s">
        <v>1526</v>
      </c>
      <c r="B30" s="151"/>
      <c r="G30" s="222" t="s">
        <v>2339</v>
      </c>
      <c r="H30" s="221"/>
      <c r="I30" s="221"/>
      <c r="J30" s="221"/>
      <c r="M30" s="220">
        <v>29</v>
      </c>
      <c r="N30" s="219" t="s">
        <v>2338</v>
      </c>
      <c r="O30" s="44">
        <v>18</v>
      </c>
      <c r="P30" s="26"/>
      <c r="Q30" s="45"/>
      <c r="R30" s="26"/>
      <c r="S30" s="26"/>
      <c r="T30" s="26"/>
      <c r="U30" s="26"/>
      <c r="V30" s="26"/>
      <c r="W30" s="26"/>
      <c r="X30" s="26"/>
      <c r="Y30" s="26"/>
      <c r="Z30" s="26"/>
    </row>
    <row r="31" spans="1:26">
      <c r="A31" s="151" t="s">
        <v>2337</v>
      </c>
      <c r="B31" s="151"/>
      <c r="G31" s="222" t="s">
        <v>2336</v>
      </c>
      <c r="H31" s="221"/>
      <c r="I31" s="221"/>
      <c r="J31" s="221"/>
      <c r="M31" s="220">
        <v>18</v>
      </c>
      <c r="N31" s="219" t="s">
        <v>2335</v>
      </c>
      <c r="O31" s="44">
        <v>9</v>
      </c>
      <c r="P31" s="26"/>
      <c r="Q31" s="45"/>
      <c r="R31" s="26"/>
      <c r="S31" s="26"/>
      <c r="T31" s="26"/>
      <c r="U31" s="26"/>
      <c r="V31" s="26"/>
      <c r="W31" s="26"/>
      <c r="X31" s="26"/>
      <c r="Y31" s="26"/>
      <c r="Z31" s="26"/>
    </row>
    <row r="32" spans="1:26">
      <c r="A32" s="151" t="s">
        <v>2334</v>
      </c>
      <c r="B32" s="151"/>
      <c r="G32" s="222" t="s">
        <v>2333</v>
      </c>
      <c r="H32" s="221"/>
      <c r="I32" s="221"/>
      <c r="J32" s="221"/>
      <c r="M32" s="220">
        <v>41</v>
      </c>
      <c r="N32" s="219" t="s">
        <v>2332</v>
      </c>
      <c r="O32" s="44">
        <v>7</v>
      </c>
      <c r="P32" s="26"/>
      <c r="Q32" s="45"/>
      <c r="R32" s="26"/>
      <c r="S32" s="26"/>
      <c r="T32" s="26"/>
      <c r="U32" s="26"/>
      <c r="V32" s="26"/>
      <c r="W32" s="26"/>
      <c r="X32" s="26"/>
      <c r="Y32" s="26"/>
      <c r="Z32" s="26"/>
    </row>
    <row r="33" spans="1:26">
      <c r="A33" s="151" t="s">
        <v>1555</v>
      </c>
      <c r="B33" s="151"/>
      <c r="M33" s="220">
        <v>8</v>
      </c>
      <c r="N33" s="219" t="s">
        <v>2330</v>
      </c>
      <c r="O33" s="44">
        <v>9</v>
      </c>
      <c r="P33" s="26"/>
      <c r="Q33" s="45"/>
      <c r="R33" s="26"/>
      <c r="S33" s="26"/>
      <c r="T33" s="26"/>
      <c r="U33" s="26"/>
      <c r="V33" s="26"/>
      <c r="W33" s="26"/>
      <c r="X33" s="26"/>
      <c r="Y33" s="26"/>
      <c r="Z33" s="26"/>
    </row>
    <row r="34" spans="1:26">
      <c r="P34" s="26"/>
      <c r="Q34" s="45"/>
      <c r="R34" s="26"/>
      <c r="S34" s="26"/>
      <c r="T34" s="26"/>
      <c r="U34" s="26"/>
      <c r="V34" s="26"/>
      <c r="W34" s="26"/>
      <c r="X34" s="26"/>
      <c r="Y34" s="26"/>
      <c r="Z34" s="26"/>
    </row>
    <row r="35" spans="1:26">
      <c r="P35" s="26"/>
      <c r="Q35" s="45"/>
      <c r="R35" s="26"/>
      <c r="S35" s="26"/>
      <c r="T35" s="26" t="s">
        <v>2329</v>
      </c>
      <c r="U35" s="26"/>
      <c r="V35" s="26"/>
      <c r="W35" s="26"/>
      <c r="X35" s="26"/>
      <c r="Y35" s="26"/>
      <c r="Z35" s="26"/>
    </row>
    <row r="36" spans="1:26">
      <c r="P36" s="26"/>
      <c r="Q36" s="45"/>
      <c r="R36" s="26"/>
      <c r="S36" s="26"/>
      <c r="T36" s="26"/>
      <c r="U36" s="26"/>
      <c r="V36" s="26"/>
      <c r="W36" s="26"/>
      <c r="X36" s="26"/>
      <c r="Y36" s="26"/>
      <c r="Z36" s="26"/>
    </row>
    <row r="37" spans="1:26">
      <c r="P37" s="26"/>
      <c r="Q37" s="45"/>
      <c r="R37" s="26"/>
      <c r="S37" s="26"/>
      <c r="T37" s="26"/>
      <c r="U37" s="26"/>
      <c r="V37" s="26"/>
      <c r="W37" s="26"/>
      <c r="X37" s="26"/>
      <c r="Y37" s="26"/>
      <c r="Z37" s="26"/>
    </row>
    <row r="38" spans="1:26">
      <c r="P38" s="26"/>
      <c r="Q38" s="45"/>
      <c r="R38" s="26"/>
      <c r="S38" s="26"/>
      <c r="T38" s="26"/>
      <c r="U38" s="8"/>
      <c r="V38" s="8"/>
      <c r="W38" s="8"/>
      <c r="X38" s="26"/>
      <c r="Y38" s="26"/>
      <c r="Z38" s="26"/>
    </row>
  </sheetData>
  <mergeCells count="2">
    <mergeCell ref="Q3:R3"/>
    <mergeCell ref="Q13:Q14"/>
  </mergeCells>
  <phoneticPr fontId="2" type="noConversion"/>
  <pageMargins left="0.7" right="0.7" top="0.75" bottom="0.75" header="0.3" footer="0.3"/>
  <ignoredErrors>
    <ignoredError sqref="G29:G32" numberStoredAsText="1"/>
  </ignoredError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Z38"/>
  <sheetViews>
    <sheetView workbookViewId="0"/>
  </sheetViews>
  <sheetFormatPr defaultColWidth="9" defaultRowHeight="17"/>
  <cols>
    <col min="2" max="2" width="15.08203125" bestFit="1" customWidth="1"/>
    <col min="6" max="6" width="1.58203125" customWidth="1"/>
    <col min="8" max="10" width="10.83203125" bestFit="1" customWidth="1"/>
    <col min="12" max="12" width="1.58203125" customWidth="1"/>
    <col min="15" max="15" width="10.75" bestFit="1" customWidth="1"/>
    <col min="16" max="16" width="1.58203125" customWidth="1"/>
    <col min="18" max="22" width="10.25" bestFit="1" customWidth="1"/>
    <col min="23" max="23" width="1.58203125" customWidth="1"/>
  </cols>
  <sheetData>
    <row r="1" spans="1:26">
      <c r="A1" t="s">
        <v>2398</v>
      </c>
      <c r="G1" t="s">
        <v>2397</v>
      </c>
      <c r="M1" s="231" t="s">
        <v>2396</v>
      </c>
      <c r="N1" s="45"/>
      <c r="O1" s="237"/>
      <c r="P1" s="26"/>
      <c r="Q1" s="45"/>
      <c r="R1" s="26"/>
      <c r="S1" s="26"/>
      <c r="T1" s="26"/>
      <c r="U1" s="26"/>
      <c r="V1" s="26"/>
      <c r="W1" s="26"/>
      <c r="Z1" s="26"/>
    </row>
    <row r="2" spans="1:26">
      <c r="A2" s="116" t="s">
        <v>1868</v>
      </c>
      <c r="B2" s="116" t="s">
        <v>2395</v>
      </c>
      <c r="C2" s="116" t="s">
        <v>1867</v>
      </c>
      <c r="D2" s="116" t="s">
        <v>1866</v>
      </c>
      <c r="E2" s="116" t="s">
        <v>1865</v>
      </c>
      <c r="G2" s="97" t="s">
        <v>2394</v>
      </c>
      <c r="H2" s="97" t="s">
        <v>2393</v>
      </c>
      <c r="I2" s="97" t="s">
        <v>2245</v>
      </c>
      <c r="J2" s="97" t="s">
        <v>2392</v>
      </c>
      <c r="K2" s="97" t="s">
        <v>2391</v>
      </c>
      <c r="L2" s="115"/>
      <c r="M2" s="110" t="s">
        <v>2390</v>
      </c>
      <c r="N2" s="110" t="s">
        <v>1784</v>
      </c>
      <c r="O2" s="113" t="s">
        <v>2389</v>
      </c>
      <c r="P2" s="26"/>
      <c r="Q2" s="231" t="s">
        <v>2388</v>
      </c>
      <c r="R2" s="26"/>
      <c r="S2" s="26"/>
      <c r="T2" s="26"/>
      <c r="U2" s="26"/>
      <c r="V2" s="26"/>
      <c r="W2" s="26"/>
      <c r="Z2" s="26"/>
    </row>
    <row r="3" spans="1:26">
      <c r="A3" s="116" t="s">
        <v>1860</v>
      </c>
      <c r="B3" s="116" t="s">
        <v>2361</v>
      </c>
      <c r="C3" s="151">
        <v>55</v>
      </c>
      <c r="D3" s="150">
        <v>1500</v>
      </c>
      <c r="E3" s="150">
        <f t="shared" ref="E3:E20" si="0">C3*D3</f>
        <v>82500</v>
      </c>
      <c r="G3" s="116" t="s">
        <v>2368</v>
      </c>
      <c r="H3" s="150">
        <v>1000000</v>
      </c>
      <c r="I3" s="116" t="s">
        <v>2356</v>
      </c>
      <c r="J3" s="120">
        <v>0.03</v>
      </c>
      <c r="K3" s="151">
        <v>3</v>
      </c>
      <c r="M3" s="236">
        <v>24</v>
      </c>
      <c r="N3" s="232" t="s">
        <v>2352</v>
      </c>
      <c r="O3" s="41">
        <v>5</v>
      </c>
      <c r="P3" s="26"/>
      <c r="Q3" s="294" t="s">
        <v>2387</v>
      </c>
      <c r="R3" s="295"/>
      <c r="S3" s="235" t="s">
        <v>2386</v>
      </c>
      <c r="T3" s="26"/>
      <c r="U3" s="26"/>
      <c r="V3" s="26"/>
      <c r="W3" s="26"/>
      <c r="Z3" s="26"/>
    </row>
    <row r="4" spans="1:26">
      <c r="A4" s="116" t="s">
        <v>1857</v>
      </c>
      <c r="B4" s="116" t="s">
        <v>2334</v>
      </c>
      <c r="C4" s="151">
        <v>20</v>
      </c>
      <c r="D4" s="150">
        <v>3000</v>
      </c>
      <c r="E4" s="150">
        <f t="shared" si="0"/>
        <v>60000</v>
      </c>
      <c r="G4" s="116" t="s">
        <v>2376</v>
      </c>
      <c r="H4" s="150">
        <v>800000</v>
      </c>
      <c r="I4" s="116" t="s">
        <v>2358</v>
      </c>
      <c r="J4" s="120">
        <v>0.02</v>
      </c>
      <c r="K4" s="151">
        <v>6</v>
      </c>
      <c r="M4" s="220">
        <v>41</v>
      </c>
      <c r="N4" s="219" t="s">
        <v>2332</v>
      </c>
      <c r="O4" s="44">
        <v>3</v>
      </c>
      <c r="P4" s="26"/>
      <c r="Q4" s="234">
        <v>1</v>
      </c>
      <c r="R4" s="233">
        <v>10</v>
      </c>
      <c r="S4" s="232" t="str">
        <f t="array" ref="S4:S10">IF(FREQUENCY(M3:M33,R4:R10)&gt;0,TEXT(FREQUENCY(M3:M33,R4:R10),"0명"),"미가입")</f>
        <v>3명</v>
      </c>
      <c r="T4" s="26"/>
      <c r="U4" s="26"/>
      <c r="V4" s="26"/>
      <c r="W4" s="26"/>
      <c r="Z4" s="26"/>
    </row>
    <row r="5" spans="1:26">
      <c r="A5" s="116" t="s">
        <v>1855</v>
      </c>
      <c r="B5" s="116" t="s">
        <v>2341</v>
      </c>
      <c r="C5" s="151">
        <v>20</v>
      </c>
      <c r="D5" s="150">
        <v>2000</v>
      </c>
      <c r="E5" s="150">
        <f t="shared" si="0"/>
        <v>40000</v>
      </c>
      <c r="G5" s="116" t="s">
        <v>2368</v>
      </c>
      <c r="H5" s="150">
        <v>750000</v>
      </c>
      <c r="I5" s="116" t="s">
        <v>2357</v>
      </c>
      <c r="J5" s="120">
        <v>0.01</v>
      </c>
      <c r="K5" s="151">
        <v>12</v>
      </c>
      <c r="M5" s="220">
        <v>50</v>
      </c>
      <c r="N5" s="219" t="s">
        <v>2345</v>
      </c>
      <c r="O5" s="44">
        <v>15</v>
      </c>
      <c r="P5" s="26"/>
      <c r="Q5" s="234">
        <v>11</v>
      </c>
      <c r="R5" s="233">
        <v>20</v>
      </c>
      <c r="S5" s="232" t="str">
        <v>6명</v>
      </c>
      <c r="T5" s="26"/>
      <c r="U5" s="26"/>
      <c r="V5" s="26"/>
      <c r="W5" s="26"/>
      <c r="Z5" s="26"/>
    </row>
    <row r="6" spans="1:26">
      <c r="A6" s="116" t="s">
        <v>2380</v>
      </c>
      <c r="B6" s="116" t="s">
        <v>2334</v>
      </c>
      <c r="C6" s="151">
        <v>95</v>
      </c>
      <c r="D6" s="150">
        <v>3000</v>
      </c>
      <c r="E6" s="150">
        <f t="shared" si="0"/>
        <v>285000</v>
      </c>
      <c r="G6" s="116" t="s">
        <v>2370</v>
      </c>
      <c r="H6" s="150">
        <v>150000</v>
      </c>
      <c r="I6" s="116" t="s">
        <v>2357</v>
      </c>
      <c r="J6" s="120">
        <v>0.03</v>
      </c>
      <c r="K6" s="151">
        <v>3</v>
      </c>
      <c r="M6" s="220">
        <v>29</v>
      </c>
      <c r="N6" s="219" t="s">
        <v>2367</v>
      </c>
      <c r="O6" s="44">
        <v>15</v>
      </c>
      <c r="P6" s="26"/>
      <c r="Q6" s="234">
        <v>21</v>
      </c>
      <c r="R6" s="233">
        <v>30</v>
      </c>
      <c r="S6" s="232" t="str">
        <v>10명</v>
      </c>
      <c r="T6" s="26"/>
      <c r="U6" s="26"/>
      <c r="V6" s="26"/>
      <c r="W6" s="26"/>
      <c r="Z6" s="26"/>
    </row>
    <row r="7" spans="1:26">
      <c r="A7" s="116" t="s">
        <v>1847</v>
      </c>
      <c r="B7" s="116" t="s">
        <v>2365</v>
      </c>
      <c r="C7" s="151">
        <v>120</v>
      </c>
      <c r="D7" s="150">
        <v>2500</v>
      </c>
      <c r="E7" s="150">
        <f t="shared" si="0"/>
        <v>300000</v>
      </c>
      <c r="G7" s="116" t="s">
        <v>2364</v>
      </c>
      <c r="H7" s="150">
        <v>1560000</v>
      </c>
      <c r="I7" s="116" t="s">
        <v>2358</v>
      </c>
      <c r="J7" s="120">
        <v>0.01</v>
      </c>
      <c r="K7" s="151">
        <v>12</v>
      </c>
      <c r="M7" s="220">
        <v>42</v>
      </c>
      <c r="N7" s="219" t="s">
        <v>2367</v>
      </c>
      <c r="O7" s="44">
        <v>5</v>
      </c>
      <c r="P7" s="26"/>
      <c r="Q7" s="234">
        <v>31</v>
      </c>
      <c r="R7" s="233">
        <v>40</v>
      </c>
      <c r="S7" s="232" t="str">
        <v>미가입</v>
      </c>
      <c r="Z7" s="26"/>
    </row>
    <row r="8" spans="1:26">
      <c r="A8" s="116" t="s">
        <v>1845</v>
      </c>
      <c r="B8" s="116" t="s">
        <v>2341</v>
      </c>
      <c r="C8" s="151">
        <v>20</v>
      </c>
      <c r="D8" s="150">
        <v>2000</v>
      </c>
      <c r="E8" s="150">
        <f t="shared" si="0"/>
        <v>40000</v>
      </c>
      <c r="G8" s="116" t="s">
        <v>2376</v>
      </c>
      <c r="H8" s="150">
        <v>1280000</v>
      </c>
      <c r="I8" s="116" t="s">
        <v>2358</v>
      </c>
      <c r="J8" s="120">
        <v>0.03</v>
      </c>
      <c r="K8" s="151">
        <v>3</v>
      </c>
      <c r="M8" s="220">
        <v>7</v>
      </c>
      <c r="N8" s="219" t="s">
        <v>2367</v>
      </c>
      <c r="O8" s="44">
        <v>10</v>
      </c>
      <c r="P8" s="26"/>
      <c r="Q8" s="234">
        <v>41</v>
      </c>
      <c r="R8" s="233">
        <v>50</v>
      </c>
      <c r="S8" s="232" t="str">
        <v>7명</v>
      </c>
      <c r="Z8" s="26"/>
    </row>
    <row r="9" spans="1:26">
      <c r="A9" s="116" t="s">
        <v>1842</v>
      </c>
      <c r="B9" s="116" t="s">
        <v>2337</v>
      </c>
      <c r="C9" s="151">
        <v>25</v>
      </c>
      <c r="D9" s="150">
        <v>5300</v>
      </c>
      <c r="E9" s="150">
        <f t="shared" si="0"/>
        <v>132500</v>
      </c>
      <c r="G9" s="116" t="s">
        <v>2364</v>
      </c>
      <c r="H9" s="150">
        <v>2540000</v>
      </c>
      <c r="I9" s="116" t="s">
        <v>2357</v>
      </c>
      <c r="J9" s="120">
        <v>0.02</v>
      </c>
      <c r="K9" s="151">
        <v>12</v>
      </c>
      <c r="M9" s="220">
        <v>45</v>
      </c>
      <c r="N9" s="219" t="s">
        <v>2345</v>
      </c>
      <c r="O9" s="44">
        <v>14</v>
      </c>
      <c r="P9" s="26"/>
      <c r="Q9" s="234">
        <v>51</v>
      </c>
      <c r="R9" s="233">
        <v>60</v>
      </c>
      <c r="S9" s="232" t="str">
        <v>3명</v>
      </c>
      <c r="Z9" s="26"/>
    </row>
    <row r="10" spans="1:26">
      <c r="A10" s="116" t="s">
        <v>2405</v>
      </c>
      <c r="B10" s="116" t="s">
        <v>2365</v>
      </c>
      <c r="C10" s="151">
        <v>90</v>
      </c>
      <c r="D10" s="150">
        <v>2500</v>
      </c>
      <c r="E10" s="150">
        <f t="shared" si="0"/>
        <v>225000</v>
      </c>
      <c r="G10" s="116" t="s">
        <v>2376</v>
      </c>
      <c r="H10" s="150">
        <v>3512000</v>
      </c>
      <c r="I10" s="116" t="s">
        <v>2357</v>
      </c>
      <c r="J10" s="120">
        <v>0.03</v>
      </c>
      <c r="K10" s="151">
        <v>3</v>
      </c>
      <c r="M10" s="220">
        <v>16</v>
      </c>
      <c r="N10" s="219" t="s">
        <v>2367</v>
      </c>
      <c r="O10" s="44">
        <v>5</v>
      </c>
      <c r="P10" s="26"/>
      <c r="Q10" s="234">
        <v>61</v>
      </c>
      <c r="R10" s="233">
        <v>70</v>
      </c>
      <c r="S10" s="232" t="str">
        <v>2명</v>
      </c>
      <c r="Z10" s="26"/>
    </row>
    <row r="11" spans="1:26">
      <c r="A11" s="116" t="s">
        <v>1836</v>
      </c>
      <c r="B11" s="116" t="s">
        <v>2365</v>
      </c>
      <c r="C11" s="151">
        <v>55</v>
      </c>
      <c r="D11" s="150">
        <v>2500</v>
      </c>
      <c r="E11" s="150">
        <f t="shared" si="0"/>
        <v>137500</v>
      </c>
      <c r="G11" s="116" t="s">
        <v>2378</v>
      </c>
      <c r="H11" s="150">
        <v>4500000</v>
      </c>
      <c r="I11" s="116" t="s">
        <v>2357</v>
      </c>
      <c r="J11" s="120">
        <v>0.02</v>
      </c>
      <c r="K11" s="151">
        <v>3</v>
      </c>
      <c r="M11" s="220">
        <v>16</v>
      </c>
      <c r="N11" s="219" t="s">
        <v>2352</v>
      </c>
      <c r="O11" s="44">
        <v>6</v>
      </c>
      <c r="P11" s="26"/>
      <c r="Z11" s="26"/>
    </row>
    <row r="12" spans="1:26">
      <c r="A12" s="116" t="s">
        <v>2377</v>
      </c>
      <c r="B12" s="116" t="s">
        <v>2341</v>
      </c>
      <c r="C12" s="151">
        <v>30</v>
      </c>
      <c r="D12" s="150">
        <v>2000</v>
      </c>
      <c r="E12" s="150">
        <f t="shared" si="0"/>
        <v>60000</v>
      </c>
      <c r="G12" s="116" t="s">
        <v>2376</v>
      </c>
      <c r="H12" s="150">
        <v>6500000</v>
      </c>
      <c r="I12" s="116" t="s">
        <v>2356</v>
      </c>
      <c r="J12" s="120">
        <v>0.03</v>
      </c>
      <c r="K12" s="151">
        <v>3</v>
      </c>
      <c r="M12" s="220">
        <v>51</v>
      </c>
      <c r="N12" s="219" t="s">
        <v>2352</v>
      </c>
      <c r="O12" s="44">
        <v>8</v>
      </c>
      <c r="P12" s="26"/>
      <c r="Q12" s="231" t="s">
        <v>2375</v>
      </c>
      <c r="R12" s="26"/>
      <c r="S12" s="26"/>
      <c r="T12" s="26"/>
      <c r="U12" s="26"/>
      <c r="V12" s="26"/>
      <c r="Z12" s="26"/>
    </row>
    <row r="13" spans="1:26">
      <c r="A13" s="116" t="s">
        <v>2374</v>
      </c>
      <c r="B13" s="116" t="s">
        <v>2341</v>
      </c>
      <c r="C13" s="151">
        <v>100</v>
      </c>
      <c r="D13" s="150">
        <v>2000</v>
      </c>
      <c r="E13" s="150">
        <f t="shared" si="0"/>
        <v>200000</v>
      </c>
      <c r="G13" s="116" t="s">
        <v>2370</v>
      </c>
      <c r="H13" s="150">
        <v>7410000</v>
      </c>
      <c r="I13" s="116" t="s">
        <v>2358</v>
      </c>
      <c r="J13" s="120">
        <v>0.03</v>
      </c>
      <c r="K13" s="151">
        <v>6</v>
      </c>
      <c r="M13" s="220">
        <v>46</v>
      </c>
      <c r="N13" s="219" t="s">
        <v>2352</v>
      </c>
      <c r="O13" s="44">
        <v>8</v>
      </c>
      <c r="P13" s="26"/>
      <c r="Q13" s="296" t="s">
        <v>1784</v>
      </c>
      <c r="R13" s="230">
        <v>0</v>
      </c>
      <c r="S13" s="230">
        <v>20</v>
      </c>
      <c r="T13" s="230">
        <v>30</v>
      </c>
      <c r="U13" s="230">
        <v>40</v>
      </c>
      <c r="V13" s="230">
        <v>60</v>
      </c>
      <c r="Z13" s="26"/>
    </row>
    <row r="14" spans="1:26">
      <c r="A14" s="116" t="s">
        <v>1823</v>
      </c>
      <c r="B14" s="116" t="s">
        <v>2337</v>
      </c>
      <c r="C14" s="151">
        <v>90</v>
      </c>
      <c r="D14" s="150">
        <v>5300</v>
      </c>
      <c r="E14" s="150">
        <f t="shared" si="0"/>
        <v>477000</v>
      </c>
      <c r="G14" s="116" t="s">
        <v>2368</v>
      </c>
      <c r="H14" s="150">
        <v>985200</v>
      </c>
      <c r="I14" s="116" t="s">
        <v>2358</v>
      </c>
      <c r="J14" s="120">
        <v>0.02</v>
      </c>
      <c r="K14" s="151">
        <v>3</v>
      </c>
      <c r="M14" s="220">
        <v>22</v>
      </c>
      <c r="N14" s="219" t="s">
        <v>2352</v>
      </c>
      <c r="O14" s="44">
        <v>21</v>
      </c>
      <c r="P14" s="26"/>
      <c r="Q14" s="296"/>
      <c r="R14" s="229">
        <v>20</v>
      </c>
      <c r="S14" s="229">
        <v>30</v>
      </c>
      <c r="T14" s="229">
        <v>40</v>
      </c>
      <c r="U14" s="229">
        <v>60</v>
      </c>
      <c r="V14" s="229">
        <v>80</v>
      </c>
      <c r="Z14" s="26"/>
    </row>
    <row r="15" spans="1:26">
      <c r="A15" s="116" t="s">
        <v>2373</v>
      </c>
      <c r="B15" s="116" t="s">
        <v>2337</v>
      </c>
      <c r="C15" s="151">
        <v>32</v>
      </c>
      <c r="D15" s="150">
        <v>5300</v>
      </c>
      <c r="E15" s="150">
        <f t="shared" si="0"/>
        <v>169600</v>
      </c>
      <c r="G15" s="116" t="s">
        <v>2372</v>
      </c>
      <c r="H15" s="150">
        <v>3210000</v>
      </c>
      <c r="I15" s="116" t="s">
        <v>2356</v>
      </c>
      <c r="J15" s="120">
        <v>0.02</v>
      </c>
      <c r="K15" s="151">
        <v>6</v>
      </c>
      <c r="M15" s="220">
        <v>6</v>
      </c>
      <c r="N15" s="219" t="s">
        <v>2352</v>
      </c>
      <c r="O15" s="44">
        <v>7</v>
      </c>
      <c r="P15" s="26"/>
      <c r="Q15" s="228" t="s">
        <v>2352</v>
      </c>
      <c r="R15" s="227">
        <f t="array" ref="R15">IFERROR(AVERAGE(IF(($N$3:$N$33=$Q15)*($M$3:$M$33&gt;=R$13)*($M$3:$M$33&lt;R$14),$O$3:$O$33)),"")</f>
        <v>7.333333333333333</v>
      </c>
      <c r="S15" s="227">
        <f t="array" ref="S15">IFERROR(AVERAGE(IF(($N$3:$N$33=$Q15)*($M$3:$M$33&gt;=S$13)*($M$3:$M$33&lt;S$14),$O$3:$O$33)),"")</f>
        <v>16.75</v>
      </c>
      <c r="T15" s="227" t="str">
        <f t="array" ref="T15">IFERROR(AVERAGE(IF(($N$3:$N$33=$Q15)*($M$3:$M$33&gt;=T$13)*($M$3:$M$33&lt;T$14),$O$3:$O$33)),"")</f>
        <v/>
      </c>
      <c r="U15" s="227">
        <f t="array" ref="U15">IFERROR(AVERAGE(IF(($N$3:$N$33=$Q15)*($M$3:$M$33&gt;=U$13)*($M$3:$M$33&lt;U$14),$O$3:$O$33)),"")</f>
        <v>8</v>
      </c>
      <c r="V15" s="227" t="str">
        <f t="array" ref="V15">IFERROR(AVERAGE(IF(($N$3:$N$33=$Q15)*($M$3:$M$33&gt;=V$13)*($M$3:$M$33&lt;V$14),$O$3:$O$33)),"")</f>
        <v/>
      </c>
      <c r="Z15" s="26"/>
    </row>
    <row r="16" spans="1:26">
      <c r="A16" s="116" t="s">
        <v>2371</v>
      </c>
      <c r="B16" s="116" t="s">
        <v>2361</v>
      </c>
      <c r="C16" s="151">
        <v>60</v>
      </c>
      <c r="D16" s="150">
        <v>1500</v>
      </c>
      <c r="E16" s="150">
        <f t="shared" si="0"/>
        <v>90000</v>
      </c>
      <c r="G16" s="116" t="s">
        <v>2364</v>
      </c>
      <c r="H16" s="150">
        <v>2840000</v>
      </c>
      <c r="I16" s="116" t="s">
        <v>2356</v>
      </c>
      <c r="J16" s="120">
        <v>0.01</v>
      </c>
      <c r="K16" s="151">
        <v>12</v>
      </c>
      <c r="M16" s="220">
        <v>22</v>
      </c>
      <c r="N16" s="219" t="s">
        <v>2332</v>
      </c>
      <c r="O16" s="44">
        <v>21</v>
      </c>
      <c r="P16" s="26"/>
      <c r="Q16" s="219" t="s">
        <v>2332</v>
      </c>
      <c r="R16" s="227">
        <f t="array" ref="R16">IFERROR(AVERAGE(IF(($N$3:$N$33=$Q16)*($M$3:$M$33&gt;=R$13)*($M$3:$M$33&lt;R$14),$O$3:$O$33)),"")</f>
        <v>20.5</v>
      </c>
      <c r="S16" s="227">
        <f t="array" ref="S16">IFERROR(AVERAGE(IF(($N$3:$N$33=$Q16)*($M$3:$M$33&gt;=S$13)*($M$3:$M$33&lt;S$14),$O$3:$O$33)),"")</f>
        <v>21</v>
      </c>
      <c r="T16" s="227" t="str">
        <f t="array" ref="T16">IFERROR(AVERAGE(IF(($N$3:$N$33=$Q16)*($M$3:$M$33&gt;=T$13)*($M$3:$M$33&lt;T$14),$O$3:$O$33)),"")</f>
        <v/>
      </c>
      <c r="U16" s="227">
        <f t="array" ref="U16">IFERROR(AVERAGE(IF(($N$3:$N$33=$Q16)*($M$3:$M$33&gt;=U$13)*($M$3:$M$33&lt;U$14),$O$3:$O$33)),"")</f>
        <v>5</v>
      </c>
      <c r="V16" s="227">
        <f t="array" ref="V16">IFERROR(AVERAGE(IF(($N$3:$N$33=$Q16)*($M$3:$M$33&gt;=V$13)*($M$3:$M$33&lt;V$14),$O$3:$O$33)),"")</f>
        <v>23</v>
      </c>
      <c r="W16" s="26"/>
      <c r="Z16" s="26"/>
    </row>
    <row r="17" spans="1:26">
      <c r="A17" s="116" t="s">
        <v>1805</v>
      </c>
      <c r="B17" s="116" t="s">
        <v>2334</v>
      </c>
      <c r="C17" s="151">
        <v>110</v>
      </c>
      <c r="D17" s="150">
        <v>3000</v>
      </c>
      <c r="E17" s="150">
        <f t="shared" si="0"/>
        <v>330000</v>
      </c>
      <c r="G17" s="116" t="s">
        <v>2370</v>
      </c>
      <c r="H17" s="150">
        <v>5130000</v>
      </c>
      <c r="I17" s="116" t="s">
        <v>2356</v>
      </c>
      <c r="J17" s="120">
        <v>0.03</v>
      </c>
      <c r="K17" s="151">
        <v>12</v>
      </c>
      <c r="M17" s="220">
        <v>21</v>
      </c>
      <c r="N17" s="219" t="s">
        <v>2345</v>
      </c>
      <c r="O17" s="44">
        <v>20</v>
      </c>
      <c r="P17" s="26"/>
      <c r="Q17" s="219" t="s">
        <v>2345</v>
      </c>
      <c r="R17" s="227">
        <f t="array" ref="R17">IFERROR(AVERAGE(IF(($N$3:$N$33=$Q17)*($M$3:$M$33&gt;=R$13)*($M$3:$M$33&lt;R$14),$O$3:$O$33)),"")</f>
        <v>9</v>
      </c>
      <c r="S17" s="227">
        <f t="array" ref="S17">IFERROR(AVERAGE(IF(($N$3:$N$33=$Q17)*($M$3:$M$33&gt;=S$13)*($M$3:$M$33&lt;S$14),$O$3:$O$33)),"")</f>
        <v>8.6666666666666661</v>
      </c>
      <c r="T17" s="227" t="str">
        <f t="array" ref="T17">IFERROR(AVERAGE(IF(($N$3:$N$33=$Q17)*($M$3:$M$33&gt;=T$13)*($M$3:$M$33&lt;T$14),$O$3:$O$33)),"")</f>
        <v/>
      </c>
      <c r="U17" s="227">
        <f t="array" ref="U17">IFERROR(AVERAGE(IF(($N$3:$N$33=$Q17)*($M$3:$M$33&gt;=U$13)*($M$3:$M$33&lt;U$14),$O$3:$O$33)),"")</f>
        <v>13</v>
      </c>
      <c r="V17" s="227" t="str">
        <f t="array" ref="V17">IFERROR(AVERAGE(IF(($N$3:$N$33=$Q17)*($M$3:$M$33&gt;=V$13)*($M$3:$M$33&lt;V$14),$O$3:$O$33)),"")</f>
        <v/>
      </c>
      <c r="W17" s="26"/>
      <c r="Z17" s="26"/>
    </row>
    <row r="18" spans="1:26">
      <c r="A18" s="116" t="s">
        <v>2369</v>
      </c>
      <c r="B18" s="116" t="s">
        <v>2361</v>
      </c>
      <c r="C18" s="151">
        <v>45</v>
      </c>
      <c r="D18" s="150">
        <v>1500</v>
      </c>
      <c r="E18" s="150">
        <f t="shared" si="0"/>
        <v>67500</v>
      </c>
      <c r="G18" s="116" t="s">
        <v>2368</v>
      </c>
      <c r="H18" s="150">
        <v>857000</v>
      </c>
      <c r="I18" s="116" t="s">
        <v>2357</v>
      </c>
      <c r="J18" s="120">
        <v>0.02</v>
      </c>
      <c r="K18" s="151">
        <v>3</v>
      </c>
      <c r="M18" s="220">
        <v>13</v>
      </c>
      <c r="N18" s="219" t="s">
        <v>2367</v>
      </c>
      <c r="O18" s="44">
        <v>8</v>
      </c>
      <c r="P18" s="26"/>
      <c r="Q18" s="219" t="s">
        <v>2367</v>
      </c>
      <c r="R18" s="227">
        <f t="array" ref="R18">IFERROR(AVERAGE(IF(($N$3:$N$33=$Q18)*($M$3:$M$33&gt;=R$13)*($M$3:$M$33&lt;R$14),$O$3:$O$33)),"")</f>
        <v>7.666666666666667</v>
      </c>
      <c r="S18" s="227">
        <f t="array" ref="S18">IFERROR(AVERAGE(IF(($N$3:$N$33=$Q18)*($M$3:$M$33&gt;=S$13)*($M$3:$M$33&lt;S$14),$O$3:$O$33)),"")</f>
        <v>16.5</v>
      </c>
      <c r="T18" s="227" t="str">
        <f t="array" ref="T18">IFERROR(AVERAGE(IF(($N$3:$N$33=$Q18)*($M$3:$M$33&gt;=T$13)*($M$3:$M$33&lt;T$14),$O$3:$O$33)),"")</f>
        <v/>
      </c>
      <c r="U18" s="227">
        <f t="array" ref="U18">IFERROR(AVERAGE(IF(($N$3:$N$33=$Q18)*($M$3:$M$33&gt;=U$13)*($M$3:$M$33&lt;U$14),$O$3:$O$33)),"")</f>
        <v>5</v>
      </c>
      <c r="V18" s="227">
        <f t="array" ref="V18">IFERROR(AVERAGE(IF(($N$3:$N$33=$Q18)*($M$3:$M$33&gt;=V$13)*($M$3:$M$33&lt;V$14),$O$3:$O$33)),"")</f>
        <v>7</v>
      </c>
    </row>
    <row r="19" spans="1:26">
      <c r="A19" s="116" t="s">
        <v>2366</v>
      </c>
      <c r="B19" s="116" t="s">
        <v>2365</v>
      </c>
      <c r="C19" s="151">
        <v>50</v>
      </c>
      <c r="D19" s="150">
        <v>2500</v>
      </c>
      <c r="E19" s="150">
        <f t="shared" si="0"/>
        <v>125000</v>
      </c>
      <c r="G19" s="116" t="s">
        <v>2364</v>
      </c>
      <c r="H19" s="150">
        <v>5840000</v>
      </c>
      <c r="I19" s="116" t="s">
        <v>2358</v>
      </c>
      <c r="J19" s="120">
        <v>0.03</v>
      </c>
      <c r="K19" s="151">
        <v>12</v>
      </c>
      <c r="M19" s="220">
        <v>29</v>
      </c>
      <c r="N19" s="219" t="s">
        <v>2352</v>
      </c>
      <c r="O19" s="44">
        <v>24</v>
      </c>
      <c r="P19" s="26"/>
      <c r="T19" s="26"/>
    </row>
    <row r="20" spans="1:26">
      <c r="A20" s="116" t="s">
        <v>2362</v>
      </c>
      <c r="B20" s="116" t="s">
        <v>2361</v>
      </c>
      <c r="C20" s="151">
        <v>80</v>
      </c>
      <c r="D20" s="150">
        <v>1500</v>
      </c>
      <c r="E20" s="150">
        <f t="shared" si="0"/>
        <v>120000</v>
      </c>
      <c r="J20" s="143"/>
      <c r="K20" s="226"/>
      <c r="M20" s="220">
        <v>61</v>
      </c>
      <c r="N20" s="219" t="s">
        <v>2332</v>
      </c>
      <c r="O20" s="44">
        <v>23</v>
      </c>
      <c r="P20" s="26"/>
      <c r="T20" s="26"/>
    </row>
    <row r="21" spans="1:26">
      <c r="G21" s="224" t="s">
        <v>2360</v>
      </c>
      <c r="M21" s="220">
        <v>12</v>
      </c>
      <c r="N21" s="219" t="s">
        <v>2332</v>
      </c>
      <c r="O21" s="44">
        <v>20</v>
      </c>
      <c r="P21" s="26"/>
      <c r="T21" s="26"/>
    </row>
    <row r="22" spans="1:26">
      <c r="A22" t="s">
        <v>2359</v>
      </c>
      <c r="G22" s="116" t="s">
        <v>2391</v>
      </c>
      <c r="H22" s="163" t="s">
        <v>2358</v>
      </c>
      <c r="I22" s="163" t="s">
        <v>2357</v>
      </c>
      <c r="J22" s="163" t="s">
        <v>2356</v>
      </c>
      <c r="M22" s="220">
        <v>64</v>
      </c>
      <c r="N22" s="219" t="s">
        <v>2367</v>
      </c>
      <c r="O22" s="44">
        <v>7</v>
      </c>
      <c r="P22" s="26"/>
      <c r="T22" s="26"/>
    </row>
    <row r="23" spans="1:26">
      <c r="A23" s="116" t="s">
        <v>2355</v>
      </c>
      <c r="B23" s="116" t="s">
        <v>2395</v>
      </c>
      <c r="C23" s="163" t="s">
        <v>2354</v>
      </c>
      <c r="D23" s="163" t="s">
        <v>2353</v>
      </c>
      <c r="G23" s="225">
        <v>3</v>
      </c>
      <c r="H23" s="116" t="str">
        <f t="array" ref="H23">REPT("★",SUM(IF(($K$3:$K$19=$G23)*($I$3:$I$19=H$22),1)))</f>
        <v>★★</v>
      </c>
      <c r="I23" s="116" t="str">
        <f t="array" ref="I23">REPT("★",SUM(IF(($K$3:$K$19=$G23)*($I$3:$I$19=I$22),1)))</f>
        <v>★★★★</v>
      </c>
      <c r="J23" s="116" t="str">
        <f t="array" ref="J23">REPT("★",SUM(IF(($K$3:$K$19=$G23)*($I$3:$I$19=J$22),1)))</f>
        <v>★★</v>
      </c>
      <c r="M23" s="220">
        <v>29</v>
      </c>
      <c r="N23" s="219" t="s">
        <v>2352</v>
      </c>
      <c r="O23" s="44">
        <v>17</v>
      </c>
      <c r="P23" s="26"/>
      <c r="T23" s="26"/>
    </row>
    <row r="24" spans="1:26">
      <c r="A24" s="116" t="s">
        <v>2404</v>
      </c>
      <c r="B24" s="116" t="s">
        <v>2350</v>
      </c>
      <c r="C24" s="150">
        <f t="array" ref="C24">AVERAGE(IF(LEFT($B$3:$B$20,2)=$B24,C$3:C$20))</f>
        <v>57.454545454545453</v>
      </c>
      <c r="D24" s="150">
        <f t="array" ref="D24">AVERAGE(IF(LEFT($B$3:$B$20,2)=$B24,D$3:D$20))</f>
        <v>3081.818181818182</v>
      </c>
      <c r="G24" s="225">
        <v>6</v>
      </c>
      <c r="H24" s="116" t="str">
        <f t="array" ref="H24">REPT("★",SUM(IF(($K$3:$K$19=$G24)*($I$3:$I$19=H$22),1)))</f>
        <v>★★</v>
      </c>
      <c r="I24" s="116" t="str">
        <f t="array" ref="I24">REPT("★",SUM(IF(($K$3:$K$19=$G24)*($I$3:$I$19=I$22),1)))</f>
        <v/>
      </c>
      <c r="J24" s="116" t="str">
        <f t="array" ref="J24">REPT("★",SUM(IF(($K$3:$K$19=$G24)*($I$3:$I$19=J$22),1)))</f>
        <v>★</v>
      </c>
      <c r="M24" s="220">
        <v>17</v>
      </c>
      <c r="N24" s="219" t="s">
        <v>2332</v>
      </c>
      <c r="O24" s="44">
        <v>21</v>
      </c>
      <c r="P24" s="26"/>
      <c r="T24" s="26"/>
    </row>
    <row r="25" spans="1:26">
      <c r="A25" s="116" t="s">
        <v>2349</v>
      </c>
      <c r="B25" s="116" t="s">
        <v>2348</v>
      </c>
      <c r="C25" s="150">
        <f t="array" ref="C25">AVERAGE(IF(LEFT($B$3:$B$20,2)=$B25,C$3:C$20))</f>
        <v>66.428571428571431</v>
      </c>
      <c r="D25" s="150">
        <f t="array" ref="D25">AVERAGE(IF(LEFT($B$3:$B$20,2)=$B25,D$3:D$20))</f>
        <v>2142.8571428571427</v>
      </c>
      <c r="G25" s="225">
        <v>12</v>
      </c>
      <c r="H25" s="116" t="str">
        <f t="array" ref="H25">REPT("★",SUM(IF(($K$3:$K$19=$G25)*($I$3:$I$19=H$22),1)))</f>
        <v>★★</v>
      </c>
      <c r="I25" s="116" t="str">
        <f t="array" ref="I25">REPT("★",SUM(IF(($K$3:$K$19=$G25)*($I$3:$I$19=I$22),1)))</f>
        <v>★★</v>
      </c>
      <c r="J25" s="116" t="str">
        <f t="array" ref="J25">REPT("★",SUM(IF(($K$3:$K$19=$G25)*($I$3:$I$19=J$22),1)))</f>
        <v>★★</v>
      </c>
      <c r="M25" s="220">
        <v>29</v>
      </c>
      <c r="N25" s="219" t="s">
        <v>2345</v>
      </c>
      <c r="O25" s="44">
        <v>2</v>
      </c>
      <c r="P25" s="26"/>
      <c r="T25" s="26"/>
      <c r="U25" s="26"/>
      <c r="V25" s="26"/>
      <c r="W25" s="26"/>
      <c r="Z25" s="26"/>
    </row>
    <row r="26" spans="1:26">
      <c r="M26" s="220">
        <v>26</v>
      </c>
      <c r="N26" s="219" t="s">
        <v>2345</v>
      </c>
      <c r="O26" s="44">
        <v>4</v>
      </c>
      <c r="P26" s="26"/>
      <c r="T26" s="26"/>
      <c r="U26" s="26"/>
      <c r="V26" s="26"/>
      <c r="W26" s="26"/>
      <c r="Z26" s="26"/>
    </row>
    <row r="27" spans="1:26">
      <c r="A27" t="s">
        <v>2403</v>
      </c>
      <c r="G27" s="224" t="s">
        <v>2402</v>
      </c>
      <c r="M27" s="220">
        <v>59</v>
      </c>
      <c r="N27" s="219" t="s">
        <v>2345</v>
      </c>
      <c r="O27" s="44">
        <v>2</v>
      </c>
      <c r="P27" s="26"/>
      <c r="Q27" s="45"/>
      <c r="R27" s="26"/>
      <c r="S27" s="26"/>
      <c r="T27" s="26"/>
      <c r="U27" s="26"/>
      <c r="V27" s="26"/>
      <c r="W27" s="26"/>
      <c r="Z27" s="26"/>
    </row>
    <row r="28" spans="1:26">
      <c r="A28" s="116" t="s">
        <v>2395</v>
      </c>
      <c r="B28" s="163" t="s">
        <v>2344</v>
      </c>
      <c r="G28" s="116" t="s">
        <v>2343</v>
      </c>
      <c r="H28" s="163" t="s">
        <v>2358</v>
      </c>
      <c r="I28" s="163" t="s">
        <v>2357</v>
      </c>
      <c r="J28" s="163" t="s">
        <v>2356</v>
      </c>
      <c r="M28" s="220">
        <v>43</v>
      </c>
      <c r="N28" s="219" t="s">
        <v>2332</v>
      </c>
      <c r="O28" s="44">
        <v>5</v>
      </c>
      <c r="P28" s="26"/>
      <c r="Q28" s="45"/>
      <c r="R28" s="26"/>
      <c r="S28" s="26"/>
      <c r="T28" s="26"/>
      <c r="U28" s="26"/>
      <c r="V28" s="26"/>
      <c r="W28" s="26"/>
      <c r="Z28" s="26"/>
    </row>
    <row r="29" spans="1:26">
      <c r="A29" s="151" t="s">
        <v>2341</v>
      </c>
      <c r="B29" s="151" t="str">
        <f t="array" ref="B29">REPT("★",QUOTIENT(SUM(($B$3:$B$20=A29)*$E$3:$E$20),100000))</f>
        <v>★★★</v>
      </c>
      <c r="D29" s="223"/>
      <c r="G29" s="222" t="s">
        <v>2340</v>
      </c>
      <c r="H29" s="221">
        <f t="array" ref="H29">AVERAGE(IF((RIGHT($G$3:$G$19,2)=$G29)*($I$3:$I$19=H$28),$H$3:$H$19))</f>
        <v>3700000</v>
      </c>
      <c r="I29" s="221">
        <f t="array" ref="I29">AVERAGE(IF((RIGHT($G$3:$G$19,2)=$G29)*($I$3:$I$19=I$28),$H$3:$H$19))</f>
        <v>2540000</v>
      </c>
      <c r="J29" s="221">
        <f t="array" ref="J29">AVERAGE(IF((RIGHT($G$3:$G$19,2)=$G29)*($I$3:$I$19=J$28),$H$3:$H$19))</f>
        <v>2840000</v>
      </c>
      <c r="M29" s="220">
        <v>53</v>
      </c>
      <c r="N29" s="219" t="s">
        <v>2345</v>
      </c>
      <c r="O29" s="44">
        <v>21</v>
      </c>
      <c r="P29" s="26"/>
      <c r="Q29" s="45"/>
      <c r="R29" s="26"/>
      <c r="S29" s="26"/>
      <c r="T29" s="26"/>
      <c r="U29" s="26"/>
      <c r="V29" s="26"/>
      <c r="W29" s="26"/>
      <c r="Z29" s="26"/>
    </row>
    <row r="30" spans="1:26">
      <c r="A30" s="151" t="s">
        <v>2361</v>
      </c>
      <c r="B30" s="151" t="str">
        <f t="array" ref="B30">REPT("★",QUOTIENT(SUM(($B$3:$B$20=A30)*$E$3:$E$20),100000))</f>
        <v>★★★</v>
      </c>
      <c r="G30" s="222" t="s">
        <v>2401</v>
      </c>
      <c r="H30" s="221">
        <f t="array" ref="H30">AVERAGE(IF((RIGHT($G$3:$G$19,2)=$G30)*($I$3:$I$19=H$28),$H$3:$H$19))</f>
        <v>1040000</v>
      </c>
      <c r="I30" s="221">
        <f t="array" ref="I30">AVERAGE(IF((RIGHT($G$3:$G$19,2)=$G30)*($I$3:$I$19=I$28),$H$3:$H$19))</f>
        <v>3512000</v>
      </c>
      <c r="J30" s="221">
        <f t="array" ref="J30">AVERAGE(IF((RIGHT($G$3:$G$19,2)=$G30)*($I$3:$I$19=J$28),$H$3:$H$19))</f>
        <v>6500000</v>
      </c>
      <c r="M30" s="220">
        <v>29</v>
      </c>
      <c r="N30" s="219" t="s">
        <v>2367</v>
      </c>
      <c r="O30" s="44">
        <v>18</v>
      </c>
      <c r="P30" s="26"/>
      <c r="Q30" s="45"/>
      <c r="R30" s="26"/>
      <c r="S30" s="26"/>
      <c r="T30" s="26"/>
      <c r="U30" s="26"/>
      <c r="V30" s="26"/>
      <c r="W30" s="26"/>
      <c r="Z30" s="26"/>
    </row>
    <row r="31" spans="1:26">
      <c r="A31" s="151" t="s">
        <v>2337</v>
      </c>
      <c r="B31" s="151" t="str">
        <f t="array" ref="B31">REPT("★",QUOTIENT(SUM(($B$3:$B$20=A31)*$E$3:$E$20),100000))</f>
        <v>★★★★★★★</v>
      </c>
      <c r="G31" s="222" t="s">
        <v>2400</v>
      </c>
      <c r="H31" s="221">
        <f t="array" ref="H31">AVERAGE(IF((RIGHT($G$3:$G$19,2)=$G31)*($I$3:$I$19=H$28),$H$3:$H$19))</f>
        <v>985200</v>
      </c>
      <c r="I31" s="221">
        <f t="array" ref="I31">AVERAGE(IF((RIGHT($G$3:$G$19,2)=$G31)*($I$3:$I$19=I$28),$H$3:$H$19))</f>
        <v>803500</v>
      </c>
      <c r="J31" s="221">
        <f t="array" ref="J31">AVERAGE(IF((RIGHT($G$3:$G$19,2)=$G31)*($I$3:$I$19=J$28),$H$3:$H$19))</f>
        <v>1000000</v>
      </c>
      <c r="M31" s="220">
        <v>18</v>
      </c>
      <c r="N31" s="219" t="s">
        <v>2352</v>
      </c>
      <c r="O31" s="44">
        <v>9</v>
      </c>
      <c r="P31" s="26"/>
      <c r="Q31" s="45"/>
      <c r="R31" s="26"/>
      <c r="S31" s="26"/>
      <c r="T31" s="26"/>
      <c r="U31" s="26"/>
      <c r="V31" s="26"/>
      <c r="W31" s="26"/>
      <c r="X31" s="26"/>
      <c r="Y31" s="26"/>
      <c r="Z31" s="26"/>
    </row>
    <row r="32" spans="1:26">
      <c r="A32" s="151" t="s">
        <v>2334</v>
      </c>
      <c r="B32" s="151" t="str">
        <f t="array" ref="B32">REPT("★",QUOTIENT(SUM(($B$3:$B$20=A32)*$E$3:$E$20),100000))</f>
        <v>★★★★★★</v>
      </c>
      <c r="G32" s="222" t="s">
        <v>2399</v>
      </c>
      <c r="H32" s="221">
        <f t="array" ref="H32">AVERAGE(IF((RIGHT($G$3:$G$19,2)=$G32)*($I$3:$I$19=H$28),$H$3:$H$19))</f>
        <v>7410000</v>
      </c>
      <c r="I32" s="221">
        <f t="array" ref="I32">AVERAGE(IF((RIGHT($G$3:$G$19,2)=$G32)*($I$3:$I$19=I$28),$H$3:$H$19))</f>
        <v>150000</v>
      </c>
      <c r="J32" s="221">
        <f t="array" ref="J32">AVERAGE(IF((RIGHT($G$3:$G$19,2)=$G32)*($I$3:$I$19=J$28),$H$3:$H$19))</f>
        <v>5130000</v>
      </c>
      <c r="M32" s="220">
        <v>41</v>
      </c>
      <c r="N32" s="219" t="s">
        <v>2332</v>
      </c>
      <c r="O32" s="44">
        <v>7</v>
      </c>
      <c r="P32" s="26"/>
      <c r="Q32" s="45"/>
      <c r="R32" s="26"/>
      <c r="S32" s="26"/>
      <c r="T32" s="26"/>
      <c r="U32" s="26"/>
      <c r="V32" s="26"/>
      <c r="W32" s="26"/>
      <c r="X32" s="26"/>
      <c r="Y32" s="26"/>
      <c r="Z32" s="26"/>
    </row>
    <row r="33" spans="1:26">
      <c r="A33" s="151" t="s">
        <v>2365</v>
      </c>
      <c r="B33" s="151" t="str">
        <f t="array" ref="B33">REPT("★",QUOTIENT(SUM(($B$3:$B$20=A33)*$E$3:$E$20),100000))</f>
        <v>★★★★★★★</v>
      </c>
      <c r="M33" s="220">
        <v>8</v>
      </c>
      <c r="N33" s="219" t="s">
        <v>2345</v>
      </c>
      <c r="O33" s="44">
        <v>9</v>
      </c>
      <c r="P33" s="26"/>
      <c r="Q33" s="45"/>
      <c r="R33" s="26"/>
      <c r="S33" s="26"/>
      <c r="T33" s="26"/>
      <c r="U33" s="26"/>
      <c r="V33" s="26"/>
      <c r="W33" s="26"/>
      <c r="X33" s="26"/>
      <c r="Y33" s="26"/>
      <c r="Z33" s="26"/>
    </row>
    <row r="34" spans="1:26">
      <c r="P34" s="26"/>
      <c r="Q34" s="45"/>
      <c r="R34" s="26"/>
      <c r="S34" s="26"/>
      <c r="T34" s="26"/>
      <c r="U34" s="26"/>
      <c r="V34" s="26"/>
      <c r="W34" s="26"/>
      <c r="X34" s="26"/>
      <c r="Y34" s="26"/>
      <c r="Z34" s="26"/>
    </row>
    <row r="35" spans="1:26">
      <c r="P35" s="26"/>
      <c r="Q35" s="45"/>
      <c r="R35" s="26"/>
      <c r="S35" s="26"/>
      <c r="T35" s="26"/>
      <c r="U35" s="26"/>
      <c r="V35" s="26"/>
      <c r="W35" s="26"/>
      <c r="X35" s="26"/>
      <c r="Y35" s="26"/>
      <c r="Z35" s="26"/>
    </row>
    <row r="36" spans="1:26">
      <c r="P36" s="26"/>
      <c r="Q36" s="45"/>
      <c r="R36" s="26"/>
      <c r="S36" s="26"/>
      <c r="T36" s="26"/>
      <c r="U36" s="26"/>
      <c r="V36" s="26"/>
      <c r="W36" s="26"/>
      <c r="X36" s="26"/>
      <c r="Y36" s="26"/>
      <c r="Z36" s="26"/>
    </row>
    <row r="37" spans="1:26">
      <c r="P37" s="26"/>
      <c r="Q37" s="45"/>
      <c r="R37" s="26"/>
      <c r="S37" s="26"/>
      <c r="T37" s="26"/>
      <c r="U37" s="26"/>
      <c r="V37" s="26"/>
      <c r="W37" s="26"/>
      <c r="X37" s="26"/>
      <c r="Y37" s="26"/>
      <c r="Z37" s="26"/>
    </row>
    <row r="38" spans="1:26">
      <c r="P38" s="26"/>
      <c r="Q38" s="45"/>
      <c r="R38" s="26"/>
      <c r="S38" s="26"/>
      <c r="T38" s="26"/>
      <c r="U38" s="8"/>
      <c r="V38" s="8"/>
      <c r="W38" s="8"/>
      <c r="X38" s="26"/>
      <c r="Y38" s="26"/>
      <c r="Z38" s="26"/>
    </row>
  </sheetData>
  <mergeCells count="2">
    <mergeCell ref="Q3:R3"/>
    <mergeCell ref="Q13:Q14"/>
  </mergeCells>
  <phoneticPr fontId="2" type="noConversion"/>
  <pageMargins left="0.7" right="0.7" top="0.75" bottom="0.75" header="0.3" footer="0.3"/>
  <ignoredErrors>
    <ignoredError sqref="G29:G32" numberStoredAsText="1"/>
  </ignoredError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31"/>
  <sheetViews>
    <sheetView workbookViewId="0"/>
  </sheetViews>
  <sheetFormatPr defaultRowHeight="17"/>
  <cols>
    <col min="3" max="3" width="10.83203125" bestFit="1" customWidth="1"/>
    <col min="5" max="5" width="9.33203125" bestFit="1" customWidth="1"/>
    <col min="6" max="6" width="1.58203125" customWidth="1"/>
    <col min="9" max="9" width="11" bestFit="1" customWidth="1"/>
    <col min="13" max="13" width="1.58203125" customWidth="1"/>
    <col min="16" max="16" width="11" bestFit="1" customWidth="1"/>
    <col min="18" max="18" width="10.75" bestFit="1" customWidth="1"/>
  </cols>
  <sheetData>
    <row r="1" spans="1:18">
      <c r="A1" t="s">
        <v>2398</v>
      </c>
      <c r="G1" t="s">
        <v>2480</v>
      </c>
      <c r="N1" s="231" t="s">
        <v>1871</v>
      </c>
      <c r="O1" s="45"/>
      <c r="P1" s="237"/>
      <c r="Q1" s="237"/>
      <c r="R1" s="237"/>
    </row>
    <row r="2" spans="1:18">
      <c r="A2" s="124" t="s">
        <v>2479</v>
      </c>
      <c r="B2" s="124" t="s">
        <v>2394</v>
      </c>
      <c r="C2" s="124" t="s">
        <v>2393</v>
      </c>
      <c r="D2" s="124" t="s">
        <v>2392</v>
      </c>
      <c r="E2" s="163" t="s">
        <v>2478</v>
      </c>
      <c r="G2" s="116" t="s">
        <v>1868</v>
      </c>
      <c r="H2" s="116" t="s">
        <v>1867</v>
      </c>
      <c r="I2" s="116" t="s">
        <v>1866</v>
      </c>
      <c r="J2" s="116" t="s">
        <v>1865</v>
      </c>
      <c r="K2" s="116" t="s">
        <v>2477</v>
      </c>
      <c r="L2" s="163" t="s">
        <v>2476</v>
      </c>
      <c r="N2" s="164" t="s">
        <v>2390</v>
      </c>
      <c r="O2" s="164" t="s">
        <v>1784</v>
      </c>
      <c r="P2" s="245" t="s">
        <v>2389</v>
      </c>
      <c r="Q2" s="245" t="s">
        <v>2475</v>
      </c>
      <c r="R2" s="243" t="s">
        <v>2474</v>
      </c>
    </row>
    <row r="3" spans="1:18">
      <c r="A3" s="116" t="s">
        <v>2469</v>
      </c>
      <c r="B3" s="116" t="s">
        <v>2368</v>
      </c>
      <c r="C3" s="150">
        <v>1000000</v>
      </c>
      <c r="D3" s="120">
        <v>0.03</v>
      </c>
      <c r="E3" s="221"/>
      <c r="G3" s="116" t="s">
        <v>1860</v>
      </c>
      <c r="H3" s="151">
        <v>55</v>
      </c>
      <c r="I3" s="150">
        <v>1500</v>
      </c>
      <c r="J3" s="150">
        <f t="shared" ref="J3:J15" si="0">H3*I3</f>
        <v>82500</v>
      </c>
      <c r="K3" s="116" t="s">
        <v>2470</v>
      </c>
      <c r="L3" s="150"/>
      <c r="N3" s="236">
        <v>24</v>
      </c>
      <c r="O3" s="232" t="s">
        <v>2352</v>
      </c>
      <c r="P3" s="41">
        <v>5</v>
      </c>
      <c r="Q3" s="41">
        <v>3</v>
      </c>
      <c r="R3" s="244"/>
    </row>
    <row r="4" spans="1:18">
      <c r="A4" s="116" t="s">
        <v>2464</v>
      </c>
      <c r="B4" s="116" t="s">
        <v>2376</v>
      </c>
      <c r="C4" s="150">
        <v>800000</v>
      </c>
      <c r="D4" s="120">
        <v>0.02</v>
      </c>
      <c r="E4" s="221"/>
      <c r="G4" s="116" t="s">
        <v>1857</v>
      </c>
      <c r="H4" s="151">
        <v>20</v>
      </c>
      <c r="I4" s="150">
        <v>3000</v>
      </c>
      <c r="J4" s="150">
        <f t="shared" si="0"/>
        <v>60000</v>
      </c>
      <c r="K4" s="116" t="s">
        <v>2461</v>
      </c>
      <c r="L4" s="150"/>
      <c r="N4" s="220">
        <v>41</v>
      </c>
      <c r="O4" s="219" t="s">
        <v>2332</v>
      </c>
      <c r="P4" s="44">
        <v>3</v>
      </c>
      <c r="Q4" s="44">
        <v>0</v>
      </c>
      <c r="R4" s="244"/>
    </row>
    <row r="5" spans="1:18">
      <c r="A5" s="116" t="s">
        <v>1721</v>
      </c>
      <c r="B5" s="116" t="s">
        <v>2368</v>
      </c>
      <c r="C5" s="150">
        <v>750000</v>
      </c>
      <c r="D5" s="120">
        <v>0.01</v>
      </c>
      <c r="E5" s="221"/>
      <c r="G5" s="116" t="s">
        <v>1855</v>
      </c>
      <c r="H5" s="151">
        <v>20</v>
      </c>
      <c r="I5" s="150">
        <v>2000</v>
      </c>
      <c r="J5" s="150">
        <f t="shared" si="0"/>
        <v>40000</v>
      </c>
      <c r="K5" s="116" t="s">
        <v>2459</v>
      </c>
      <c r="L5" s="150"/>
      <c r="N5" s="220">
        <v>50</v>
      </c>
      <c r="O5" s="219" t="s">
        <v>2345</v>
      </c>
      <c r="P5" s="44">
        <v>15</v>
      </c>
      <c r="Q5" s="44">
        <v>0</v>
      </c>
      <c r="R5" s="244"/>
    </row>
    <row r="6" spans="1:18">
      <c r="A6" s="116" t="s">
        <v>2471</v>
      </c>
      <c r="B6" s="116" t="s">
        <v>2370</v>
      </c>
      <c r="C6" s="150">
        <v>150000</v>
      </c>
      <c r="D6" s="120">
        <v>0.03</v>
      </c>
      <c r="E6" s="221"/>
      <c r="G6" s="116" t="s">
        <v>1853</v>
      </c>
      <c r="H6" s="151">
        <v>21</v>
      </c>
      <c r="I6" s="150">
        <v>5300</v>
      </c>
      <c r="J6" s="150">
        <f t="shared" si="0"/>
        <v>111300</v>
      </c>
      <c r="K6" s="116" t="s">
        <v>2459</v>
      </c>
      <c r="L6" s="150"/>
      <c r="N6" s="220">
        <v>29</v>
      </c>
      <c r="O6" s="219" t="s">
        <v>2367</v>
      </c>
      <c r="P6" s="44">
        <v>15</v>
      </c>
      <c r="Q6" s="44">
        <v>0</v>
      </c>
      <c r="R6" s="244"/>
    </row>
    <row r="7" spans="1:18">
      <c r="A7" s="116" t="s">
        <v>2473</v>
      </c>
      <c r="B7" s="116" t="s">
        <v>2463</v>
      </c>
      <c r="C7" s="150">
        <v>1650000</v>
      </c>
      <c r="D7" s="120">
        <v>0.02</v>
      </c>
      <c r="E7" s="221"/>
      <c r="G7" s="116" t="s">
        <v>2380</v>
      </c>
      <c r="H7" s="151">
        <v>95</v>
      </c>
      <c r="I7" s="150">
        <v>3000</v>
      </c>
      <c r="J7" s="150">
        <f t="shared" si="0"/>
        <v>285000</v>
      </c>
      <c r="K7" s="116" t="s">
        <v>2459</v>
      </c>
      <c r="L7" s="150"/>
      <c r="N7" s="220">
        <v>42</v>
      </c>
      <c r="O7" s="219" t="s">
        <v>2367</v>
      </c>
      <c r="P7" s="44">
        <v>5</v>
      </c>
      <c r="Q7" s="44">
        <v>1</v>
      </c>
      <c r="R7" s="244"/>
    </row>
    <row r="8" spans="1:18">
      <c r="A8" s="116" t="s">
        <v>2472</v>
      </c>
      <c r="B8" s="116" t="s">
        <v>2364</v>
      </c>
      <c r="C8" s="150">
        <v>1560000</v>
      </c>
      <c r="D8" s="120">
        <v>0.01</v>
      </c>
      <c r="E8" s="221"/>
      <c r="G8" s="116" t="s">
        <v>1847</v>
      </c>
      <c r="H8" s="151">
        <v>120</v>
      </c>
      <c r="I8" s="150">
        <v>2500</v>
      </c>
      <c r="J8" s="150">
        <f t="shared" si="0"/>
        <v>300000</v>
      </c>
      <c r="K8" s="116" t="s">
        <v>2459</v>
      </c>
      <c r="L8" s="150"/>
      <c r="N8" s="220">
        <v>7</v>
      </c>
      <c r="O8" s="219" t="s">
        <v>2367</v>
      </c>
      <c r="P8" s="44">
        <v>10</v>
      </c>
      <c r="Q8" s="44">
        <v>0</v>
      </c>
      <c r="R8" s="244"/>
    </row>
    <row r="9" spans="1:18">
      <c r="A9" s="116" t="s">
        <v>1721</v>
      </c>
      <c r="B9" s="116" t="s">
        <v>2376</v>
      </c>
      <c r="C9" s="150">
        <v>1280000</v>
      </c>
      <c r="D9" s="120">
        <v>0.03</v>
      </c>
      <c r="E9" s="221"/>
      <c r="G9" s="116" t="s">
        <v>1845</v>
      </c>
      <c r="H9" s="151">
        <v>20</v>
      </c>
      <c r="I9" s="150">
        <v>2000</v>
      </c>
      <c r="J9" s="150">
        <f t="shared" si="0"/>
        <v>40000</v>
      </c>
      <c r="K9" s="116" t="s">
        <v>2461</v>
      </c>
      <c r="L9" s="150"/>
      <c r="N9" s="220">
        <v>45</v>
      </c>
      <c r="O9" s="219" t="s">
        <v>2345</v>
      </c>
      <c r="P9" s="44">
        <v>14</v>
      </c>
      <c r="Q9" s="44">
        <v>1</v>
      </c>
      <c r="R9" s="244"/>
    </row>
    <row r="10" spans="1:18">
      <c r="A10" s="116" t="s">
        <v>2472</v>
      </c>
      <c r="B10" s="116" t="s">
        <v>2364</v>
      </c>
      <c r="C10" s="150">
        <v>2540000</v>
      </c>
      <c r="D10" s="120">
        <v>0.02</v>
      </c>
      <c r="E10" s="221"/>
      <c r="G10" s="116" t="s">
        <v>1842</v>
      </c>
      <c r="H10" s="151">
        <v>25</v>
      </c>
      <c r="I10" s="150">
        <v>5300</v>
      </c>
      <c r="J10" s="150">
        <f t="shared" si="0"/>
        <v>132500</v>
      </c>
      <c r="K10" s="116" t="s">
        <v>2459</v>
      </c>
      <c r="L10" s="150"/>
      <c r="N10" s="220">
        <v>16</v>
      </c>
      <c r="O10" s="219" t="s">
        <v>2367</v>
      </c>
      <c r="P10" s="44">
        <v>5</v>
      </c>
      <c r="Q10" s="44">
        <v>1</v>
      </c>
      <c r="R10" s="244"/>
    </row>
    <row r="11" spans="1:18">
      <c r="A11" s="116" t="s">
        <v>2471</v>
      </c>
      <c r="B11" s="116" t="s">
        <v>2376</v>
      </c>
      <c r="C11" s="150">
        <v>3512000</v>
      </c>
      <c r="D11" s="120">
        <v>0.03</v>
      </c>
      <c r="E11" s="221"/>
      <c r="G11" s="116" t="s">
        <v>1836</v>
      </c>
      <c r="H11" s="151">
        <v>55</v>
      </c>
      <c r="I11" s="150">
        <v>2500</v>
      </c>
      <c r="J11" s="150">
        <f t="shared" si="0"/>
        <v>137500</v>
      </c>
      <c r="K11" s="116" t="s">
        <v>2470</v>
      </c>
      <c r="L11" s="150"/>
      <c r="N11" s="220">
        <v>51</v>
      </c>
      <c r="O11" s="219" t="s">
        <v>2352</v>
      </c>
      <c r="P11" s="44">
        <v>8</v>
      </c>
      <c r="Q11" s="44">
        <v>0</v>
      </c>
      <c r="R11" s="244"/>
    </row>
    <row r="12" spans="1:18">
      <c r="A12" s="116" t="s">
        <v>2469</v>
      </c>
      <c r="B12" s="116" t="s">
        <v>2463</v>
      </c>
      <c r="C12" s="150">
        <v>790000</v>
      </c>
      <c r="D12" s="120">
        <v>0.01</v>
      </c>
      <c r="E12" s="221"/>
      <c r="G12" s="116" t="s">
        <v>2377</v>
      </c>
      <c r="H12" s="151">
        <v>30</v>
      </c>
      <c r="I12" s="150">
        <v>2000</v>
      </c>
      <c r="J12" s="150">
        <f t="shared" si="0"/>
        <v>60000</v>
      </c>
      <c r="K12" s="116" t="s">
        <v>2461</v>
      </c>
      <c r="L12" s="150"/>
      <c r="N12" s="220">
        <v>46</v>
      </c>
      <c r="O12" s="219" t="s">
        <v>2468</v>
      </c>
      <c r="P12" s="44">
        <v>8</v>
      </c>
      <c r="Q12" s="44">
        <v>2</v>
      </c>
      <c r="R12" s="244"/>
    </row>
    <row r="13" spans="1:18">
      <c r="A13" s="116" t="s">
        <v>2467</v>
      </c>
      <c r="B13" s="116" t="s">
        <v>2378</v>
      </c>
      <c r="C13" s="150">
        <v>4500000</v>
      </c>
      <c r="D13" s="120">
        <v>0.02</v>
      </c>
      <c r="E13" s="221"/>
      <c r="G13" s="116" t="s">
        <v>2466</v>
      </c>
      <c r="H13" s="151">
        <v>25</v>
      </c>
      <c r="I13" s="150">
        <v>5300</v>
      </c>
      <c r="J13" s="150">
        <f t="shared" si="0"/>
        <v>132500</v>
      </c>
      <c r="K13" s="116" t="s">
        <v>2465</v>
      </c>
      <c r="L13" s="150"/>
      <c r="N13" s="220">
        <v>22</v>
      </c>
      <c r="O13" s="219" t="s">
        <v>2352</v>
      </c>
      <c r="P13" s="44">
        <v>21</v>
      </c>
      <c r="Q13" s="44">
        <v>0</v>
      </c>
      <c r="R13" s="244"/>
    </row>
    <row r="14" spans="1:18">
      <c r="A14" s="116" t="s">
        <v>2464</v>
      </c>
      <c r="B14" s="116" t="s">
        <v>2463</v>
      </c>
      <c r="C14" s="150">
        <v>2453000</v>
      </c>
      <c r="D14" s="120">
        <v>0.03</v>
      </c>
      <c r="E14" s="221"/>
      <c r="G14" s="116" t="s">
        <v>2462</v>
      </c>
      <c r="H14" s="151">
        <v>55</v>
      </c>
      <c r="I14" s="150">
        <v>3000</v>
      </c>
      <c r="J14" s="150">
        <f t="shared" si="0"/>
        <v>165000</v>
      </c>
      <c r="K14" s="116" t="s">
        <v>2461</v>
      </c>
      <c r="L14" s="150"/>
      <c r="N14" s="220">
        <v>21</v>
      </c>
      <c r="O14" s="219" t="s">
        <v>2345</v>
      </c>
      <c r="P14" s="44">
        <v>20</v>
      </c>
      <c r="Q14" s="44">
        <v>0</v>
      </c>
      <c r="R14" s="244"/>
    </row>
    <row r="15" spans="1:18">
      <c r="A15" s="116" t="s">
        <v>1721</v>
      </c>
      <c r="B15" s="116" t="s">
        <v>2368</v>
      </c>
      <c r="C15" s="150">
        <v>985200</v>
      </c>
      <c r="D15" s="120">
        <v>0.02</v>
      </c>
      <c r="E15" s="221"/>
      <c r="G15" s="116" t="s">
        <v>2460</v>
      </c>
      <c r="H15" s="151">
        <v>32</v>
      </c>
      <c r="I15" s="150">
        <v>5300</v>
      </c>
      <c r="J15" s="150">
        <f t="shared" si="0"/>
        <v>169600</v>
      </c>
      <c r="K15" s="116" t="s">
        <v>2459</v>
      </c>
      <c r="L15" s="150"/>
      <c r="N15" s="220">
        <v>13</v>
      </c>
      <c r="O15" s="219" t="s">
        <v>2458</v>
      </c>
      <c r="P15" s="44">
        <v>8</v>
      </c>
      <c r="Q15" s="44">
        <v>0</v>
      </c>
      <c r="R15" s="244"/>
    </row>
    <row r="17" spans="1:18">
      <c r="A17" t="s">
        <v>2397</v>
      </c>
      <c r="B17" s="139"/>
      <c r="G17" s="8" t="s">
        <v>2457</v>
      </c>
      <c r="H17" s="8"/>
      <c r="I17" s="8"/>
      <c r="J17" s="8"/>
      <c r="K17" s="8"/>
      <c r="L17" s="8"/>
      <c r="N17" t="s">
        <v>2231</v>
      </c>
    </row>
    <row r="18" spans="1:18">
      <c r="A18" s="116" t="s">
        <v>2321</v>
      </c>
      <c r="B18" s="116" t="s">
        <v>2456</v>
      </c>
      <c r="C18" s="116" t="s">
        <v>2455</v>
      </c>
      <c r="D18" s="116" t="s">
        <v>2325</v>
      </c>
      <c r="E18" s="163" t="s">
        <v>2454</v>
      </c>
      <c r="G18" s="146" t="s">
        <v>2453</v>
      </c>
      <c r="H18" s="146" t="s">
        <v>2447</v>
      </c>
      <c r="I18" s="146" t="s">
        <v>2452</v>
      </c>
      <c r="J18" s="146" t="s">
        <v>2451</v>
      </c>
      <c r="K18" s="146" t="s">
        <v>2450</v>
      </c>
      <c r="L18" s="243" t="s">
        <v>2449</v>
      </c>
      <c r="N18" s="116" t="s">
        <v>2448</v>
      </c>
      <c r="O18" s="116" t="s">
        <v>2447</v>
      </c>
      <c r="P18" s="116" t="s">
        <v>2446</v>
      </c>
      <c r="Q18" s="116" t="s">
        <v>2445</v>
      </c>
      <c r="R18" s="243" t="s">
        <v>2444</v>
      </c>
    </row>
    <row r="19" spans="1:18">
      <c r="A19" s="116" t="s">
        <v>2282</v>
      </c>
      <c r="B19" s="116" t="s">
        <v>2411</v>
      </c>
      <c r="C19" s="116" t="s">
        <v>2244</v>
      </c>
      <c r="D19" s="150">
        <v>6800</v>
      </c>
      <c r="E19" s="150"/>
      <c r="G19" s="146" t="s">
        <v>2442</v>
      </c>
      <c r="H19" s="146" t="s">
        <v>2417</v>
      </c>
      <c r="I19" s="146" t="s">
        <v>2430</v>
      </c>
      <c r="J19" s="240">
        <v>100</v>
      </c>
      <c r="K19" s="240">
        <v>35</v>
      </c>
      <c r="L19" s="239"/>
      <c r="N19" s="116" t="s">
        <v>2443</v>
      </c>
      <c r="O19" s="116" t="s">
        <v>2422</v>
      </c>
      <c r="P19" s="151">
        <v>6</v>
      </c>
      <c r="Q19" s="151">
        <v>120</v>
      </c>
      <c r="R19" s="238"/>
    </row>
    <row r="20" spans="1:18">
      <c r="A20" s="116" t="s">
        <v>2278</v>
      </c>
      <c r="B20" s="116" t="s">
        <v>2411</v>
      </c>
      <c r="C20" s="116" t="s">
        <v>2280</v>
      </c>
      <c r="D20" s="150">
        <v>200000</v>
      </c>
      <c r="E20" s="150"/>
      <c r="G20" s="146" t="s">
        <v>2442</v>
      </c>
      <c r="H20" s="146" t="s">
        <v>2438</v>
      </c>
      <c r="I20" s="146" t="s">
        <v>2413</v>
      </c>
      <c r="J20" s="240">
        <v>64</v>
      </c>
      <c r="K20" s="240">
        <v>19.2</v>
      </c>
      <c r="L20" s="239"/>
      <c r="N20" s="116" t="s">
        <v>2407</v>
      </c>
      <c r="O20" s="116" t="s">
        <v>2406</v>
      </c>
      <c r="P20" s="151">
        <v>1</v>
      </c>
      <c r="Q20" s="151">
        <v>15</v>
      </c>
      <c r="R20" s="238"/>
    </row>
    <row r="21" spans="1:18">
      <c r="A21" s="116" t="s">
        <v>2282</v>
      </c>
      <c r="B21" s="116" t="s">
        <v>2411</v>
      </c>
      <c r="C21" s="116" t="s">
        <v>2159</v>
      </c>
      <c r="D21" s="150">
        <v>110000</v>
      </c>
      <c r="E21" s="150"/>
      <c r="G21" s="146" t="s">
        <v>2442</v>
      </c>
      <c r="H21" s="241" t="s">
        <v>2417</v>
      </c>
      <c r="I21" s="146" t="s">
        <v>2419</v>
      </c>
      <c r="J21" s="240">
        <v>92</v>
      </c>
      <c r="K21" s="240">
        <v>18.400000000000002</v>
      </c>
      <c r="L21" s="239"/>
      <c r="N21" s="116" t="s">
        <v>2429</v>
      </c>
      <c r="O21" s="116" t="s">
        <v>2417</v>
      </c>
      <c r="P21" s="151">
        <v>4</v>
      </c>
      <c r="Q21" s="151">
        <v>230</v>
      </c>
      <c r="R21" s="238"/>
    </row>
    <row r="22" spans="1:18">
      <c r="A22" s="116" t="s">
        <v>2282</v>
      </c>
      <c r="B22" s="116" t="s">
        <v>2411</v>
      </c>
      <c r="C22" s="116" t="s">
        <v>2144</v>
      </c>
      <c r="D22" s="150">
        <v>4500</v>
      </c>
      <c r="E22" s="150"/>
      <c r="G22" s="146" t="s">
        <v>2441</v>
      </c>
      <c r="H22" s="146" t="s">
        <v>2420</v>
      </c>
      <c r="I22" s="146" t="s">
        <v>2430</v>
      </c>
      <c r="J22" s="240">
        <v>96</v>
      </c>
      <c r="K22" s="240">
        <v>28.799999999999997</v>
      </c>
      <c r="L22" s="239"/>
      <c r="N22" s="242" t="s">
        <v>2440</v>
      </c>
      <c r="O22" s="116" t="s">
        <v>2422</v>
      </c>
      <c r="P22" s="151">
        <v>8</v>
      </c>
      <c r="Q22" s="151">
        <v>131</v>
      </c>
      <c r="R22" s="238"/>
    </row>
    <row r="23" spans="1:18">
      <c r="A23" s="116" t="s">
        <v>2169</v>
      </c>
      <c r="B23" s="116" t="s">
        <v>2436</v>
      </c>
      <c r="C23" s="116" t="s">
        <v>2432</v>
      </c>
      <c r="D23" s="150">
        <v>123000</v>
      </c>
      <c r="E23" s="150"/>
      <c r="G23" s="146" t="s">
        <v>2439</v>
      </c>
      <c r="H23" s="241" t="s">
        <v>2438</v>
      </c>
      <c r="I23" s="146" t="s">
        <v>2427</v>
      </c>
      <c r="J23" s="240">
        <v>84</v>
      </c>
      <c r="K23" s="240">
        <v>25.2</v>
      </c>
      <c r="L23" s="239"/>
      <c r="N23" s="242" t="s">
        <v>2437</v>
      </c>
      <c r="O23" s="116" t="s">
        <v>2406</v>
      </c>
      <c r="P23" s="151">
        <v>5</v>
      </c>
      <c r="Q23" s="151">
        <v>155</v>
      </c>
      <c r="R23" s="238"/>
    </row>
    <row r="24" spans="1:18">
      <c r="A24" s="116" t="s">
        <v>2261</v>
      </c>
      <c r="B24" s="116" t="s">
        <v>2433</v>
      </c>
      <c r="C24" s="116" t="s">
        <v>2244</v>
      </c>
      <c r="D24" s="150">
        <v>53200</v>
      </c>
      <c r="E24" s="150"/>
      <c r="G24" s="146" t="s">
        <v>2431</v>
      </c>
      <c r="H24" s="146" t="s">
        <v>2414</v>
      </c>
      <c r="I24" s="146" t="s">
        <v>2413</v>
      </c>
      <c r="J24" s="240">
        <v>100</v>
      </c>
      <c r="K24" s="240">
        <v>30</v>
      </c>
      <c r="L24" s="239"/>
      <c r="N24" s="116" t="s">
        <v>2423</v>
      </c>
      <c r="O24" s="116" t="s">
        <v>2422</v>
      </c>
      <c r="P24" s="151">
        <v>5</v>
      </c>
      <c r="Q24" s="151">
        <v>75</v>
      </c>
      <c r="R24" s="238"/>
    </row>
    <row r="25" spans="1:18">
      <c r="A25" s="116" t="s">
        <v>2284</v>
      </c>
      <c r="B25" s="116" t="s">
        <v>2436</v>
      </c>
      <c r="C25" s="116" t="s">
        <v>2303</v>
      </c>
      <c r="D25" s="150">
        <v>31100</v>
      </c>
      <c r="E25" s="150"/>
      <c r="G25" s="146" t="s">
        <v>2431</v>
      </c>
      <c r="H25" s="241" t="s">
        <v>2417</v>
      </c>
      <c r="I25" s="146" t="s">
        <v>2435</v>
      </c>
      <c r="J25" s="240">
        <v>88</v>
      </c>
      <c r="K25" s="240">
        <v>30.799999999999997</v>
      </c>
      <c r="L25" s="239"/>
      <c r="N25" s="242" t="s">
        <v>2434</v>
      </c>
      <c r="O25" s="116" t="s">
        <v>2422</v>
      </c>
      <c r="P25" s="151">
        <v>6</v>
      </c>
      <c r="Q25" s="151">
        <v>229</v>
      </c>
      <c r="R25" s="238"/>
    </row>
    <row r="26" spans="1:18">
      <c r="A26" s="116" t="s">
        <v>2261</v>
      </c>
      <c r="B26" s="116" t="s">
        <v>2433</v>
      </c>
      <c r="C26" s="116" t="s">
        <v>2432</v>
      </c>
      <c r="D26" s="150">
        <v>62140</v>
      </c>
      <c r="E26" s="150"/>
      <c r="G26" s="146" t="s">
        <v>2431</v>
      </c>
      <c r="H26" s="146" t="s">
        <v>2420</v>
      </c>
      <c r="I26" s="146" t="s">
        <v>2430</v>
      </c>
      <c r="J26" s="240">
        <v>92</v>
      </c>
      <c r="K26" s="240">
        <v>27.599999999999998</v>
      </c>
      <c r="L26" s="239"/>
      <c r="N26" s="116" t="s">
        <v>2429</v>
      </c>
      <c r="O26" s="116" t="s">
        <v>2428</v>
      </c>
      <c r="P26" s="151">
        <v>5</v>
      </c>
      <c r="Q26" s="151">
        <v>89</v>
      </c>
      <c r="R26" s="238"/>
    </row>
    <row r="27" spans="1:18">
      <c r="A27" s="116" t="s">
        <v>2273</v>
      </c>
      <c r="B27" s="116" t="s">
        <v>2416</v>
      </c>
      <c r="C27" s="116" t="s">
        <v>2244</v>
      </c>
      <c r="D27" s="150">
        <v>7800</v>
      </c>
      <c r="E27" s="150"/>
      <c r="G27" s="146" t="s">
        <v>2415</v>
      </c>
      <c r="H27" s="146" t="s">
        <v>2417</v>
      </c>
      <c r="I27" s="146" t="s">
        <v>2427</v>
      </c>
      <c r="J27" s="240">
        <v>88</v>
      </c>
      <c r="K27" s="240">
        <v>30.799999999999997</v>
      </c>
      <c r="L27" s="239"/>
      <c r="N27" s="242" t="s">
        <v>2426</v>
      </c>
      <c r="O27" s="116" t="s">
        <v>2417</v>
      </c>
      <c r="P27" s="151">
        <v>3</v>
      </c>
      <c r="Q27" s="151">
        <v>49</v>
      </c>
      <c r="R27" s="238"/>
    </row>
    <row r="28" spans="1:18">
      <c r="A28" s="116" t="s">
        <v>2286</v>
      </c>
      <c r="B28" s="116" t="s">
        <v>2425</v>
      </c>
      <c r="C28" s="116" t="s">
        <v>2244</v>
      </c>
      <c r="D28" s="150">
        <v>15000</v>
      </c>
      <c r="E28" s="150"/>
      <c r="G28" s="146" t="s">
        <v>2415</v>
      </c>
      <c r="H28" s="241" t="s">
        <v>2414</v>
      </c>
      <c r="I28" s="146" t="s">
        <v>2424</v>
      </c>
      <c r="J28" s="240">
        <v>72</v>
      </c>
      <c r="K28" s="240">
        <v>7.2</v>
      </c>
      <c r="L28" s="239"/>
      <c r="N28" s="116" t="s">
        <v>2423</v>
      </c>
      <c r="O28" s="116" t="s">
        <v>2422</v>
      </c>
      <c r="P28" s="151">
        <v>2</v>
      </c>
      <c r="Q28" s="151">
        <v>50</v>
      </c>
      <c r="R28" s="238"/>
    </row>
    <row r="29" spans="1:18">
      <c r="A29" s="116" t="s">
        <v>2282</v>
      </c>
      <c r="B29" s="116" t="s">
        <v>2411</v>
      </c>
      <c r="C29" s="116" t="s">
        <v>2421</v>
      </c>
      <c r="D29" s="150">
        <v>52500</v>
      </c>
      <c r="E29" s="150"/>
      <c r="G29" s="146" t="s">
        <v>2410</v>
      </c>
      <c r="H29" s="241" t="s">
        <v>2420</v>
      </c>
      <c r="I29" s="146" t="s">
        <v>2419</v>
      </c>
      <c r="J29" s="240">
        <v>68</v>
      </c>
      <c r="K29" s="240">
        <v>13.600000000000001</v>
      </c>
      <c r="L29" s="239"/>
      <c r="N29" s="242" t="s">
        <v>2418</v>
      </c>
      <c r="O29" s="116" t="s">
        <v>2417</v>
      </c>
      <c r="P29" s="151">
        <v>4</v>
      </c>
      <c r="Q29" s="151">
        <v>70</v>
      </c>
      <c r="R29" s="238"/>
    </row>
    <row r="30" spans="1:18">
      <c r="A30" s="116" t="s">
        <v>2273</v>
      </c>
      <c r="B30" s="116" t="s">
        <v>2416</v>
      </c>
      <c r="C30" s="116" t="s">
        <v>2144</v>
      </c>
      <c r="D30" s="150">
        <v>132000</v>
      </c>
      <c r="E30" s="150"/>
      <c r="G30" s="146" t="s">
        <v>2415</v>
      </c>
      <c r="H30" s="241" t="s">
        <v>2414</v>
      </c>
      <c r="I30" s="146" t="s">
        <v>2413</v>
      </c>
      <c r="J30" s="240">
        <v>88</v>
      </c>
      <c r="K30" s="240">
        <v>26.4</v>
      </c>
      <c r="L30" s="239"/>
      <c r="N30" s="116" t="s">
        <v>2412</v>
      </c>
      <c r="O30" s="116" t="s">
        <v>2406</v>
      </c>
      <c r="P30" s="151">
        <v>3</v>
      </c>
      <c r="Q30" s="151">
        <v>42</v>
      </c>
      <c r="R30" s="238"/>
    </row>
    <row r="31" spans="1:18">
      <c r="A31" s="116" t="s">
        <v>2178</v>
      </c>
      <c r="B31" s="116" t="s">
        <v>2411</v>
      </c>
      <c r="C31" s="116" t="s">
        <v>2280</v>
      </c>
      <c r="D31" s="150">
        <v>200000</v>
      </c>
      <c r="E31" s="150"/>
      <c r="G31" s="146" t="s">
        <v>2410</v>
      </c>
      <c r="H31" s="241" t="s">
        <v>2409</v>
      </c>
      <c r="I31" s="146" t="s">
        <v>2408</v>
      </c>
      <c r="J31" s="240">
        <v>64</v>
      </c>
      <c r="K31" s="240">
        <v>6.4</v>
      </c>
      <c r="L31" s="239"/>
      <c r="N31" s="116" t="s">
        <v>2407</v>
      </c>
      <c r="O31" s="116" t="s">
        <v>2406</v>
      </c>
      <c r="P31" s="151">
        <v>2</v>
      </c>
      <c r="Q31" s="151">
        <v>32</v>
      </c>
      <c r="R31" s="238"/>
    </row>
  </sheetData>
  <phoneticPr fontId="2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R31"/>
  <sheetViews>
    <sheetView workbookViewId="0"/>
  </sheetViews>
  <sheetFormatPr defaultColWidth="9" defaultRowHeight="17"/>
  <cols>
    <col min="3" max="3" width="10.83203125" bestFit="1" customWidth="1"/>
    <col min="5" max="5" width="9.33203125" bestFit="1" customWidth="1"/>
    <col min="6" max="6" width="1.58203125" customWidth="1"/>
    <col min="9" max="9" width="11" bestFit="1" customWidth="1"/>
    <col min="13" max="13" width="1.58203125" customWidth="1"/>
    <col min="18" max="18" width="10.75" bestFit="1" customWidth="1"/>
  </cols>
  <sheetData>
    <row r="1" spans="1:18">
      <c r="A1" t="s">
        <v>2398</v>
      </c>
      <c r="G1" t="s">
        <v>2480</v>
      </c>
      <c r="N1" s="231" t="s">
        <v>1871</v>
      </c>
      <c r="O1" s="45"/>
      <c r="P1" s="237"/>
      <c r="Q1" s="237"/>
      <c r="R1" s="237"/>
    </row>
    <row r="2" spans="1:18">
      <c r="A2" s="124" t="s">
        <v>2479</v>
      </c>
      <c r="B2" s="124" t="s">
        <v>2394</v>
      </c>
      <c r="C2" s="124" t="s">
        <v>2393</v>
      </c>
      <c r="D2" s="124" t="s">
        <v>2392</v>
      </c>
      <c r="E2" s="163" t="s">
        <v>2478</v>
      </c>
      <c r="G2" s="116" t="s">
        <v>1868</v>
      </c>
      <c r="H2" s="116" t="s">
        <v>1867</v>
      </c>
      <c r="I2" s="116" t="s">
        <v>1866</v>
      </c>
      <c r="J2" s="116" t="s">
        <v>1865</v>
      </c>
      <c r="K2" s="116" t="s">
        <v>2477</v>
      </c>
      <c r="L2" s="163" t="s">
        <v>2476</v>
      </c>
      <c r="N2" s="164" t="s">
        <v>2390</v>
      </c>
      <c r="O2" s="164" t="s">
        <v>1784</v>
      </c>
      <c r="P2" s="245" t="s">
        <v>2389</v>
      </c>
      <c r="Q2" s="245" t="s">
        <v>2475</v>
      </c>
      <c r="R2" s="243" t="s">
        <v>2474</v>
      </c>
    </row>
    <row r="3" spans="1:18">
      <c r="A3" s="116" t="s">
        <v>2469</v>
      </c>
      <c r="B3" s="116" t="s">
        <v>2368</v>
      </c>
      <c r="C3" s="150">
        <v>1000000</v>
      </c>
      <c r="D3" s="120">
        <v>0.03</v>
      </c>
      <c r="E3" s="221">
        <f t="shared" ref="E3:E15" si="0">fn적립금결과(C3,D3)</f>
        <v>50000</v>
      </c>
      <c r="G3" s="116" t="s">
        <v>1860</v>
      </c>
      <c r="H3" s="151">
        <v>55</v>
      </c>
      <c r="I3" s="150">
        <v>1500</v>
      </c>
      <c r="J3" s="150">
        <f t="shared" ref="J3:J15" si="1">H3*I3</f>
        <v>82500</v>
      </c>
      <c r="K3" s="116" t="s">
        <v>2470</v>
      </c>
      <c r="L3" s="150">
        <f t="shared" ref="L3:L15" si="2">fn배송비결과(J3,K3)</f>
        <v>1000</v>
      </c>
      <c r="N3" s="236">
        <v>24</v>
      </c>
      <c r="O3" s="232" t="s">
        <v>2352</v>
      </c>
      <c r="P3" s="41">
        <v>5</v>
      </c>
      <c r="Q3" s="41">
        <v>3</v>
      </c>
      <c r="R3" s="244" t="str">
        <f t="shared" ref="R3:R15" si="3">fn가입상태결과(P3,Q3)</f>
        <v>휴면보험</v>
      </c>
    </row>
    <row r="4" spans="1:18">
      <c r="A4" s="116" t="s">
        <v>2464</v>
      </c>
      <c r="B4" s="116" t="s">
        <v>2376</v>
      </c>
      <c r="C4" s="150">
        <v>800000</v>
      </c>
      <c r="D4" s="120">
        <v>0.02</v>
      </c>
      <c r="E4" s="221">
        <f t="shared" si="0"/>
        <v>16000</v>
      </c>
      <c r="G4" s="116" t="s">
        <v>1857</v>
      </c>
      <c r="H4" s="151">
        <v>20</v>
      </c>
      <c r="I4" s="150">
        <v>3000</v>
      </c>
      <c r="J4" s="150">
        <f t="shared" si="1"/>
        <v>60000</v>
      </c>
      <c r="K4" s="116" t="s">
        <v>2461</v>
      </c>
      <c r="L4" s="150">
        <f t="shared" si="2"/>
        <v>3000</v>
      </c>
      <c r="N4" s="220">
        <v>41</v>
      </c>
      <c r="O4" s="219" t="s">
        <v>2332</v>
      </c>
      <c r="P4" s="44">
        <v>3</v>
      </c>
      <c r="Q4" s="44">
        <v>0</v>
      </c>
      <c r="R4" s="244" t="str">
        <f t="shared" si="3"/>
        <v>정상</v>
      </c>
    </row>
    <row r="5" spans="1:18">
      <c r="A5" s="116" t="s">
        <v>1721</v>
      </c>
      <c r="B5" s="116" t="s">
        <v>2368</v>
      </c>
      <c r="C5" s="150">
        <v>750000</v>
      </c>
      <c r="D5" s="120">
        <v>0.01</v>
      </c>
      <c r="E5" s="221">
        <f t="shared" si="0"/>
        <v>7500</v>
      </c>
      <c r="G5" s="116" t="s">
        <v>1855</v>
      </c>
      <c r="H5" s="151">
        <v>20</v>
      </c>
      <c r="I5" s="150">
        <v>2000</v>
      </c>
      <c r="J5" s="150">
        <f t="shared" si="1"/>
        <v>40000</v>
      </c>
      <c r="K5" s="116" t="s">
        <v>2459</v>
      </c>
      <c r="L5" s="150">
        <f t="shared" si="2"/>
        <v>4000</v>
      </c>
      <c r="N5" s="220">
        <v>50</v>
      </c>
      <c r="O5" s="219" t="s">
        <v>2345</v>
      </c>
      <c r="P5" s="44">
        <v>15</v>
      </c>
      <c r="Q5" s="44">
        <v>0</v>
      </c>
      <c r="R5" s="244" t="str">
        <f t="shared" si="3"/>
        <v>정상</v>
      </c>
    </row>
    <row r="6" spans="1:18">
      <c r="A6" s="116" t="s">
        <v>2471</v>
      </c>
      <c r="B6" s="116" t="s">
        <v>2370</v>
      </c>
      <c r="C6" s="150">
        <v>150000</v>
      </c>
      <c r="D6" s="120">
        <v>0.03</v>
      </c>
      <c r="E6" s="221">
        <f t="shared" si="0"/>
        <v>4500</v>
      </c>
      <c r="G6" s="116" t="s">
        <v>1853</v>
      </c>
      <c r="H6" s="151">
        <v>21</v>
      </c>
      <c r="I6" s="150">
        <v>5300</v>
      </c>
      <c r="J6" s="150">
        <f t="shared" si="1"/>
        <v>111300</v>
      </c>
      <c r="K6" s="116" t="s">
        <v>2459</v>
      </c>
      <c r="L6" s="150">
        <f t="shared" si="2"/>
        <v>1000</v>
      </c>
      <c r="N6" s="220">
        <v>29</v>
      </c>
      <c r="O6" s="219" t="s">
        <v>2367</v>
      </c>
      <c r="P6" s="44">
        <v>15</v>
      </c>
      <c r="Q6" s="44">
        <v>0</v>
      </c>
      <c r="R6" s="244" t="str">
        <f t="shared" si="3"/>
        <v>정상</v>
      </c>
    </row>
    <row r="7" spans="1:18">
      <c r="A7" s="116" t="s">
        <v>2473</v>
      </c>
      <c r="B7" s="116" t="s">
        <v>2463</v>
      </c>
      <c r="C7" s="150">
        <v>1650000</v>
      </c>
      <c r="D7" s="120">
        <v>0.02</v>
      </c>
      <c r="E7" s="221">
        <f t="shared" si="0"/>
        <v>66000</v>
      </c>
      <c r="G7" s="116" t="s">
        <v>2380</v>
      </c>
      <c r="H7" s="151">
        <v>95</v>
      </c>
      <c r="I7" s="150">
        <v>3000</v>
      </c>
      <c r="J7" s="150">
        <f t="shared" si="1"/>
        <v>285000</v>
      </c>
      <c r="K7" s="116" t="s">
        <v>2459</v>
      </c>
      <c r="L7" s="150">
        <f t="shared" si="2"/>
        <v>1000</v>
      </c>
      <c r="N7" s="220">
        <v>42</v>
      </c>
      <c r="O7" s="219" t="s">
        <v>2367</v>
      </c>
      <c r="P7" s="44">
        <v>5</v>
      </c>
      <c r="Q7" s="44">
        <v>1</v>
      </c>
      <c r="R7" s="244" t="str">
        <f t="shared" si="3"/>
        <v>1개월 미납</v>
      </c>
    </row>
    <row r="8" spans="1:18">
      <c r="A8" s="116" t="s">
        <v>2472</v>
      </c>
      <c r="B8" s="116" t="s">
        <v>2364</v>
      </c>
      <c r="C8" s="150">
        <v>1560000</v>
      </c>
      <c r="D8" s="120">
        <v>0.01</v>
      </c>
      <c r="E8" s="221">
        <f t="shared" si="0"/>
        <v>46800</v>
      </c>
      <c r="G8" s="116" t="s">
        <v>1847</v>
      </c>
      <c r="H8" s="151">
        <v>120</v>
      </c>
      <c r="I8" s="150">
        <v>2500</v>
      </c>
      <c r="J8" s="150">
        <f t="shared" si="1"/>
        <v>300000</v>
      </c>
      <c r="K8" s="116" t="s">
        <v>2459</v>
      </c>
      <c r="L8" s="150">
        <f t="shared" si="2"/>
        <v>1000</v>
      </c>
      <c r="N8" s="220">
        <v>7</v>
      </c>
      <c r="O8" s="219" t="s">
        <v>2367</v>
      </c>
      <c r="P8" s="44">
        <v>10</v>
      </c>
      <c r="Q8" s="44">
        <v>0</v>
      </c>
      <c r="R8" s="244" t="str">
        <f t="shared" si="3"/>
        <v>정상</v>
      </c>
    </row>
    <row r="9" spans="1:18">
      <c r="A9" s="116" t="s">
        <v>1721</v>
      </c>
      <c r="B9" s="116" t="s">
        <v>2376</v>
      </c>
      <c r="C9" s="150">
        <v>1280000</v>
      </c>
      <c r="D9" s="120">
        <v>0.03</v>
      </c>
      <c r="E9" s="221">
        <f t="shared" si="0"/>
        <v>64000</v>
      </c>
      <c r="G9" s="116" t="s">
        <v>1845</v>
      </c>
      <c r="H9" s="151">
        <v>20</v>
      </c>
      <c r="I9" s="150">
        <v>2000</v>
      </c>
      <c r="J9" s="150">
        <f t="shared" si="1"/>
        <v>40000</v>
      </c>
      <c r="K9" s="116" t="s">
        <v>2461</v>
      </c>
      <c r="L9" s="150">
        <f t="shared" si="2"/>
        <v>3000</v>
      </c>
      <c r="N9" s="220">
        <v>45</v>
      </c>
      <c r="O9" s="219" t="s">
        <v>2345</v>
      </c>
      <c r="P9" s="44">
        <v>14</v>
      </c>
      <c r="Q9" s="44">
        <v>1</v>
      </c>
      <c r="R9" s="244" t="str">
        <f t="shared" si="3"/>
        <v>1개월 미납</v>
      </c>
    </row>
    <row r="10" spans="1:18">
      <c r="A10" s="116" t="s">
        <v>2472</v>
      </c>
      <c r="B10" s="116" t="s">
        <v>2364</v>
      </c>
      <c r="C10" s="150">
        <v>2540000</v>
      </c>
      <c r="D10" s="120">
        <v>0.02</v>
      </c>
      <c r="E10" s="221">
        <f t="shared" si="0"/>
        <v>101600</v>
      </c>
      <c r="G10" s="116" t="s">
        <v>1842</v>
      </c>
      <c r="H10" s="151">
        <v>25</v>
      </c>
      <c r="I10" s="150">
        <v>5300</v>
      </c>
      <c r="J10" s="150">
        <f t="shared" si="1"/>
        <v>132500</v>
      </c>
      <c r="K10" s="116" t="s">
        <v>2459</v>
      </c>
      <c r="L10" s="150">
        <f t="shared" si="2"/>
        <v>1000</v>
      </c>
      <c r="N10" s="220">
        <v>16</v>
      </c>
      <c r="O10" s="219" t="s">
        <v>2367</v>
      </c>
      <c r="P10" s="44">
        <v>5</v>
      </c>
      <c r="Q10" s="44">
        <v>1</v>
      </c>
      <c r="R10" s="244" t="str">
        <f t="shared" si="3"/>
        <v>1개월 미납</v>
      </c>
    </row>
    <row r="11" spans="1:18">
      <c r="A11" s="116" t="s">
        <v>2471</v>
      </c>
      <c r="B11" s="116" t="s">
        <v>2376</v>
      </c>
      <c r="C11" s="150">
        <v>3512000</v>
      </c>
      <c r="D11" s="120">
        <v>0.03</v>
      </c>
      <c r="E11" s="221">
        <f t="shared" si="0"/>
        <v>175600</v>
      </c>
      <c r="G11" s="116" t="s">
        <v>1836</v>
      </c>
      <c r="H11" s="151">
        <v>55</v>
      </c>
      <c r="I11" s="150">
        <v>2500</v>
      </c>
      <c r="J11" s="150">
        <f t="shared" si="1"/>
        <v>137500</v>
      </c>
      <c r="K11" s="116" t="s">
        <v>2470</v>
      </c>
      <c r="L11" s="150">
        <f t="shared" si="2"/>
        <v>1000</v>
      </c>
      <c r="N11" s="220">
        <v>51</v>
      </c>
      <c r="O11" s="219" t="s">
        <v>2352</v>
      </c>
      <c r="P11" s="44">
        <v>8</v>
      </c>
      <c r="Q11" s="44">
        <v>0</v>
      </c>
      <c r="R11" s="244" t="str">
        <f t="shared" si="3"/>
        <v>정상</v>
      </c>
    </row>
    <row r="12" spans="1:18">
      <c r="A12" s="116" t="s">
        <v>2469</v>
      </c>
      <c r="B12" s="116" t="s">
        <v>2463</v>
      </c>
      <c r="C12" s="150">
        <v>790000</v>
      </c>
      <c r="D12" s="120">
        <v>0.01</v>
      </c>
      <c r="E12" s="221">
        <f t="shared" si="0"/>
        <v>7900</v>
      </c>
      <c r="G12" s="116" t="s">
        <v>2377</v>
      </c>
      <c r="H12" s="151">
        <v>30</v>
      </c>
      <c r="I12" s="150">
        <v>2000</v>
      </c>
      <c r="J12" s="150">
        <f t="shared" si="1"/>
        <v>60000</v>
      </c>
      <c r="K12" s="116" t="s">
        <v>2461</v>
      </c>
      <c r="L12" s="150">
        <f t="shared" si="2"/>
        <v>3000</v>
      </c>
      <c r="N12" s="220">
        <v>46</v>
      </c>
      <c r="O12" s="219" t="s">
        <v>2352</v>
      </c>
      <c r="P12" s="44">
        <v>8</v>
      </c>
      <c r="Q12" s="44">
        <v>2</v>
      </c>
      <c r="R12" s="244" t="str">
        <f t="shared" si="3"/>
        <v>2개월 미납</v>
      </c>
    </row>
    <row r="13" spans="1:18">
      <c r="A13" s="116" t="s">
        <v>2464</v>
      </c>
      <c r="B13" s="116" t="s">
        <v>2378</v>
      </c>
      <c r="C13" s="150">
        <v>4500000</v>
      </c>
      <c r="D13" s="120">
        <v>0.02</v>
      </c>
      <c r="E13" s="221">
        <f t="shared" si="0"/>
        <v>180000</v>
      </c>
      <c r="G13" s="116" t="s">
        <v>2466</v>
      </c>
      <c r="H13" s="151">
        <v>25</v>
      </c>
      <c r="I13" s="150">
        <v>5300</v>
      </c>
      <c r="J13" s="150">
        <f t="shared" si="1"/>
        <v>132500</v>
      </c>
      <c r="K13" s="116" t="s">
        <v>2461</v>
      </c>
      <c r="L13" s="150">
        <f t="shared" si="2"/>
        <v>1000</v>
      </c>
      <c r="N13" s="220">
        <v>22</v>
      </c>
      <c r="O13" s="219" t="s">
        <v>2352</v>
      </c>
      <c r="P13" s="44">
        <v>21</v>
      </c>
      <c r="Q13" s="44">
        <v>0</v>
      </c>
      <c r="R13" s="244" t="str">
        <f t="shared" si="3"/>
        <v>정상</v>
      </c>
    </row>
    <row r="14" spans="1:18">
      <c r="A14" s="116" t="s">
        <v>2464</v>
      </c>
      <c r="B14" s="116" t="s">
        <v>2463</v>
      </c>
      <c r="C14" s="150">
        <v>2453000</v>
      </c>
      <c r="D14" s="120">
        <v>0.03</v>
      </c>
      <c r="E14" s="221">
        <f t="shared" si="0"/>
        <v>122650</v>
      </c>
      <c r="G14" s="116" t="s">
        <v>2462</v>
      </c>
      <c r="H14" s="151">
        <v>55</v>
      </c>
      <c r="I14" s="150">
        <v>3000</v>
      </c>
      <c r="J14" s="150">
        <f t="shared" si="1"/>
        <v>165000</v>
      </c>
      <c r="K14" s="116" t="s">
        <v>2521</v>
      </c>
      <c r="L14" s="150">
        <f t="shared" si="2"/>
        <v>1000</v>
      </c>
      <c r="N14" s="220">
        <v>21</v>
      </c>
      <c r="O14" s="219" t="s">
        <v>2520</v>
      </c>
      <c r="P14" s="44">
        <v>20</v>
      </c>
      <c r="Q14" s="44">
        <v>0</v>
      </c>
      <c r="R14" s="244" t="str">
        <f t="shared" si="3"/>
        <v>정상</v>
      </c>
    </row>
    <row r="15" spans="1:18">
      <c r="A15" s="116" t="s">
        <v>2519</v>
      </c>
      <c r="B15" s="116" t="s">
        <v>2518</v>
      </c>
      <c r="C15" s="150">
        <v>985200</v>
      </c>
      <c r="D15" s="120">
        <v>0.02</v>
      </c>
      <c r="E15" s="221">
        <f t="shared" si="0"/>
        <v>19704</v>
      </c>
      <c r="G15" s="116" t="s">
        <v>2373</v>
      </c>
      <c r="H15" s="151">
        <v>32</v>
      </c>
      <c r="I15" s="150">
        <v>5300</v>
      </c>
      <c r="J15" s="150">
        <f t="shared" si="1"/>
        <v>169600</v>
      </c>
      <c r="K15" s="116" t="s">
        <v>2517</v>
      </c>
      <c r="L15" s="150">
        <f t="shared" si="2"/>
        <v>1000</v>
      </c>
      <c r="N15" s="220">
        <v>13</v>
      </c>
      <c r="O15" s="219" t="s">
        <v>2516</v>
      </c>
      <c r="P15" s="44">
        <v>8</v>
      </c>
      <c r="Q15" s="44">
        <v>0</v>
      </c>
      <c r="R15" s="244" t="str">
        <f t="shared" si="3"/>
        <v>정상</v>
      </c>
    </row>
    <row r="17" spans="1:18">
      <c r="A17" t="s">
        <v>2515</v>
      </c>
      <c r="B17" s="139"/>
      <c r="G17" s="8" t="s">
        <v>2457</v>
      </c>
      <c r="H17" s="8"/>
      <c r="I17" s="8"/>
      <c r="J17" s="8"/>
      <c r="K17" s="8"/>
      <c r="L17" s="8"/>
      <c r="N17" t="s">
        <v>2514</v>
      </c>
    </row>
    <row r="18" spans="1:18">
      <c r="A18" s="116" t="s">
        <v>2321</v>
      </c>
      <c r="B18" s="116" t="s">
        <v>2513</v>
      </c>
      <c r="C18" s="116" t="s">
        <v>2455</v>
      </c>
      <c r="D18" s="116" t="s">
        <v>2512</v>
      </c>
      <c r="E18" s="163" t="s">
        <v>2511</v>
      </c>
      <c r="G18" s="146" t="s">
        <v>2510</v>
      </c>
      <c r="H18" s="146" t="s">
        <v>2506</v>
      </c>
      <c r="I18" s="146" t="s">
        <v>2452</v>
      </c>
      <c r="J18" s="146" t="s">
        <v>2509</v>
      </c>
      <c r="K18" s="146" t="s">
        <v>2508</v>
      </c>
      <c r="L18" s="243" t="s">
        <v>2507</v>
      </c>
      <c r="N18" s="116" t="s">
        <v>2448</v>
      </c>
      <c r="O18" s="116" t="s">
        <v>2506</v>
      </c>
      <c r="P18" s="116" t="s">
        <v>2446</v>
      </c>
      <c r="Q18" s="116" t="s">
        <v>2505</v>
      </c>
      <c r="R18" s="243" t="s">
        <v>2504</v>
      </c>
    </row>
    <row r="19" spans="1:18">
      <c r="A19" s="116" t="s">
        <v>2490</v>
      </c>
      <c r="B19" s="116" t="s">
        <v>2411</v>
      </c>
      <c r="C19" s="116" t="s">
        <v>2244</v>
      </c>
      <c r="D19" s="150">
        <v>6800</v>
      </c>
      <c r="E19" s="150">
        <f t="shared" ref="E19:E31" si="4">fn할인금액결과(C19,B19,D19)</f>
        <v>5440</v>
      </c>
      <c r="G19" s="146" t="s">
        <v>2501</v>
      </c>
      <c r="H19" s="146" t="s">
        <v>2487</v>
      </c>
      <c r="I19" s="146" t="s">
        <v>2496</v>
      </c>
      <c r="J19" s="240">
        <v>100</v>
      </c>
      <c r="K19" s="240">
        <v>35</v>
      </c>
      <c r="L19" s="239" t="str">
        <f t="shared" ref="L19:L31" si="5">fn기타결과(K19)</f>
        <v>■■■</v>
      </c>
      <c r="N19" s="116" t="s">
        <v>2443</v>
      </c>
      <c r="O19" s="116" t="s">
        <v>2500</v>
      </c>
      <c r="P19" s="151">
        <v>6</v>
      </c>
      <c r="Q19" s="151">
        <v>120</v>
      </c>
      <c r="R19" s="238" t="str">
        <f t="shared" ref="R19:R31" si="6">fn비고결과(P19,Q19)</f>
        <v/>
      </c>
    </row>
    <row r="20" spans="1:18">
      <c r="A20" s="116" t="s">
        <v>2482</v>
      </c>
      <c r="B20" s="116" t="s">
        <v>2411</v>
      </c>
      <c r="C20" s="116" t="s">
        <v>2503</v>
      </c>
      <c r="D20" s="150">
        <v>200000</v>
      </c>
      <c r="E20" s="150" t="str">
        <f t="shared" si="4"/>
        <v/>
      </c>
      <c r="G20" s="146" t="s">
        <v>2442</v>
      </c>
      <c r="H20" s="146" t="s">
        <v>2485</v>
      </c>
      <c r="I20" s="146" t="s">
        <v>2484</v>
      </c>
      <c r="J20" s="240">
        <v>64</v>
      </c>
      <c r="K20" s="240">
        <v>19.2</v>
      </c>
      <c r="L20" s="239" t="str">
        <f t="shared" si="5"/>
        <v>■</v>
      </c>
      <c r="N20" s="116" t="s">
        <v>2407</v>
      </c>
      <c r="O20" s="116" t="s">
        <v>2483</v>
      </c>
      <c r="P20" s="151">
        <v>1</v>
      </c>
      <c r="Q20" s="151">
        <v>15</v>
      </c>
      <c r="R20" s="238" t="str">
        <f t="shared" si="6"/>
        <v/>
      </c>
    </row>
    <row r="21" spans="1:18">
      <c r="A21" s="116" t="s">
        <v>2282</v>
      </c>
      <c r="B21" s="116" t="s">
        <v>2411</v>
      </c>
      <c r="C21" s="116" t="s">
        <v>2503</v>
      </c>
      <c r="D21" s="150">
        <v>110000</v>
      </c>
      <c r="E21" s="150" t="str">
        <f t="shared" si="4"/>
        <v/>
      </c>
      <c r="G21" s="146" t="s">
        <v>2501</v>
      </c>
      <c r="H21" s="241" t="s">
        <v>2417</v>
      </c>
      <c r="I21" s="146" t="s">
        <v>2502</v>
      </c>
      <c r="J21" s="240">
        <v>92</v>
      </c>
      <c r="K21" s="240">
        <v>18.400000000000002</v>
      </c>
      <c r="L21" s="239" t="str">
        <f t="shared" si="5"/>
        <v>■</v>
      </c>
      <c r="N21" s="116" t="s">
        <v>2429</v>
      </c>
      <c r="O21" s="116" t="s">
        <v>2417</v>
      </c>
      <c r="P21" s="151">
        <v>4</v>
      </c>
      <c r="Q21" s="151">
        <v>230</v>
      </c>
      <c r="R21" s="238" t="str">
        <f t="shared" si="6"/>
        <v>강의추가</v>
      </c>
    </row>
    <row r="22" spans="1:18">
      <c r="A22" s="116" t="s">
        <v>2490</v>
      </c>
      <c r="B22" s="116" t="s">
        <v>2411</v>
      </c>
      <c r="C22" s="116" t="s">
        <v>2486</v>
      </c>
      <c r="D22" s="150">
        <v>4500</v>
      </c>
      <c r="E22" s="150">
        <f t="shared" si="4"/>
        <v>3600</v>
      </c>
      <c r="G22" s="146" t="s">
        <v>2501</v>
      </c>
      <c r="H22" s="146" t="s">
        <v>2488</v>
      </c>
      <c r="I22" s="146" t="s">
        <v>2496</v>
      </c>
      <c r="J22" s="240">
        <v>96</v>
      </c>
      <c r="K22" s="240">
        <v>28.799999999999997</v>
      </c>
      <c r="L22" s="239" t="str">
        <f t="shared" si="5"/>
        <v>■■</v>
      </c>
      <c r="N22" s="242" t="s">
        <v>2434</v>
      </c>
      <c r="O22" s="116" t="s">
        <v>2500</v>
      </c>
      <c r="P22" s="151">
        <v>8</v>
      </c>
      <c r="Q22" s="151">
        <v>131</v>
      </c>
      <c r="R22" s="238" t="str">
        <f t="shared" si="6"/>
        <v/>
      </c>
    </row>
    <row r="23" spans="1:18">
      <c r="A23" s="116" t="s">
        <v>2284</v>
      </c>
      <c r="B23" s="116" t="s">
        <v>2436</v>
      </c>
      <c r="C23" s="116" t="s">
        <v>2499</v>
      </c>
      <c r="D23" s="150">
        <v>123000</v>
      </c>
      <c r="E23" s="150" t="str">
        <f t="shared" si="4"/>
        <v/>
      </c>
      <c r="G23" s="146" t="s">
        <v>2431</v>
      </c>
      <c r="H23" s="241" t="s">
        <v>2485</v>
      </c>
      <c r="I23" s="146" t="s">
        <v>2494</v>
      </c>
      <c r="J23" s="240">
        <v>84</v>
      </c>
      <c r="K23" s="240">
        <v>25.2</v>
      </c>
      <c r="L23" s="239" t="str">
        <f t="shared" si="5"/>
        <v>■■</v>
      </c>
      <c r="N23" s="242" t="s">
        <v>2437</v>
      </c>
      <c r="O23" s="116" t="s">
        <v>2483</v>
      </c>
      <c r="P23" s="151">
        <v>5</v>
      </c>
      <c r="Q23" s="151">
        <v>155</v>
      </c>
      <c r="R23" s="238" t="str">
        <f t="shared" si="6"/>
        <v>강의추가</v>
      </c>
    </row>
    <row r="24" spans="1:18">
      <c r="A24" s="116" t="s">
        <v>2261</v>
      </c>
      <c r="B24" s="116" t="s">
        <v>2433</v>
      </c>
      <c r="C24" s="116" t="s">
        <v>2486</v>
      </c>
      <c r="D24" s="150">
        <v>53200</v>
      </c>
      <c r="E24" s="150">
        <f t="shared" si="4"/>
        <v>42560</v>
      </c>
      <c r="G24" s="146" t="s">
        <v>2498</v>
      </c>
      <c r="H24" s="146" t="s">
        <v>2485</v>
      </c>
      <c r="I24" s="146" t="s">
        <v>2484</v>
      </c>
      <c r="J24" s="240">
        <v>100</v>
      </c>
      <c r="K24" s="240">
        <v>30</v>
      </c>
      <c r="L24" s="239" t="str">
        <f t="shared" si="5"/>
        <v>■■■</v>
      </c>
      <c r="N24" s="116" t="s">
        <v>2423</v>
      </c>
      <c r="O24" s="116" t="s">
        <v>2422</v>
      </c>
      <c r="P24" s="151">
        <v>5</v>
      </c>
      <c r="Q24" s="151">
        <v>75</v>
      </c>
      <c r="R24" s="238" t="str">
        <f t="shared" si="6"/>
        <v/>
      </c>
    </row>
    <row r="25" spans="1:18">
      <c r="A25" s="116" t="s">
        <v>2284</v>
      </c>
      <c r="B25" s="116" t="s">
        <v>2436</v>
      </c>
      <c r="C25" s="116" t="s">
        <v>2303</v>
      </c>
      <c r="D25" s="150">
        <v>31100</v>
      </c>
      <c r="E25" s="150" t="str">
        <f t="shared" si="4"/>
        <v/>
      </c>
      <c r="G25" s="146" t="s">
        <v>2498</v>
      </c>
      <c r="H25" s="241" t="s">
        <v>2487</v>
      </c>
      <c r="I25" s="146" t="s">
        <v>2430</v>
      </c>
      <c r="J25" s="240">
        <v>88</v>
      </c>
      <c r="K25" s="240">
        <v>30.799999999999997</v>
      </c>
      <c r="L25" s="239" t="str">
        <f t="shared" si="5"/>
        <v>■■■</v>
      </c>
      <c r="N25" s="242" t="s">
        <v>2434</v>
      </c>
      <c r="O25" s="116" t="s">
        <v>2422</v>
      </c>
      <c r="P25" s="151">
        <v>6</v>
      </c>
      <c r="Q25" s="151">
        <v>229</v>
      </c>
      <c r="R25" s="238" t="str">
        <f t="shared" si="6"/>
        <v>강의추가</v>
      </c>
    </row>
    <row r="26" spans="1:18">
      <c r="A26" s="116" t="s">
        <v>2497</v>
      </c>
      <c r="B26" s="116" t="s">
        <v>2433</v>
      </c>
      <c r="C26" s="116" t="s">
        <v>2432</v>
      </c>
      <c r="D26" s="150">
        <v>62140</v>
      </c>
      <c r="E26" s="150" t="str">
        <f t="shared" si="4"/>
        <v/>
      </c>
      <c r="G26" s="146" t="s">
        <v>2431</v>
      </c>
      <c r="H26" s="146" t="s">
        <v>2420</v>
      </c>
      <c r="I26" s="146" t="s">
        <v>2496</v>
      </c>
      <c r="J26" s="240">
        <v>92</v>
      </c>
      <c r="K26" s="240">
        <v>27.599999999999998</v>
      </c>
      <c r="L26" s="239" t="str">
        <f t="shared" si="5"/>
        <v>■■</v>
      </c>
      <c r="N26" s="116" t="s">
        <v>2429</v>
      </c>
      <c r="O26" s="116" t="s">
        <v>2422</v>
      </c>
      <c r="P26" s="151">
        <v>5</v>
      </c>
      <c r="Q26" s="151">
        <v>89</v>
      </c>
      <c r="R26" s="238" t="str">
        <f t="shared" si="6"/>
        <v/>
      </c>
    </row>
    <row r="27" spans="1:18">
      <c r="A27" s="116" t="s">
        <v>2495</v>
      </c>
      <c r="B27" s="116" t="s">
        <v>2416</v>
      </c>
      <c r="C27" s="116" t="s">
        <v>2244</v>
      </c>
      <c r="D27" s="150">
        <v>7800</v>
      </c>
      <c r="E27" s="150">
        <f t="shared" si="4"/>
        <v>3900</v>
      </c>
      <c r="G27" s="146" t="s">
        <v>2481</v>
      </c>
      <c r="H27" s="146" t="s">
        <v>2487</v>
      </c>
      <c r="I27" s="146" t="s">
        <v>2494</v>
      </c>
      <c r="J27" s="240">
        <v>88</v>
      </c>
      <c r="K27" s="240">
        <v>30.799999999999997</v>
      </c>
      <c r="L27" s="239" t="str">
        <f t="shared" si="5"/>
        <v>■■■</v>
      </c>
      <c r="N27" s="242" t="s">
        <v>2493</v>
      </c>
      <c r="O27" s="116" t="s">
        <v>2417</v>
      </c>
      <c r="P27" s="151">
        <v>3</v>
      </c>
      <c r="Q27" s="151">
        <v>49</v>
      </c>
      <c r="R27" s="238" t="str">
        <f t="shared" si="6"/>
        <v/>
      </c>
    </row>
    <row r="28" spans="1:18">
      <c r="A28" s="116" t="s">
        <v>2492</v>
      </c>
      <c r="B28" s="116" t="s">
        <v>2425</v>
      </c>
      <c r="C28" s="116" t="s">
        <v>2244</v>
      </c>
      <c r="D28" s="150">
        <v>15000</v>
      </c>
      <c r="E28" s="150">
        <f t="shared" si="4"/>
        <v>7500</v>
      </c>
      <c r="G28" s="146" t="s">
        <v>2481</v>
      </c>
      <c r="H28" s="241" t="s">
        <v>2485</v>
      </c>
      <c r="I28" s="146" t="s">
        <v>2491</v>
      </c>
      <c r="J28" s="240">
        <v>72</v>
      </c>
      <c r="K28" s="240">
        <v>7.2</v>
      </c>
      <c r="L28" s="239" t="str">
        <f t="shared" si="5"/>
        <v>노력요함</v>
      </c>
      <c r="N28" s="116" t="s">
        <v>2423</v>
      </c>
      <c r="O28" s="116" t="s">
        <v>2422</v>
      </c>
      <c r="P28" s="151">
        <v>2</v>
      </c>
      <c r="Q28" s="151">
        <v>50</v>
      </c>
      <c r="R28" s="238" t="str">
        <f t="shared" si="6"/>
        <v/>
      </c>
    </row>
    <row r="29" spans="1:18">
      <c r="A29" s="116" t="s">
        <v>2490</v>
      </c>
      <c r="B29" s="116" t="s">
        <v>2411</v>
      </c>
      <c r="C29" s="116" t="s">
        <v>2489</v>
      </c>
      <c r="D29" s="150">
        <v>52500</v>
      </c>
      <c r="E29" s="150" t="str">
        <f t="shared" si="4"/>
        <v/>
      </c>
      <c r="G29" s="146" t="s">
        <v>2415</v>
      </c>
      <c r="H29" s="241" t="s">
        <v>2488</v>
      </c>
      <c r="I29" s="146" t="s">
        <v>2419</v>
      </c>
      <c r="J29" s="240">
        <v>68</v>
      </c>
      <c r="K29" s="240">
        <v>13.600000000000001</v>
      </c>
      <c r="L29" s="239" t="str">
        <f t="shared" si="5"/>
        <v>■</v>
      </c>
      <c r="N29" s="242" t="s">
        <v>2418</v>
      </c>
      <c r="O29" s="116" t="s">
        <v>2487</v>
      </c>
      <c r="P29" s="151">
        <v>4</v>
      </c>
      <c r="Q29" s="151">
        <v>70</v>
      </c>
      <c r="R29" s="238" t="str">
        <f t="shared" si="6"/>
        <v/>
      </c>
    </row>
    <row r="30" spans="1:18">
      <c r="A30" s="116" t="s">
        <v>2273</v>
      </c>
      <c r="B30" s="116" t="s">
        <v>2416</v>
      </c>
      <c r="C30" s="116" t="s">
        <v>2486</v>
      </c>
      <c r="D30" s="150">
        <v>132000</v>
      </c>
      <c r="E30" s="150">
        <f t="shared" si="4"/>
        <v>66000</v>
      </c>
      <c r="G30" s="146" t="s">
        <v>2415</v>
      </c>
      <c r="H30" s="241" t="s">
        <v>2485</v>
      </c>
      <c r="I30" s="146" t="s">
        <v>2484</v>
      </c>
      <c r="J30" s="240">
        <v>88</v>
      </c>
      <c r="K30" s="240">
        <v>26.4</v>
      </c>
      <c r="L30" s="239" t="str">
        <f t="shared" si="5"/>
        <v>■■</v>
      </c>
      <c r="N30" s="116" t="s">
        <v>2412</v>
      </c>
      <c r="O30" s="116" t="s">
        <v>2483</v>
      </c>
      <c r="P30" s="151">
        <v>3</v>
      </c>
      <c r="Q30" s="151">
        <v>42</v>
      </c>
      <c r="R30" s="238" t="str">
        <f t="shared" si="6"/>
        <v>강의축소</v>
      </c>
    </row>
    <row r="31" spans="1:18">
      <c r="A31" s="116" t="s">
        <v>2482</v>
      </c>
      <c r="B31" s="116" t="s">
        <v>2411</v>
      </c>
      <c r="C31" s="116" t="s">
        <v>2280</v>
      </c>
      <c r="D31" s="150">
        <v>200000</v>
      </c>
      <c r="E31" s="150" t="str">
        <f t="shared" si="4"/>
        <v/>
      </c>
      <c r="G31" s="146" t="s">
        <v>2481</v>
      </c>
      <c r="H31" s="241" t="s">
        <v>2417</v>
      </c>
      <c r="I31" s="146" t="s">
        <v>2408</v>
      </c>
      <c r="J31" s="240">
        <v>64</v>
      </c>
      <c r="K31" s="240">
        <v>6.4</v>
      </c>
      <c r="L31" s="239" t="str">
        <f t="shared" si="5"/>
        <v>노력요함</v>
      </c>
      <c r="N31" s="116" t="s">
        <v>2407</v>
      </c>
      <c r="O31" s="116" t="s">
        <v>2406</v>
      </c>
      <c r="P31" s="151">
        <v>2</v>
      </c>
      <c r="Q31" s="151">
        <v>32</v>
      </c>
      <c r="R31" s="238" t="str">
        <f t="shared" si="6"/>
        <v/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56</vt:i4>
      </vt:variant>
      <vt:variant>
        <vt:lpstr>이름이 지정된 범위</vt:lpstr>
      </vt:variant>
      <vt:variant>
        <vt:i4>1</vt:i4>
      </vt:variant>
    </vt:vector>
  </HeadingPairs>
  <TitlesOfParts>
    <vt:vector size="57" baseType="lpstr"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찾기참조3</vt:lpstr>
      <vt:lpstr>찾기참조3(결과)</vt:lpstr>
      <vt:lpstr>날짜1</vt:lpstr>
      <vt:lpstr>날짜1(결과)</vt:lpstr>
      <vt:lpstr>날짜2</vt:lpstr>
      <vt:lpstr>날짜2(결과)</vt:lpstr>
      <vt:lpstr>날짜3</vt:lpstr>
      <vt:lpstr>날짜3(결과)</vt:lpstr>
      <vt:lpstr>텍스트1</vt:lpstr>
      <vt:lpstr>텍스트1(결과)</vt:lpstr>
      <vt:lpstr>텍스트2</vt:lpstr>
      <vt:lpstr>텍스트2(결과)</vt:lpstr>
      <vt:lpstr>텍스트3</vt:lpstr>
      <vt:lpstr>텍스트3(결과)</vt:lpstr>
      <vt:lpstr>논리1</vt:lpstr>
      <vt:lpstr>논리1(결과)</vt:lpstr>
      <vt:lpstr>논리2</vt:lpstr>
      <vt:lpstr>논리2(결과)</vt:lpstr>
      <vt:lpstr>논리3</vt:lpstr>
      <vt:lpstr>논리3(결과)</vt:lpstr>
      <vt:lpstr>재무1</vt:lpstr>
      <vt:lpstr>재무1(결과)</vt:lpstr>
      <vt:lpstr>재무2</vt:lpstr>
      <vt:lpstr>재무2(결과)</vt:lpstr>
      <vt:lpstr>재무3</vt:lpstr>
      <vt:lpstr>재무3(결과)</vt:lpstr>
      <vt:lpstr>정보1</vt:lpstr>
      <vt:lpstr>정보1(결과)</vt:lpstr>
      <vt:lpstr>정보2</vt:lpstr>
      <vt:lpstr>정보2(결과)</vt:lpstr>
      <vt:lpstr>배열수식</vt:lpstr>
      <vt:lpstr>배열수식(결과)</vt:lpstr>
      <vt:lpstr>배열1</vt:lpstr>
      <vt:lpstr>배열1(결과)</vt:lpstr>
      <vt:lpstr>배열2</vt:lpstr>
      <vt:lpstr>배열2(결과)</vt:lpstr>
      <vt:lpstr>배열3</vt:lpstr>
      <vt:lpstr>배열3(결과)</vt:lpstr>
      <vt:lpstr>사용자정의</vt:lpstr>
      <vt:lpstr>사용자정의(결과)</vt:lpstr>
      <vt:lpstr>재무2!Print_Area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2020-04-05T12:37:38Z</dcterms:created>
  <dcterms:modified xsi:type="dcterms:W3CDTF">2022-04-25T09:37:26Z</dcterms:modified>
</cp:coreProperties>
</file>