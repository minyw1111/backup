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정답\"/>
    </mc:Choice>
  </mc:AlternateContent>
  <bookViews>
    <workbookView xWindow="0" yWindow="0" windowWidth="19000" windowHeight="10040" tabRatio="910"/>
  </bookViews>
  <sheets>
    <sheet name="기본작업-1" sheetId="2" r:id="rId1"/>
    <sheet name="기본작업-2" sheetId="10" r:id="rId2"/>
    <sheet name="계산작업-1" sheetId="3" r:id="rId3"/>
    <sheet name="계산작업-2" sheetId="4" r:id="rId4"/>
    <sheet name="분석작업-1" sheetId="12" r:id="rId5"/>
    <sheet name="8월1주LED" sheetId="14" r:id="rId6"/>
    <sheet name="분석작업-2" sheetId="6" r:id="rId7"/>
    <sheet name="기타작업-1" sheetId="7" r:id="rId8"/>
    <sheet name="기타작업-2" sheetId="11" r:id="rId9"/>
    <sheet name="기타작업-3" sheetId="8" r:id="rId10"/>
  </sheets>
  <functionGroups builtInGroupCount="18"/>
  <definedNames>
    <definedName name="_xlnm._FilterDatabase" localSheetId="0" hidden="1">'기본작업-1'!$A$3:$F$28</definedName>
    <definedName name="_xlnm._FilterDatabase" localSheetId="6" hidden="1">'분석작업-2'!$A$2:$E$27</definedName>
    <definedName name="_xlnm.Criteria" localSheetId="0">'기본작업-1'!$A$30:$A$31</definedName>
    <definedName name="_xlnm.Extract" localSheetId="0">'기본작업-1'!$A$35:$C$35</definedName>
    <definedName name="_xlnm.Print_Area" localSheetId="1">'기본작업-2'!$A$3:$F$28</definedName>
  </definedNames>
  <calcPr calcId="162913"/>
  <pivotCaches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1" i="2" l="1"/>
  <c r="J4" i="4"/>
  <c r="I18" i="3" l="1" a="1"/>
  <c r="I18" i="3" s="1"/>
  <c r="I19" i="3" a="1"/>
  <c r="I19" i="3"/>
  <c r="I20" i="3" a="1"/>
  <c r="I20" i="3" s="1"/>
  <c r="I17" i="3" a="1"/>
  <c r="I17" i="3" s="1"/>
  <c r="D35" i="4" l="1"/>
  <c r="B34" i="3"/>
  <c r="J8" i="4"/>
  <c r="J10" i="4"/>
  <c r="J6" i="4"/>
  <c r="J9" i="4"/>
  <c r="J11" i="4"/>
  <c r="J7" i="4"/>
  <c r="J5" i="4"/>
  <c r="C3" i="3" l="1" a="1"/>
  <c r="C3" i="3" s="1"/>
  <c r="D3" i="3" a="1"/>
  <c r="D3" i="3" s="1"/>
  <c r="E3" i="3" a="1"/>
  <c r="E3" i="3" s="1"/>
  <c r="C4" i="3" a="1"/>
  <c r="C4" i="3" s="1"/>
  <c r="D4" i="3" a="1"/>
  <c r="D4" i="3" s="1"/>
  <c r="E4" i="3" a="1"/>
  <c r="E4" i="3" s="1"/>
  <c r="C5" i="3" a="1"/>
  <c r="C5" i="3" s="1"/>
  <c r="D5" i="3" a="1"/>
  <c r="D5" i="3" s="1"/>
  <c r="E5" i="3" a="1"/>
  <c r="E5" i="3" s="1"/>
  <c r="B4" i="3" a="1"/>
  <c r="B4" i="3" s="1"/>
  <c r="B5" i="3" a="1"/>
  <c r="B5" i="3" s="1"/>
  <c r="B3" i="3" a="1"/>
  <c r="B3" i="3" s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매출.accdb;DefaultDir=E:\영진(2021년)\1급\excel\스프레드시트(파일) - 최종\모의고사;DriverId=25;FIL=MS Access;MaxBufferSize=2048;PageTimeout=5;" command="SELECT 지점별.일자, 지점별.지점, 지점별.품목, 지점별.개수, 지점별.매출_x000d__x000a_FROM 지점별 지점별"/>
  </connection>
  <connection id="2" name="MS Access Database_Query1" type="1" refreshedVersion="0" background="1">
    <dbPr connection="DSN=MS Access Database;DBQ=E:\영진(2022년)\기본서\1급\2021컴활1급 (4)\스프레드시트\모의고사\매출.accdb;DefaultDir=E:\영진(2022년)\기본서\1급\2021컴활1급 (4)\스프레드시트\모의고사;DriverId=25;FIL=MS Access;MaxBufferSize=2048;PageTimeout=5;" command="SELECT 지점별.일자, 지점별.지점, 지점별.품목, 지점별.개수, 지점별.매출_x000d__x000a_FROM 지점별 지점별"/>
  </connection>
  <connection id="3" name="MS Access Database_Query2" type="1" refreshedVersion="6">
    <dbPr connection="DSN=MS Access Database;DBQ=E:\영진(2022년)\기본서\1급\2021컴활1급 (4)\스프레드시트\모의고사\매출.accdb;DefaultDir=E:\영진(2022년)\기본서\1급\2021컴활1급 (4)\스프레드시트\모의고사;DriverId=25;FIL=MS Access;MaxBufferSize=2048;PageTimeout=5;" command="SELECT 지점별.일자, 지점별.지점, 지점별.품목, 지점별.개수, 지점별.매출_x000d__x000a_FROM 지점별 지점별"/>
  </connection>
  <connection id="4" name="MS Access Database_Query3" type="1" refreshedVersion="6">
    <dbPr connection="DSN=MS Access Database;DBQ=E:\영진(2023년)\1급\2023년컴활1급\스프레드시트\기출변형문제\매출.accdb;DefaultDir=E:\영진(2023년)\1급\2023년컴활1급\스프레드시트\기출변형문제;DriverId=25;FIL=MS Access;MaxBufferSize=2048;PageTimeout=5;" command="SELECT 지점별.일자, 지점별.지점, 지점별.품목, 지점별.개수, 지점별.매출_x000d__x000a_FROM 지점별 지점별"/>
  </connection>
</connections>
</file>

<file path=xl/sharedStrings.xml><?xml version="1.0" encoding="utf-8"?>
<sst xmlns="http://schemas.openxmlformats.org/spreadsheetml/2006/main" count="622" uniqueCount="377">
  <si>
    <t>[표1]</t>
    <phoneticPr fontId="5" type="noConversion"/>
  </si>
  <si>
    <t>성명</t>
    <phoneticPr fontId="5" type="noConversion"/>
  </si>
  <si>
    <t>부서</t>
    <phoneticPr fontId="5" type="noConversion"/>
  </si>
  <si>
    <t>직급</t>
    <phoneticPr fontId="5" type="noConversion"/>
  </si>
  <si>
    <t>주민번호</t>
    <phoneticPr fontId="5" type="noConversion"/>
  </si>
  <si>
    <t>연봉</t>
    <phoneticPr fontId="5" type="noConversion"/>
  </si>
  <si>
    <t>입사일</t>
    <phoneticPr fontId="5" type="noConversion"/>
  </si>
  <si>
    <t>강원철</t>
    <phoneticPr fontId="5" type="noConversion"/>
  </si>
  <si>
    <t>과장</t>
  </si>
  <si>
    <t>영업팀</t>
    <phoneticPr fontId="5" type="noConversion"/>
  </si>
  <si>
    <t>사원</t>
  </si>
  <si>
    <t>부장</t>
  </si>
  <si>
    <t>기획팀</t>
    <phoneticPr fontId="5" type="noConversion"/>
  </si>
  <si>
    <t>대리</t>
  </si>
  <si>
    <t>김한일</t>
    <phoneticPr fontId="5" type="noConversion"/>
  </si>
  <si>
    <t>박종훈</t>
    <phoneticPr fontId="5" type="noConversion"/>
  </si>
  <si>
    <t>오명진</t>
    <phoneticPr fontId="5" type="noConversion"/>
  </si>
  <si>
    <t>윤성현</t>
  </si>
  <si>
    <t>홍보팀</t>
    <phoneticPr fontId="5" type="noConversion"/>
  </si>
  <si>
    <t>이한재</t>
    <phoneticPr fontId="5" type="noConversion"/>
  </si>
  <si>
    <t>장정미</t>
  </si>
  <si>
    <t>조한열</t>
  </si>
  <si>
    <t>최준섭</t>
    <phoneticPr fontId="5" type="noConversion"/>
  </si>
  <si>
    <t>한재혁</t>
    <phoneticPr fontId="5" type="noConversion"/>
  </si>
  <si>
    <t>[표1] 베스트셀러</t>
    <phoneticPr fontId="5" type="noConversion"/>
  </si>
  <si>
    <t>[표3] 업체별 수출 현황</t>
    <phoneticPr fontId="5" type="noConversion"/>
  </si>
  <si>
    <t xml:space="preserve">                  분류
 순위</t>
    <phoneticPr fontId="5" type="noConversion"/>
  </si>
  <si>
    <t>문학</t>
    <phoneticPr fontId="5" type="noConversion"/>
  </si>
  <si>
    <t>교육</t>
    <phoneticPr fontId="5" type="noConversion"/>
  </si>
  <si>
    <t>경영</t>
    <phoneticPr fontId="5" type="noConversion"/>
  </si>
  <si>
    <t>자기계발</t>
    <phoneticPr fontId="5" type="noConversion"/>
  </si>
  <si>
    <t>업체명</t>
    <phoneticPr fontId="5" type="noConversion"/>
  </si>
  <si>
    <t>품목</t>
    <phoneticPr fontId="5" type="noConversion"/>
  </si>
  <si>
    <t>수출액</t>
    <phoneticPr fontId="5" type="noConversion"/>
  </si>
  <si>
    <t>S 전자</t>
    <phoneticPr fontId="5" type="noConversion"/>
  </si>
  <si>
    <t>LCD TV</t>
    <phoneticPr fontId="5" type="noConversion"/>
  </si>
  <si>
    <t>L 전자</t>
    <phoneticPr fontId="5" type="noConversion"/>
  </si>
  <si>
    <t>PDP TV</t>
    <phoneticPr fontId="5" type="noConversion"/>
  </si>
  <si>
    <t>H 자동차</t>
    <phoneticPr fontId="5" type="noConversion"/>
  </si>
  <si>
    <t>중형자동차</t>
    <phoneticPr fontId="5" type="noConversion"/>
  </si>
  <si>
    <t>스마트폰</t>
    <phoneticPr fontId="5" type="noConversion"/>
  </si>
  <si>
    <t>SUV</t>
    <phoneticPr fontId="5" type="noConversion"/>
  </si>
  <si>
    <t>[표2] 판매현황</t>
    <phoneticPr fontId="5" type="noConversion"/>
  </si>
  <si>
    <t>드럼 세탁기</t>
    <phoneticPr fontId="5" type="noConversion"/>
  </si>
  <si>
    <t>L 전자</t>
    <phoneticPr fontId="5" type="noConversion"/>
  </si>
  <si>
    <t>전자레인지</t>
    <phoneticPr fontId="5" type="noConversion"/>
  </si>
  <si>
    <t>S 전자</t>
    <phoneticPr fontId="5" type="noConversion"/>
  </si>
  <si>
    <t>에어컨</t>
    <phoneticPr fontId="5" type="noConversion"/>
  </si>
  <si>
    <t>D 조선</t>
    <phoneticPr fontId="5" type="noConversion"/>
  </si>
  <si>
    <t>유조선</t>
    <phoneticPr fontId="5" type="noConversion"/>
  </si>
  <si>
    <t>신경숙</t>
    <phoneticPr fontId="5" type="noConversion"/>
  </si>
  <si>
    <t>유람선</t>
    <phoneticPr fontId="5" type="noConversion"/>
  </si>
  <si>
    <t>문학</t>
    <phoneticPr fontId="5" type="noConversion"/>
  </si>
  <si>
    <t>공지영</t>
    <phoneticPr fontId="5" type="noConversion"/>
  </si>
  <si>
    <t>[표4]</t>
    <phoneticPr fontId="5" type="noConversion"/>
  </si>
  <si>
    <t>홍종현</t>
    <phoneticPr fontId="5" type="noConversion"/>
  </si>
  <si>
    <t>업체명</t>
    <phoneticPr fontId="5" type="noConversion"/>
  </si>
  <si>
    <t>총수출액</t>
    <phoneticPr fontId="5" type="noConversion"/>
  </si>
  <si>
    <t>글래드웰</t>
    <phoneticPr fontId="5" type="noConversion"/>
  </si>
  <si>
    <t>슈스탁</t>
    <phoneticPr fontId="5" type="noConversion"/>
  </si>
  <si>
    <t>H 자동차</t>
    <phoneticPr fontId="5" type="noConversion"/>
  </si>
  <si>
    <t>일본전산</t>
    <phoneticPr fontId="5" type="noConversion"/>
  </si>
  <si>
    <t>이영서</t>
    <phoneticPr fontId="5" type="noConversion"/>
  </si>
  <si>
    <t>[표5] 고속도로 통행료</t>
    <phoneticPr fontId="5" type="noConversion"/>
  </si>
  <si>
    <t>[표6] 지원자 점수표</t>
    <phoneticPr fontId="5" type="noConversion"/>
  </si>
  <si>
    <t>출발지</t>
    <phoneticPr fontId="10" type="noConversion"/>
  </si>
  <si>
    <t>도착지</t>
    <phoneticPr fontId="10" type="noConversion"/>
  </si>
  <si>
    <t>주행거리</t>
    <phoneticPr fontId="10" type="noConversion"/>
  </si>
  <si>
    <t>통행료</t>
    <phoneticPr fontId="10" type="noConversion"/>
  </si>
  <si>
    <t>성명</t>
    <phoneticPr fontId="11" type="noConversion"/>
  </si>
  <si>
    <t>필기시험</t>
    <phoneticPr fontId="5" type="noConversion"/>
  </si>
  <si>
    <t>개별면접</t>
    <phoneticPr fontId="11" type="noConversion"/>
  </si>
  <si>
    <t>집단면접</t>
    <phoneticPr fontId="11" type="noConversion"/>
  </si>
  <si>
    <t>합격여부</t>
    <phoneticPr fontId="11" type="noConversion"/>
  </si>
  <si>
    <t>서울</t>
  </si>
  <si>
    <t>동수원</t>
  </si>
  <si>
    <t>한지영</t>
    <phoneticPr fontId="5" type="noConversion"/>
  </si>
  <si>
    <t>수원</t>
  </si>
  <si>
    <t>최한일</t>
    <phoneticPr fontId="5" type="noConversion"/>
  </si>
  <si>
    <t>지곡</t>
  </si>
  <si>
    <t>김영주</t>
    <phoneticPr fontId="5" type="noConversion"/>
  </si>
  <si>
    <t>기흥</t>
  </si>
  <si>
    <t>이상진</t>
    <phoneticPr fontId="5" type="noConversion"/>
  </si>
  <si>
    <t>오산</t>
  </si>
  <si>
    <t>김상일</t>
    <phoneticPr fontId="5" type="noConversion"/>
  </si>
  <si>
    <t>안성</t>
  </si>
  <si>
    <t>유하진</t>
    <phoneticPr fontId="5" type="noConversion"/>
  </si>
  <si>
    <t>천안</t>
  </si>
  <si>
    <t>박영철</t>
    <phoneticPr fontId="5" type="noConversion"/>
  </si>
  <si>
    <t>계룡</t>
  </si>
  <si>
    <t>심정수</t>
    <phoneticPr fontId="5" type="noConversion"/>
  </si>
  <si>
    <t>목천</t>
  </si>
  <si>
    <t>청주</t>
  </si>
  <si>
    <t>청원</t>
  </si>
  <si>
    <t>신탄진</t>
  </si>
  <si>
    <t>남대전</t>
  </si>
  <si>
    <t>대전</t>
  </si>
  <si>
    <t>옥천</t>
  </si>
  <si>
    <t>금강</t>
  </si>
  <si>
    <t>영동</t>
  </si>
  <si>
    <t>판암</t>
  </si>
  <si>
    <t>황간</t>
  </si>
  <si>
    <t>추풍령</t>
  </si>
  <si>
    <t>김천</t>
  </si>
  <si>
    <t>구미</t>
  </si>
  <si>
    <t>상주</t>
  </si>
  <si>
    <t>남구미</t>
  </si>
  <si>
    <t>왜관</t>
  </si>
  <si>
    <t>서대구</t>
  </si>
  <si>
    <t>북대구</t>
  </si>
  <si>
    <t>경산</t>
  </si>
  <si>
    <t>영천</t>
  </si>
  <si>
    <t>일자</t>
  </si>
  <si>
    <t>지점</t>
  </si>
  <si>
    <t>품목</t>
  </si>
  <si>
    <t>LED</t>
  </si>
  <si>
    <t>DSLR</t>
  </si>
  <si>
    <t>LCD</t>
  </si>
  <si>
    <t>[표1] 회원 명단</t>
    <phoneticPr fontId="5" type="noConversion"/>
  </si>
  <si>
    <t>성명</t>
    <phoneticPr fontId="5" type="noConversion"/>
  </si>
  <si>
    <t>등급</t>
    <phoneticPr fontId="5" type="noConversion"/>
  </si>
  <si>
    <t>성별</t>
    <phoneticPr fontId="5" type="noConversion"/>
  </si>
  <si>
    <t>생년월일</t>
    <phoneticPr fontId="5" type="noConversion"/>
  </si>
  <si>
    <t>가입일</t>
    <phoneticPr fontId="5" type="noConversion"/>
  </si>
  <si>
    <t>감은영</t>
    <phoneticPr fontId="5" type="noConversion"/>
  </si>
  <si>
    <t>그린</t>
    <phoneticPr fontId="5" type="noConversion"/>
  </si>
  <si>
    <t>여자</t>
  </si>
  <si>
    <t>김경남</t>
    <phoneticPr fontId="5" type="noConversion"/>
  </si>
  <si>
    <t>남자</t>
  </si>
  <si>
    <t>김미진</t>
    <phoneticPr fontId="5" type="noConversion"/>
  </si>
  <si>
    <t>레드</t>
    <phoneticPr fontId="5" type="noConversion"/>
  </si>
  <si>
    <t>김수철</t>
    <phoneticPr fontId="5" type="noConversion"/>
  </si>
  <si>
    <t>그린</t>
    <phoneticPr fontId="5" type="noConversion"/>
  </si>
  <si>
    <t>김인정</t>
    <phoneticPr fontId="5" type="noConversion"/>
  </si>
  <si>
    <t>김현호</t>
    <phoneticPr fontId="5" type="noConversion"/>
  </si>
  <si>
    <t>블루</t>
    <phoneticPr fontId="5" type="noConversion"/>
  </si>
  <si>
    <t>김호철</t>
    <phoneticPr fontId="5" type="noConversion"/>
  </si>
  <si>
    <t>블루</t>
    <phoneticPr fontId="5" type="noConversion"/>
  </si>
  <si>
    <t>나경은</t>
    <phoneticPr fontId="5" type="noConversion"/>
  </si>
  <si>
    <t>박영옥</t>
    <phoneticPr fontId="5" type="noConversion"/>
  </si>
  <si>
    <t>실버</t>
    <phoneticPr fontId="5" type="noConversion"/>
  </si>
  <si>
    <t>박주철</t>
    <phoneticPr fontId="5" type="noConversion"/>
  </si>
  <si>
    <t>서승현</t>
    <phoneticPr fontId="5" type="noConversion"/>
  </si>
  <si>
    <t>안수진</t>
    <phoneticPr fontId="5" type="noConversion"/>
  </si>
  <si>
    <t>윤영희</t>
    <phoneticPr fontId="5" type="noConversion"/>
  </si>
  <si>
    <t>이강우</t>
    <phoneticPr fontId="5" type="noConversion"/>
  </si>
  <si>
    <t>레드</t>
    <phoneticPr fontId="5" type="noConversion"/>
  </si>
  <si>
    <t>이미연</t>
    <phoneticPr fontId="5" type="noConversion"/>
  </si>
  <si>
    <t>이영호</t>
    <phoneticPr fontId="5" type="noConversion"/>
  </si>
  <si>
    <t>실버</t>
    <phoneticPr fontId="5" type="noConversion"/>
  </si>
  <si>
    <t>이재원</t>
    <phoneticPr fontId="5" type="noConversion"/>
  </si>
  <si>
    <t>이혜원</t>
    <phoneticPr fontId="5" type="noConversion"/>
  </si>
  <si>
    <t>정명화</t>
    <phoneticPr fontId="5" type="noConversion"/>
  </si>
  <si>
    <t>차동철</t>
    <phoneticPr fontId="5" type="noConversion"/>
  </si>
  <si>
    <t>최미혜</t>
    <phoneticPr fontId="5" type="noConversion"/>
  </si>
  <si>
    <t>핑크</t>
    <phoneticPr fontId="5" type="noConversion"/>
  </si>
  <si>
    <t>최영현</t>
    <phoneticPr fontId="5" type="noConversion"/>
  </si>
  <si>
    <t>최진희</t>
    <phoneticPr fontId="5" type="noConversion"/>
  </si>
  <si>
    <t>한상돈</t>
    <phoneticPr fontId="5" type="noConversion"/>
  </si>
  <si>
    <t>한혜영</t>
    <phoneticPr fontId="5" type="noConversion"/>
  </si>
  <si>
    <t>[표1] 인터넷통계</t>
    <phoneticPr fontId="5" type="noConversion"/>
  </si>
  <si>
    <t>(단위:천명, %)</t>
    <phoneticPr fontId="5" type="noConversion"/>
  </si>
  <si>
    <t>전망기관</t>
    <phoneticPr fontId="5" type="noConversion"/>
  </si>
  <si>
    <t>2020년</t>
  </si>
  <si>
    <t>인터넷이용자수</t>
    <phoneticPr fontId="5" type="noConversion"/>
  </si>
  <si>
    <t>인터넷이용률</t>
    <phoneticPr fontId="5" type="noConversion"/>
  </si>
  <si>
    <t>인터넷가입자수</t>
    <phoneticPr fontId="5" type="noConversion"/>
  </si>
  <si>
    <t>2019년</t>
    <phoneticPr fontId="2" type="noConversion"/>
  </si>
  <si>
    <t>2021년</t>
  </si>
  <si>
    <t>상품코드</t>
    <phoneticPr fontId="5" type="noConversion"/>
  </si>
  <si>
    <t>구분</t>
    <phoneticPr fontId="5" type="noConversion"/>
  </si>
  <si>
    <t>상품명</t>
    <phoneticPr fontId="5" type="noConversion"/>
  </si>
  <si>
    <t>수량</t>
    <phoneticPr fontId="5" type="noConversion"/>
  </si>
  <si>
    <t>금액</t>
    <phoneticPr fontId="5" type="noConversion"/>
  </si>
  <si>
    <t>F014</t>
  </si>
  <si>
    <t>식품</t>
  </si>
  <si>
    <t>콩나물</t>
  </si>
  <si>
    <t>C133</t>
  </si>
  <si>
    <t>의류</t>
  </si>
  <si>
    <t>양말</t>
  </si>
  <si>
    <t>[표1] 주문서작성</t>
    <phoneticPr fontId="5" type="noConversion"/>
  </si>
  <si>
    <t>[데이터 : 상품정보]</t>
    <phoneticPr fontId="5" type="noConversion"/>
  </si>
  <si>
    <t>상품코드</t>
    <phoneticPr fontId="5" type="noConversion"/>
  </si>
  <si>
    <t>구분</t>
    <phoneticPr fontId="5" type="noConversion"/>
  </si>
  <si>
    <t>상품명</t>
    <phoneticPr fontId="5" type="noConversion"/>
  </si>
  <si>
    <t>단가</t>
    <phoneticPr fontId="5" type="noConversion"/>
  </si>
  <si>
    <t>F013</t>
    <phoneticPr fontId="5" type="noConversion"/>
  </si>
  <si>
    <t>식품</t>
    <phoneticPr fontId="5" type="noConversion"/>
  </si>
  <si>
    <t>시금치</t>
    <phoneticPr fontId="5" type="noConversion"/>
  </si>
  <si>
    <t>식품</t>
    <phoneticPr fontId="5" type="noConversion"/>
  </si>
  <si>
    <t>콩나물</t>
    <phoneticPr fontId="5" type="noConversion"/>
  </si>
  <si>
    <t>F015</t>
  </si>
  <si>
    <t>수박</t>
    <phoneticPr fontId="5" type="noConversion"/>
  </si>
  <si>
    <t>F016</t>
  </si>
  <si>
    <t>오이</t>
    <phoneticPr fontId="5" type="noConversion"/>
  </si>
  <si>
    <t>C132</t>
    <phoneticPr fontId="5" type="noConversion"/>
  </si>
  <si>
    <t>달걀</t>
    <phoneticPr fontId="5" type="noConversion"/>
  </si>
  <si>
    <t>의류</t>
    <phoneticPr fontId="5" type="noConversion"/>
  </si>
  <si>
    <t>양말</t>
    <phoneticPr fontId="5" type="noConversion"/>
  </si>
  <si>
    <t>C134</t>
  </si>
  <si>
    <t>스타킹</t>
    <phoneticPr fontId="5" type="noConversion"/>
  </si>
  <si>
    <t>C135</t>
  </si>
  <si>
    <t>손수건</t>
    <phoneticPr fontId="5" type="noConversion"/>
  </si>
  <si>
    <t>C136</t>
  </si>
  <si>
    <t>의류</t>
    <phoneticPr fontId="5" type="noConversion"/>
  </si>
  <si>
    <t>면장갑</t>
    <phoneticPr fontId="5" type="noConversion"/>
  </si>
  <si>
    <t>(모두)</t>
  </si>
  <si>
    <t>총합계</t>
  </si>
  <si>
    <t>합계 : 개수</t>
  </si>
  <si>
    <t>합계 : 매출</t>
  </si>
  <si>
    <t>★ 베스트 셀러 도서명</t>
    <phoneticPr fontId="5" type="noConversion"/>
  </si>
  <si>
    <t>베스트셀러</t>
    <phoneticPr fontId="5" type="noConversion"/>
  </si>
  <si>
    <t>서울에서 가장 가까운 곳까지의 통행료</t>
    <phoneticPr fontId="5" type="noConversion"/>
  </si>
  <si>
    <t>개수</t>
  </si>
  <si>
    <t>매출</t>
  </si>
  <si>
    <t>강동</t>
  </si>
  <si>
    <t>강남</t>
  </si>
  <si>
    <t>강북</t>
  </si>
  <si>
    <t>강서</t>
  </si>
  <si>
    <t>조건</t>
    <phoneticPr fontId="2" type="noConversion"/>
  </si>
  <si>
    <t>2022년</t>
  </si>
  <si>
    <t>도서명</t>
    <phoneticPr fontId="5" type="noConversion"/>
  </si>
  <si>
    <t>저자</t>
    <phoneticPr fontId="5" type="noConversion"/>
  </si>
  <si>
    <t>분류</t>
    <phoneticPr fontId="5" type="noConversion"/>
  </si>
  <si>
    <t>출판일</t>
    <phoneticPr fontId="5" type="noConversion"/>
  </si>
  <si>
    <t>판매부수</t>
    <phoneticPr fontId="5" type="noConversion"/>
  </si>
  <si>
    <t>히치하이커</t>
    <phoneticPr fontId="5" type="noConversion"/>
  </si>
  <si>
    <t>애덤스</t>
    <phoneticPr fontId="5" type="noConversion"/>
  </si>
  <si>
    <t>Why?</t>
    <phoneticPr fontId="5" type="noConversion"/>
  </si>
  <si>
    <t>허순봉</t>
    <phoneticPr fontId="5" type="noConversion"/>
  </si>
  <si>
    <t>교육</t>
    <phoneticPr fontId="5" type="noConversion"/>
  </si>
  <si>
    <t>엄마를 부탁해</t>
    <phoneticPr fontId="5" type="noConversion"/>
  </si>
  <si>
    <t>문학</t>
    <phoneticPr fontId="5" type="noConversion"/>
  </si>
  <si>
    <t>4개의 통장</t>
    <phoneticPr fontId="5" type="noConversion"/>
  </si>
  <si>
    <t>고경호</t>
    <phoneticPr fontId="5" type="noConversion"/>
  </si>
  <si>
    <t>경영</t>
    <phoneticPr fontId="5" type="noConversion"/>
  </si>
  <si>
    <t>경영</t>
    <phoneticPr fontId="5" type="noConversion"/>
  </si>
  <si>
    <t>도서관 고양이</t>
    <phoneticPr fontId="5" type="noConversion"/>
  </si>
  <si>
    <t>마이런</t>
    <phoneticPr fontId="5" type="noConversion"/>
  </si>
  <si>
    <t>문학</t>
    <phoneticPr fontId="5" type="noConversion"/>
  </si>
  <si>
    <t>깃털 하나</t>
    <phoneticPr fontId="5" type="noConversion"/>
  </si>
  <si>
    <t>실험왕</t>
    <phoneticPr fontId="5" type="noConversion"/>
  </si>
  <si>
    <t>교육</t>
    <phoneticPr fontId="5" type="noConversion"/>
  </si>
  <si>
    <t>아웃라이어</t>
    <phoneticPr fontId="5" type="noConversion"/>
  </si>
  <si>
    <t>경영</t>
    <phoneticPr fontId="5" type="noConversion"/>
  </si>
  <si>
    <t>눈먼 자들의 도시</t>
    <phoneticPr fontId="5" type="noConversion"/>
  </si>
  <si>
    <t>사라마구</t>
    <phoneticPr fontId="5" type="noConversion"/>
  </si>
  <si>
    <t>문학</t>
    <phoneticPr fontId="5" type="noConversion"/>
  </si>
  <si>
    <t>사랑해</t>
    <phoneticPr fontId="5" type="noConversion"/>
  </si>
  <si>
    <t>똑똑한 돈</t>
    <phoneticPr fontId="5" type="noConversion"/>
  </si>
  <si>
    <t>이명로</t>
    <phoneticPr fontId="5" type="noConversion"/>
  </si>
  <si>
    <t>김성호</t>
    <phoneticPr fontId="5" type="noConversion"/>
  </si>
  <si>
    <t>신</t>
    <phoneticPr fontId="5" type="noConversion"/>
  </si>
  <si>
    <t>베르베르</t>
    <phoneticPr fontId="5" type="noConversion"/>
  </si>
  <si>
    <t>시크릿</t>
    <phoneticPr fontId="5" type="noConversion"/>
  </si>
  <si>
    <t>론다 번</t>
    <phoneticPr fontId="5" type="noConversion"/>
  </si>
  <si>
    <t>자기계발</t>
    <phoneticPr fontId="5" type="noConversion"/>
  </si>
  <si>
    <t>마지막 강의</t>
    <phoneticPr fontId="5" type="noConversion"/>
  </si>
  <si>
    <t>랜디포시</t>
    <phoneticPr fontId="5" type="noConversion"/>
  </si>
  <si>
    <t>자기계발</t>
    <phoneticPr fontId="5" type="noConversion"/>
  </si>
  <si>
    <t>불황을 넘어서</t>
    <phoneticPr fontId="5" type="noConversion"/>
  </si>
  <si>
    <t>토플러</t>
    <phoneticPr fontId="5" type="noConversion"/>
  </si>
  <si>
    <t>경영</t>
    <phoneticPr fontId="5" type="noConversion"/>
  </si>
  <si>
    <t>죽음의 중지</t>
    <phoneticPr fontId="5" type="noConversion"/>
  </si>
  <si>
    <t>사라마구</t>
    <phoneticPr fontId="5" type="noConversion"/>
  </si>
  <si>
    <t>더 리더</t>
    <phoneticPr fontId="5" type="noConversion"/>
  </si>
  <si>
    <t>슐링크</t>
    <phoneticPr fontId="5" type="noConversion"/>
  </si>
  <si>
    <t>내 얼굴</t>
    <phoneticPr fontId="5" type="noConversion"/>
  </si>
  <si>
    <t>스미</t>
    <phoneticPr fontId="5" type="noConversion"/>
  </si>
  <si>
    <t>문학</t>
    <phoneticPr fontId="5" type="noConversion"/>
  </si>
  <si>
    <t>노니는 집</t>
    <phoneticPr fontId="5" type="noConversion"/>
  </si>
  <si>
    <t>천자문</t>
    <phoneticPr fontId="5" type="noConversion"/>
  </si>
  <si>
    <t>시리얼</t>
    <phoneticPr fontId="5" type="noConversion"/>
  </si>
  <si>
    <t>성명</t>
    <phoneticPr fontId="5" type="noConversion"/>
  </si>
  <si>
    <t>주민번호</t>
    <phoneticPr fontId="5" type="noConversion"/>
  </si>
  <si>
    <t>연봉</t>
    <phoneticPr fontId="5" type="noConversion"/>
  </si>
  <si>
    <t>입사일</t>
    <phoneticPr fontId="5" type="noConversion"/>
  </si>
  <si>
    <t>교육팀</t>
    <phoneticPr fontId="5" type="noConversion"/>
  </si>
  <si>
    <t>761101-1123456</t>
    <phoneticPr fontId="2" type="noConversion"/>
  </si>
  <si>
    <t>강진용</t>
    <phoneticPr fontId="5" type="noConversion"/>
  </si>
  <si>
    <t>영업팀</t>
    <phoneticPr fontId="5" type="noConversion"/>
  </si>
  <si>
    <t>981001-2123456</t>
    <phoneticPr fontId="2" type="noConversion"/>
  </si>
  <si>
    <t>구자춘</t>
    <phoneticPr fontId="5" type="noConversion"/>
  </si>
  <si>
    <t>721018-1123456</t>
    <phoneticPr fontId="2" type="noConversion"/>
  </si>
  <si>
    <t>권부규</t>
    <phoneticPr fontId="5" type="noConversion"/>
  </si>
  <si>
    <t>701010-2123456</t>
    <phoneticPr fontId="2" type="noConversion"/>
  </si>
  <si>
    <t>김진규</t>
    <phoneticPr fontId="5" type="noConversion"/>
  </si>
  <si>
    <t>811224-1123456</t>
    <phoneticPr fontId="2" type="noConversion"/>
  </si>
  <si>
    <t>김한일</t>
    <phoneticPr fontId="5" type="noConversion"/>
  </si>
  <si>
    <t>교육팀</t>
    <phoneticPr fontId="5" type="noConversion"/>
  </si>
  <si>
    <t>950725-2123456</t>
    <phoneticPr fontId="2" type="noConversion"/>
  </si>
  <si>
    <t>문택식</t>
    <phoneticPr fontId="5" type="noConversion"/>
  </si>
  <si>
    <t>710403-1123456</t>
    <phoneticPr fontId="2" type="noConversion"/>
  </si>
  <si>
    <t>박상철</t>
    <phoneticPr fontId="5" type="noConversion"/>
  </si>
  <si>
    <t>800912-2123456</t>
    <phoneticPr fontId="2" type="noConversion"/>
  </si>
  <si>
    <t>박종훈</t>
    <phoneticPr fontId="5" type="noConversion"/>
  </si>
  <si>
    <t>기획팀</t>
    <phoneticPr fontId="5" type="noConversion"/>
  </si>
  <si>
    <t>990109-2123456</t>
    <phoneticPr fontId="2" type="noConversion"/>
  </si>
  <si>
    <t>서병일</t>
    <phoneticPr fontId="5" type="noConversion"/>
  </si>
  <si>
    <t>970912-2123456</t>
    <phoneticPr fontId="2" type="noConversion"/>
  </si>
  <si>
    <t>성기철</t>
    <phoneticPr fontId="5" type="noConversion"/>
  </si>
  <si>
    <t>770716-1123456</t>
    <phoneticPr fontId="2" type="noConversion"/>
  </si>
  <si>
    <t>신강호</t>
    <phoneticPr fontId="5" type="noConversion"/>
  </si>
  <si>
    <t>791201-2123456</t>
    <phoneticPr fontId="2" type="noConversion"/>
  </si>
  <si>
    <t>851111-1123456</t>
    <phoneticPr fontId="2" type="noConversion"/>
  </si>
  <si>
    <t>691212-1123456</t>
    <phoneticPr fontId="2" type="noConversion"/>
  </si>
  <si>
    <t>이기호</t>
    <phoneticPr fontId="5" type="noConversion"/>
  </si>
  <si>
    <t>940303-1123456</t>
    <phoneticPr fontId="2" type="noConversion"/>
  </si>
  <si>
    <t>이병호</t>
    <phoneticPr fontId="5" type="noConversion"/>
  </si>
  <si>
    <t>960516-2123456</t>
    <phoneticPr fontId="2" type="noConversion"/>
  </si>
  <si>
    <t>이영성</t>
    <phoneticPr fontId="5" type="noConversion"/>
  </si>
  <si>
    <t>이영성</t>
    <phoneticPr fontId="5" type="noConversion"/>
  </si>
  <si>
    <t>920326-2123456</t>
    <phoneticPr fontId="2" type="noConversion"/>
  </si>
  <si>
    <t>920326-2123456</t>
    <phoneticPr fontId="2" type="noConversion"/>
  </si>
  <si>
    <t>이영주</t>
    <phoneticPr fontId="5" type="noConversion"/>
  </si>
  <si>
    <t>820101-2123456</t>
    <phoneticPr fontId="2" type="noConversion"/>
  </si>
  <si>
    <t>이한재</t>
    <phoneticPr fontId="5" type="noConversion"/>
  </si>
  <si>
    <t>771213-1123456</t>
    <phoneticPr fontId="2" type="noConversion"/>
  </si>
  <si>
    <t>이현우</t>
    <phoneticPr fontId="5" type="noConversion"/>
  </si>
  <si>
    <t>880108-1123456</t>
    <phoneticPr fontId="2" type="noConversion"/>
  </si>
  <si>
    <t>홍보팀</t>
    <phoneticPr fontId="5" type="noConversion"/>
  </si>
  <si>
    <t>841010-1123456</t>
    <phoneticPr fontId="2" type="noConversion"/>
  </si>
  <si>
    <t>910110-2123456</t>
    <phoneticPr fontId="2" type="noConversion"/>
  </si>
  <si>
    <t>680823-1123456</t>
    <phoneticPr fontId="2" type="noConversion"/>
  </si>
  <si>
    <t>한영환</t>
    <phoneticPr fontId="5" type="noConversion"/>
  </si>
  <si>
    <t>780617-2123456</t>
    <phoneticPr fontId="2" type="noConversion"/>
  </si>
  <si>
    <t>970205-1123456</t>
    <phoneticPr fontId="2" type="noConversion"/>
  </si>
  <si>
    <t>성명</t>
    <phoneticPr fontId="5" type="noConversion"/>
  </si>
  <si>
    <t>부서</t>
    <phoneticPr fontId="5" type="noConversion"/>
  </si>
  <si>
    <t>연봉</t>
    <phoneticPr fontId="5" type="noConversion"/>
  </si>
  <si>
    <t>입사일</t>
    <phoneticPr fontId="5" type="noConversion"/>
  </si>
  <si>
    <t>강원철</t>
    <phoneticPr fontId="5" type="noConversion"/>
  </si>
  <si>
    <t>교육팀</t>
    <phoneticPr fontId="5" type="noConversion"/>
  </si>
  <si>
    <t>761101-1123456</t>
    <phoneticPr fontId="2" type="noConversion"/>
  </si>
  <si>
    <t>강진용</t>
    <phoneticPr fontId="5" type="noConversion"/>
  </si>
  <si>
    <t>영업팀</t>
    <phoneticPr fontId="5" type="noConversion"/>
  </si>
  <si>
    <t>981001-2123456</t>
    <phoneticPr fontId="2" type="noConversion"/>
  </si>
  <si>
    <t>구자춘</t>
    <phoneticPr fontId="5" type="noConversion"/>
  </si>
  <si>
    <t>721018-1123456</t>
    <phoneticPr fontId="2" type="noConversion"/>
  </si>
  <si>
    <t>권부규</t>
    <phoneticPr fontId="5" type="noConversion"/>
  </si>
  <si>
    <t>기획팀</t>
    <phoneticPr fontId="5" type="noConversion"/>
  </si>
  <si>
    <t>701010-2123456</t>
    <phoneticPr fontId="2" type="noConversion"/>
  </si>
  <si>
    <t>김진규</t>
    <phoneticPr fontId="5" type="noConversion"/>
  </si>
  <si>
    <t>811224-1123456</t>
    <phoneticPr fontId="2" type="noConversion"/>
  </si>
  <si>
    <t>950725-2123456</t>
    <phoneticPr fontId="2" type="noConversion"/>
  </si>
  <si>
    <t>문택식</t>
    <phoneticPr fontId="5" type="noConversion"/>
  </si>
  <si>
    <t>710403-1123456</t>
    <phoneticPr fontId="2" type="noConversion"/>
  </si>
  <si>
    <t>박상철</t>
    <phoneticPr fontId="5" type="noConversion"/>
  </si>
  <si>
    <t>990109-2123456</t>
    <phoneticPr fontId="2" type="noConversion"/>
  </si>
  <si>
    <t>서병일</t>
    <phoneticPr fontId="5" type="noConversion"/>
  </si>
  <si>
    <t>970912-2123456</t>
    <phoneticPr fontId="2" type="noConversion"/>
  </si>
  <si>
    <t>성기철</t>
    <phoneticPr fontId="5" type="noConversion"/>
  </si>
  <si>
    <t>770716-1123456</t>
    <phoneticPr fontId="2" type="noConversion"/>
  </si>
  <si>
    <t>신강호</t>
    <phoneticPr fontId="5" type="noConversion"/>
  </si>
  <si>
    <t>791201-2123456</t>
    <phoneticPr fontId="2" type="noConversion"/>
  </si>
  <si>
    <t>오명진</t>
    <phoneticPr fontId="5" type="noConversion"/>
  </si>
  <si>
    <t>691212-1123456</t>
    <phoneticPr fontId="2" type="noConversion"/>
  </si>
  <si>
    <t>이기호</t>
    <phoneticPr fontId="5" type="noConversion"/>
  </si>
  <si>
    <t>이병호</t>
    <phoneticPr fontId="5" type="noConversion"/>
  </si>
  <si>
    <t>홍보팀</t>
    <phoneticPr fontId="5" type="noConversion"/>
  </si>
  <si>
    <t>이영주</t>
    <phoneticPr fontId="5" type="noConversion"/>
  </si>
  <si>
    <t>820101-2123456</t>
    <phoneticPr fontId="2" type="noConversion"/>
  </si>
  <si>
    <t>이현우</t>
    <phoneticPr fontId="5" type="noConversion"/>
  </si>
  <si>
    <t>880108-1123456</t>
    <phoneticPr fontId="2" type="noConversion"/>
  </si>
  <si>
    <t>841010-1123456</t>
    <phoneticPr fontId="2" type="noConversion"/>
  </si>
  <si>
    <t>910110-2123456</t>
    <phoneticPr fontId="2" type="noConversion"/>
  </si>
  <si>
    <t>최준섭</t>
    <phoneticPr fontId="5" type="noConversion"/>
  </si>
  <si>
    <t>680823-1123456</t>
    <phoneticPr fontId="2" type="noConversion"/>
  </si>
  <si>
    <t>한영환</t>
    <phoneticPr fontId="5" type="noConversion"/>
  </si>
  <si>
    <t>780617-2123456</t>
    <phoneticPr fontId="2" type="noConversion"/>
  </si>
  <si>
    <t>한재혁</t>
    <phoneticPr fontId="5" type="noConversion"/>
  </si>
  <si>
    <t>970205-1123456</t>
    <phoneticPr fontId="2" type="noConversion"/>
  </si>
  <si>
    <t>2023-07-25 - 2023-07-31</t>
  </si>
  <si>
    <t>2023-08-01 - 2023-08-07</t>
  </si>
  <si>
    <t>2023-08-08 - 2023-08-14</t>
  </si>
  <si>
    <t>2023-08-15 - 2023-08-21</t>
  </si>
  <si>
    <t>2023-08-22 - 2023-08-24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</si>
</sst>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General\ &quot;위&quot;"/>
    <numFmt numFmtId="177" formatCode="#,##0_ "/>
    <numFmt numFmtId="178" formatCode="[Blue][&gt;=5000000]#,##0;[Red][&lt;1000000]#,##0;#,##0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굴림체"/>
      <family val="3"/>
      <charset val="129"/>
    </font>
    <font>
      <sz val="8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>
      <alignment vertical="center"/>
    </xf>
  </cellStyleXfs>
  <cellXfs count="40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9" fillId="0" borderId="2" xfId="3" applyFont="1" applyBorder="1" applyAlignment="1">
      <alignment horizontal="center" vertical="center" shrinkToFit="1"/>
    </xf>
    <xf numFmtId="14" fontId="7" fillId="0" borderId="1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horizontal="left" vertical="center" wrapText="1"/>
    </xf>
    <xf numFmtId="0" fontId="7" fillId="0" borderId="0" xfId="0" applyFont="1" applyFill="1" applyAlignment="1">
      <alignment vertical="center"/>
    </xf>
    <xf numFmtId="41" fontId="7" fillId="0" borderId="1" xfId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4" fontId="3" fillId="0" borderId="0" xfId="0" applyNumberFormat="1" applyFont="1" applyAlignment="1">
      <alignment vertical="center"/>
    </xf>
    <xf numFmtId="14" fontId="7" fillId="0" borderId="0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1" fontId="7" fillId="0" borderId="1" xfId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9" fillId="0" borderId="0" xfId="3" applyFont="1" applyFill="1" applyBorder="1" applyAlignment="1">
      <alignment horizontal="center" vertical="center" shrinkToFit="1"/>
    </xf>
    <xf numFmtId="41" fontId="7" fillId="0" borderId="1" xfId="1" applyNumberFormat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41" fontId="0" fillId="0" borderId="1" xfId="1" applyFont="1" applyBorder="1">
      <alignment vertical="center"/>
    </xf>
    <xf numFmtId="0" fontId="0" fillId="0" borderId="0" xfId="0" applyNumberFormat="1">
      <alignment vertical="center"/>
    </xf>
  </cellXfs>
  <cellStyles count="4">
    <cellStyle name="쉼표 [0]" xfId="1" builtinId="6"/>
    <cellStyle name="표준" xfId="0" builtinId="0"/>
    <cellStyle name="표준 3" xfId="3"/>
    <cellStyle name="표준_데이터베이스함수" xfId="2"/>
  </cellStyles>
  <dxfs count="2">
    <dxf>
      <numFmt numFmtId="19" formatCode="yyyy/mm/dd"/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인터넷 통계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인터넷이용자수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'기타작업-1'!$C$4:$F$4</c:f>
              <c:numCache>
                <c:formatCode>General</c:formatCode>
                <c:ptCount val="4"/>
                <c:pt idx="0">
                  <c:v>31580</c:v>
                </c:pt>
                <c:pt idx="1">
                  <c:v>33010</c:v>
                </c:pt>
                <c:pt idx="2">
                  <c:v>34120</c:v>
                </c:pt>
                <c:pt idx="3">
                  <c:v>34820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F1-4B92-89B4-06C3A14F6408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인터넷가입자수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'기타작업-1'!$C$6:$F$6</c:f>
              <c:numCache>
                <c:formatCode>General</c:formatCode>
                <c:ptCount val="4"/>
                <c:pt idx="0">
                  <c:v>11921</c:v>
                </c:pt>
                <c:pt idx="1">
                  <c:v>12191</c:v>
                </c:pt>
                <c:pt idx="2">
                  <c:v>14043</c:v>
                </c:pt>
                <c:pt idx="3">
                  <c:v>14710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F1-4B92-89B4-06C3A14F6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04989599"/>
        <c:axId val="2004987103"/>
      </c:barChart>
      <c:lineChart>
        <c:grouping val="standard"/>
        <c:varyColors val="0"/>
        <c:ser>
          <c:idx val="1"/>
          <c:order val="1"/>
          <c:tx>
            <c:strRef>
              <c:f>'기타작업-1'!$B$5</c:f>
              <c:strCache>
                <c:ptCount val="1"/>
                <c:pt idx="0">
                  <c:v>인터넷이용률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'기타작업-1'!$C$3:$F$3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'기타작업-1'!$C$5:$F$5</c:f>
              <c:numCache>
                <c:formatCode>General</c:formatCode>
                <c:ptCount val="4"/>
                <c:pt idx="0">
                  <c:v>70.2</c:v>
                </c:pt>
                <c:pt idx="1">
                  <c:v>72.8</c:v>
                </c:pt>
                <c:pt idx="2">
                  <c:v>74.8</c:v>
                </c:pt>
                <c:pt idx="3">
                  <c:v>75.3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F1-4B92-89B4-06C3A14F6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3017535"/>
        <c:axId val="1453017119"/>
      </c:lineChart>
      <c:catAx>
        <c:axId val="20049895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연도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4987103"/>
        <c:crosses val="autoZero"/>
        <c:auto val="1"/>
        <c:lblAlgn val="ctr"/>
        <c:lblOffset val="100"/>
        <c:noMultiLvlLbl val="0"/>
      </c:catAx>
      <c:valAx>
        <c:axId val="200498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인원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4989599"/>
        <c:crosses val="autoZero"/>
        <c:crossBetween val="between"/>
      </c:valAx>
      <c:valAx>
        <c:axId val="1453017119"/>
        <c:scaling>
          <c:orientation val="minMax"/>
          <c:max val="80"/>
          <c:min val="66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이용률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3017535"/>
        <c:crosses val="max"/>
        <c:crossBetween val="between"/>
        <c:majorUnit val="2"/>
      </c:valAx>
      <c:catAx>
        <c:axId val="14530175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530171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2</xdr:row>
      <xdr:rowOff>0</xdr:rowOff>
    </xdr:to>
    <xdr:sp macro="[0]!서식" textlink="">
      <xdr:nvSpPr>
        <xdr:cNvPr id="2" name="직사각형 1"/>
        <xdr:cNvSpPr/>
      </xdr:nvSpPr>
      <xdr:spPr>
        <a:xfrm>
          <a:off x="819150" y="0"/>
          <a:ext cx="132080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회계" textlink="">
      <xdr:nvSpPr>
        <xdr:cNvPr id="3" name="직사각형 2"/>
        <xdr:cNvSpPr/>
      </xdr:nvSpPr>
      <xdr:spPr>
        <a:xfrm>
          <a:off x="2139950" y="0"/>
          <a:ext cx="1466850" cy="431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회계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546100</xdr:colOff>
          <xdr:row>2</xdr:row>
          <xdr:rowOff>165100</xdr:rowOff>
        </xdr:to>
        <xdr:sp macro="" textlink="">
          <xdr:nvSpPr>
            <xdr:cNvPr id="8193" name="cmd매출입력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80.733091666669" createdVersion="6" refreshedVersion="6" minRefreshableVersion="3" recordCount="32">
  <cacheSource type="external" connectionId="4"/>
  <cacheFields count="5">
    <cacheField name="일자" numFmtId="0" sqlType="11">
      <sharedItems containsSemiMixedTypes="0" containsNonDate="0" containsDate="1" containsString="0" minDate="2023-07-25T00:00:00" maxDate="2023-08-24T00:00:00" count="17">
        <d v="2023-07-25T00:00:00"/>
        <d v="2023-07-27T00:00:00"/>
        <d v="2023-07-28T00:00:00"/>
        <d v="2023-07-29T00:00:00"/>
        <d v="2023-08-01T00:00:00"/>
        <d v="2023-08-04T00:00:00"/>
        <d v="2023-08-06T00:00:00"/>
        <d v="2023-08-07T00:00:00"/>
        <d v="2023-08-09T00:00:00"/>
        <d v="2023-08-10T00:00:00"/>
        <d v="2023-08-12T00:00:00"/>
        <d v="2023-08-13T00:00:00"/>
        <d v="2023-08-15T00:00:00"/>
        <d v="2023-08-16T00:00:00"/>
        <d v="2023-08-18T00:00:00"/>
        <d v="2023-08-22T00:00:00"/>
        <d v="2023-08-23T00:00:00"/>
      </sharedItems>
      <fieldGroup base="0">
        <rangePr groupBy="days" startDate="2023-07-25T00:00:00" endDate="2023-08-24T00:00:00" groupInterval="7"/>
        <groupItems count="7">
          <s v="&lt;2023-07-25"/>
          <s v="2023-07-25 - 2023-07-31"/>
          <s v="2023-08-01 - 2023-08-07"/>
          <s v="2023-08-08 - 2023-08-14"/>
          <s v="2023-08-15 - 2023-08-21"/>
          <s v="2023-08-22 - 2023-08-24"/>
          <s v="&gt;2023-08-24"/>
        </groupItems>
      </fieldGroup>
    </cacheField>
    <cacheField name="지점" numFmtId="0" sqlType="-9">
      <sharedItems count="4">
        <s v="강동"/>
        <s v="강남"/>
        <s v="강북"/>
        <s v="강서"/>
      </sharedItems>
    </cacheField>
    <cacheField name="품목" numFmtId="0" sqlType="-9">
      <sharedItems count="3">
        <s v="LED"/>
        <s v="DSLR"/>
        <s v="LCD"/>
      </sharedItems>
    </cacheField>
    <cacheField name="개수" numFmtId="0" sqlType="8">
      <sharedItems containsSemiMixedTypes="0" containsString="0" containsNumber="1" containsInteger="1" minValue="46" maxValue="63" count="13">
        <n v="55"/>
        <n v="61"/>
        <n v="54"/>
        <n v="52"/>
        <n v="63"/>
        <n v="62"/>
        <n v="46"/>
        <n v="57"/>
        <n v="53"/>
        <n v="49"/>
        <n v="56"/>
        <n v="60"/>
        <n v="58"/>
      </sharedItems>
    </cacheField>
    <cacheField name="매출" numFmtId="0" sqlType="8">
      <sharedItems containsSemiMixedTypes="0" containsString="0" containsNumber="1" containsInteger="1" minValue="446220" maxValue="59951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2902245"/>
  </r>
  <r>
    <x v="1"/>
    <x v="1"/>
    <x v="0"/>
    <x v="1"/>
    <n v="5995185"/>
  </r>
  <r>
    <x v="2"/>
    <x v="2"/>
    <x v="1"/>
    <x v="2"/>
    <n v="4651035"/>
  </r>
  <r>
    <x v="3"/>
    <x v="0"/>
    <x v="1"/>
    <x v="3"/>
    <n v="446220"/>
  </r>
  <r>
    <x v="3"/>
    <x v="1"/>
    <x v="0"/>
    <x v="4"/>
    <n v="2638125"/>
  </r>
  <r>
    <x v="4"/>
    <x v="3"/>
    <x v="0"/>
    <x v="5"/>
    <n v="5133780"/>
  </r>
  <r>
    <x v="4"/>
    <x v="1"/>
    <x v="1"/>
    <x v="6"/>
    <n v="670665"/>
  </r>
  <r>
    <x v="4"/>
    <x v="2"/>
    <x v="2"/>
    <x v="7"/>
    <n v="3371160"/>
  </r>
  <r>
    <x v="5"/>
    <x v="1"/>
    <x v="1"/>
    <x v="1"/>
    <n v="750300"/>
  </r>
  <r>
    <x v="5"/>
    <x v="2"/>
    <x v="0"/>
    <x v="0"/>
    <n v="2990820"/>
  </r>
  <r>
    <x v="6"/>
    <x v="0"/>
    <x v="0"/>
    <x v="8"/>
    <n v="5912580"/>
  </r>
  <r>
    <x v="6"/>
    <x v="0"/>
    <x v="0"/>
    <x v="9"/>
    <n v="4324095"/>
  </r>
  <r>
    <x v="7"/>
    <x v="1"/>
    <x v="2"/>
    <x v="7"/>
    <n v="5459025"/>
  </r>
  <r>
    <x v="7"/>
    <x v="2"/>
    <x v="1"/>
    <x v="3"/>
    <n v="4834275"/>
  </r>
  <r>
    <x v="8"/>
    <x v="2"/>
    <x v="1"/>
    <x v="4"/>
    <n v="4950525"/>
  </r>
  <r>
    <x v="9"/>
    <x v="0"/>
    <x v="1"/>
    <x v="0"/>
    <n v="3789615"/>
  </r>
  <r>
    <x v="9"/>
    <x v="2"/>
    <x v="0"/>
    <x v="10"/>
    <n v="5514000"/>
  </r>
  <r>
    <x v="10"/>
    <x v="3"/>
    <x v="1"/>
    <x v="10"/>
    <n v="2911410"/>
  </r>
  <r>
    <x v="11"/>
    <x v="0"/>
    <x v="1"/>
    <x v="6"/>
    <n v="3648960"/>
  </r>
  <r>
    <x v="11"/>
    <x v="2"/>
    <x v="2"/>
    <x v="11"/>
    <n v="5724840"/>
  </r>
  <r>
    <x v="12"/>
    <x v="0"/>
    <x v="0"/>
    <x v="12"/>
    <n v="3543765"/>
  </r>
  <r>
    <x v="12"/>
    <x v="3"/>
    <x v="1"/>
    <x v="3"/>
    <n v="1301535"/>
  </r>
  <r>
    <x v="12"/>
    <x v="2"/>
    <x v="1"/>
    <x v="3"/>
    <n v="3169485"/>
  </r>
  <r>
    <x v="12"/>
    <x v="2"/>
    <x v="0"/>
    <x v="7"/>
    <n v="5103165"/>
  </r>
  <r>
    <x v="13"/>
    <x v="0"/>
    <x v="1"/>
    <x v="5"/>
    <n v="3885960"/>
  </r>
  <r>
    <x v="13"/>
    <x v="3"/>
    <x v="1"/>
    <x v="5"/>
    <n v="2761830"/>
  </r>
  <r>
    <x v="13"/>
    <x v="1"/>
    <x v="0"/>
    <x v="11"/>
    <n v="4748850"/>
  </r>
  <r>
    <x v="14"/>
    <x v="0"/>
    <x v="1"/>
    <x v="6"/>
    <n v="649260"/>
  </r>
  <r>
    <x v="14"/>
    <x v="1"/>
    <x v="0"/>
    <x v="4"/>
    <n v="1295595"/>
  </r>
  <r>
    <x v="14"/>
    <x v="2"/>
    <x v="2"/>
    <x v="7"/>
    <n v="4440300"/>
  </r>
  <r>
    <x v="15"/>
    <x v="1"/>
    <x v="2"/>
    <x v="4"/>
    <n v="3143670"/>
  </r>
  <r>
    <x v="16"/>
    <x v="0"/>
    <x v="2"/>
    <x v="12"/>
    <n v="58210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3" applyNumberFormats="0" applyBorderFormats="0" applyFontFormats="0" applyPatternFormats="0" applyAlignmentFormats="0" applyWidthHeightFormats="1" dataCaption="값" updatedVersion="6" minRefreshableVersion="3" showDrill="0" useAutoFormatting="1" itemPrintTitles="1" createdVersion="6" indent="0" compact="0" outline="1" outlineData="1" compactData="0" multipleFieldFilters="0" fieldListSortAscending="1">
  <location ref="C4:F22" firstHeaderRow="0" firstDataRow="1" firstDataCol="2" rowPageCount="1" colPageCount="1"/>
  <pivotFields count="5">
    <pivotField axis="axisRow" compact="0" showAll="0" defaultSubtotal="0">
      <items count="7">
        <item x="0"/>
        <item x="1"/>
        <item x="2"/>
        <item x="3"/>
        <item x="4"/>
        <item x="5"/>
        <item x="6"/>
      </items>
    </pivotField>
    <pivotField axis="axisPage" compact="0" showAll="0" defaultSubtotal="0">
      <items count="4">
        <item x="1"/>
        <item x="0"/>
        <item x="2"/>
        <item x="3"/>
      </items>
    </pivotField>
    <pivotField axis="axisRow" compact="0" showAll="0" sortType="descending" defaultSubtotal="0">
      <items count="3">
        <item x="0"/>
        <item x="2"/>
        <item x="1"/>
      </items>
    </pivotField>
    <pivotField dataField="1" compact="0" showAll="0" defaultSubtotal="0"/>
    <pivotField dataField="1" compact="0" showAll="0" defaultSubtotal="0"/>
  </pivotFields>
  <rowFields count="2">
    <field x="0"/>
    <field x="2"/>
  </rowFields>
  <rowItems count="18">
    <i>
      <x v="1"/>
    </i>
    <i r="1">
      <x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합계 : 개수" fld="3" baseField="0" baseItem="1" numFmtId="177"/>
    <dataField name="합계 : 매출" fld="4" baseField="0" baseItem="1" numFmtId="177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E5" totalsRowShown="0">
  <autoFilter ref="A1:E5"/>
  <tableColumns count="5">
    <tableColumn id="1" name="일자" dataDxfId="0"/>
    <tableColumn id="2" name="지점"/>
    <tableColumn id="3" name="품목"/>
    <tableColumn id="4" name="개수"/>
    <tableColumn id="5" name="매출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0"/>
  <sheetViews>
    <sheetView tabSelected="1" workbookViewId="0"/>
  </sheetViews>
  <sheetFormatPr defaultRowHeight="17"/>
  <cols>
    <col min="1" max="3" width="12.5" customWidth="1"/>
    <col min="4" max="4" width="16.75" customWidth="1"/>
    <col min="5" max="6" width="13.75" customWidth="1"/>
    <col min="7" max="7" width="10.75" bestFit="1" customWidth="1"/>
  </cols>
  <sheetData>
    <row r="1" spans="1:7">
      <c r="A1" s="1"/>
      <c r="B1" s="1"/>
      <c r="C1" s="1"/>
      <c r="D1" s="1"/>
      <c r="E1" s="1"/>
      <c r="F1" s="1"/>
    </row>
    <row r="2" spans="1:7">
      <c r="A2" s="2" t="s">
        <v>0</v>
      </c>
      <c r="B2" s="1"/>
      <c r="C2" s="1"/>
      <c r="D2" s="1"/>
      <c r="E2" s="1"/>
      <c r="F2" s="1"/>
    </row>
    <row r="3" spans="1:7">
      <c r="A3" s="3" t="s">
        <v>327</v>
      </c>
      <c r="B3" s="3" t="s">
        <v>328</v>
      </c>
      <c r="C3" s="3" t="s">
        <v>3</v>
      </c>
      <c r="D3" s="3" t="s">
        <v>4</v>
      </c>
      <c r="E3" s="3" t="s">
        <v>329</v>
      </c>
      <c r="F3" s="3" t="s">
        <v>330</v>
      </c>
    </row>
    <row r="4" spans="1:7">
      <c r="A4" s="4" t="s">
        <v>331</v>
      </c>
      <c r="B4" s="3" t="s">
        <v>332</v>
      </c>
      <c r="C4" s="3" t="s">
        <v>8</v>
      </c>
      <c r="D4" s="3" t="s">
        <v>333</v>
      </c>
      <c r="E4" s="38">
        <v>38900000</v>
      </c>
      <c r="F4" s="5">
        <v>41242</v>
      </c>
      <c r="G4" s="39"/>
    </row>
    <row r="5" spans="1:7">
      <c r="A5" s="4" t="s">
        <v>334</v>
      </c>
      <c r="B5" s="3" t="s">
        <v>335</v>
      </c>
      <c r="C5" s="3" t="s">
        <v>10</v>
      </c>
      <c r="D5" s="3" t="s">
        <v>336</v>
      </c>
      <c r="E5" s="38">
        <v>29100000</v>
      </c>
      <c r="F5" s="5">
        <v>44544</v>
      </c>
      <c r="G5" s="39"/>
    </row>
    <row r="6" spans="1:7">
      <c r="A6" s="4" t="s">
        <v>337</v>
      </c>
      <c r="B6" s="3" t="s">
        <v>332</v>
      </c>
      <c r="C6" s="3" t="s">
        <v>11</v>
      </c>
      <c r="D6" s="3" t="s">
        <v>338</v>
      </c>
      <c r="E6" s="38">
        <v>47000000</v>
      </c>
      <c r="F6" s="5">
        <v>37942</v>
      </c>
      <c r="G6" s="39"/>
    </row>
    <row r="7" spans="1:7">
      <c r="A7" s="4" t="s">
        <v>339</v>
      </c>
      <c r="B7" s="3" t="s">
        <v>340</v>
      </c>
      <c r="C7" s="3" t="s">
        <v>11</v>
      </c>
      <c r="D7" s="3" t="s">
        <v>341</v>
      </c>
      <c r="E7" s="38">
        <v>47900000</v>
      </c>
      <c r="F7" s="5">
        <v>36873</v>
      </c>
      <c r="G7" s="39"/>
    </row>
    <row r="8" spans="1:7">
      <c r="A8" s="4" t="s">
        <v>342</v>
      </c>
      <c r="B8" s="3" t="s">
        <v>340</v>
      </c>
      <c r="C8" s="3" t="s">
        <v>13</v>
      </c>
      <c r="D8" s="3" t="s">
        <v>343</v>
      </c>
      <c r="E8" s="38">
        <v>31200000</v>
      </c>
      <c r="F8" s="5">
        <v>43802</v>
      </c>
      <c r="G8" s="39"/>
    </row>
    <row r="9" spans="1:7">
      <c r="A9" s="4" t="s">
        <v>14</v>
      </c>
      <c r="B9" s="3" t="s">
        <v>332</v>
      </c>
      <c r="C9" s="3" t="s">
        <v>10</v>
      </c>
      <c r="D9" s="3" t="s">
        <v>344</v>
      </c>
      <c r="E9" s="38">
        <v>30000000</v>
      </c>
      <c r="F9" s="5">
        <v>44171</v>
      </c>
      <c r="G9" s="39"/>
    </row>
    <row r="10" spans="1:7">
      <c r="A10" s="4" t="s">
        <v>345</v>
      </c>
      <c r="B10" s="3" t="s">
        <v>332</v>
      </c>
      <c r="C10" s="3" t="s">
        <v>8</v>
      </c>
      <c r="D10" s="3" t="s">
        <v>346</v>
      </c>
      <c r="E10" s="38">
        <v>37900000</v>
      </c>
      <c r="F10" s="5">
        <v>42345</v>
      </c>
      <c r="G10" s="39"/>
    </row>
    <row r="11" spans="1:7">
      <c r="A11" s="4" t="s">
        <v>347</v>
      </c>
      <c r="B11" s="3" t="s">
        <v>332</v>
      </c>
      <c r="C11" s="3" t="s">
        <v>13</v>
      </c>
      <c r="D11" s="3" t="s">
        <v>294</v>
      </c>
      <c r="E11" s="38">
        <v>31800000</v>
      </c>
      <c r="F11" s="5">
        <v>44535</v>
      </c>
      <c r="G11" s="39"/>
    </row>
    <row r="12" spans="1:7">
      <c r="A12" s="4" t="s">
        <v>15</v>
      </c>
      <c r="B12" s="3" t="s">
        <v>340</v>
      </c>
      <c r="C12" s="3" t="s">
        <v>10</v>
      </c>
      <c r="D12" s="3" t="s">
        <v>348</v>
      </c>
      <c r="E12" s="38">
        <v>28300000</v>
      </c>
      <c r="F12" s="5">
        <v>44906</v>
      </c>
      <c r="G12" s="39"/>
    </row>
    <row r="13" spans="1:7">
      <c r="A13" s="4" t="s">
        <v>349</v>
      </c>
      <c r="B13" s="3" t="s">
        <v>12</v>
      </c>
      <c r="C13" s="3" t="s">
        <v>13</v>
      </c>
      <c r="D13" s="3" t="s">
        <v>350</v>
      </c>
      <c r="E13" s="38">
        <v>35200000</v>
      </c>
      <c r="F13" s="5">
        <v>43431</v>
      </c>
      <c r="G13" s="39"/>
    </row>
    <row r="14" spans="1:7">
      <c r="A14" s="4" t="s">
        <v>351</v>
      </c>
      <c r="B14" s="3" t="s">
        <v>332</v>
      </c>
      <c r="C14" s="3" t="s">
        <v>8</v>
      </c>
      <c r="D14" s="3" t="s">
        <v>352</v>
      </c>
      <c r="E14" s="38">
        <v>37500000</v>
      </c>
      <c r="F14" s="5">
        <v>41616</v>
      </c>
      <c r="G14" s="39"/>
    </row>
    <row r="15" spans="1:7">
      <c r="A15" s="4" t="s">
        <v>353</v>
      </c>
      <c r="B15" s="3" t="s">
        <v>332</v>
      </c>
      <c r="C15" s="3" t="s">
        <v>8</v>
      </c>
      <c r="D15" s="3" t="s">
        <v>354</v>
      </c>
      <c r="E15" s="38">
        <v>39800000</v>
      </c>
      <c r="F15" s="5">
        <v>41949</v>
      </c>
      <c r="G15" s="39"/>
    </row>
    <row r="16" spans="1:7">
      <c r="A16" s="4" t="s">
        <v>355</v>
      </c>
      <c r="B16" s="3" t="s">
        <v>332</v>
      </c>
      <c r="C16" s="3" t="s">
        <v>13</v>
      </c>
      <c r="D16" s="3" t="s">
        <v>304</v>
      </c>
      <c r="E16" s="38">
        <v>32200000</v>
      </c>
      <c r="F16" s="5">
        <v>44540</v>
      </c>
      <c r="G16" s="39"/>
    </row>
    <row r="17" spans="1:7">
      <c r="A17" s="4" t="s">
        <v>17</v>
      </c>
      <c r="B17" s="3" t="s">
        <v>9</v>
      </c>
      <c r="C17" s="3" t="s">
        <v>11</v>
      </c>
      <c r="D17" s="3" t="s">
        <v>356</v>
      </c>
      <c r="E17" s="38">
        <v>45200000</v>
      </c>
      <c r="F17" s="5">
        <v>40885</v>
      </c>
      <c r="G17" s="39"/>
    </row>
    <row r="18" spans="1:7">
      <c r="A18" s="4" t="s">
        <v>357</v>
      </c>
      <c r="B18" s="3" t="s">
        <v>9</v>
      </c>
      <c r="C18" s="3" t="s">
        <v>10</v>
      </c>
      <c r="D18" s="3" t="s">
        <v>307</v>
      </c>
      <c r="E18" s="38">
        <v>33300000</v>
      </c>
      <c r="F18" s="5">
        <v>44164</v>
      </c>
      <c r="G18" s="39"/>
    </row>
    <row r="19" spans="1:7">
      <c r="A19" s="4" t="s">
        <v>358</v>
      </c>
      <c r="B19" s="3" t="s">
        <v>359</v>
      </c>
      <c r="C19" s="3" t="s">
        <v>10</v>
      </c>
      <c r="D19" s="3" t="s">
        <v>309</v>
      </c>
      <c r="E19" s="38">
        <v>29200000</v>
      </c>
      <c r="F19" s="5">
        <v>44899</v>
      </c>
      <c r="G19" s="39"/>
    </row>
    <row r="20" spans="1:7">
      <c r="A20" s="4" t="s">
        <v>310</v>
      </c>
      <c r="B20" s="3" t="s">
        <v>335</v>
      </c>
      <c r="C20" s="3" t="s">
        <v>10</v>
      </c>
      <c r="D20" s="3" t="s">
        <v>312</v>
      </c>
      <c r="E20" s="38">
        <v>29500000</v>
      </c>
      <c r="F20" s="5">
        <v>44535</v>
      </c>
      <c r="G20" s="39"/>
    </row>
    <row r="21" spans="1:7">
      <c r="A21" s="4" t="s">
        <v>360</v>
      </c>
      <c r="B21" s="3" t="s">
        <v>340</v>
      </c>
      <c r="C21" s="3" t="s">
        <v>13</v>
      </c>
      <c r="D21" s="3" t="s">
        <v>361</v>
      </c>
      <c r="E21" s="38">
        <v>31600000</v>
      </c>
      <c r="F21" s="5">
        <v>43425</v>
      </c>
      <c r="G21" s="39"/>
    </row>
    <row r="22" spans="1:7">
      <c r="A22" s="4" t="s">
        <v>19</v>
      </c>
      <c r="B22" s="3" t="s">
        <v>332</v>
      </c>
      <c r="C22" s="3" t="s">
        <v>8</v>
      </c>
      <c r="D22" s="3" t="s">
        <v>317</v>
      </c>
      <c r="E22" s="38">
        <v>40200000</v>
      </c>
      <c r="F22" s="5">
        <v>41613</v>
      </c>
      <c r="G22" s="39"/>
    </row>
    <row r="23" spans="1:7">
      <c r="A23" s="4" t="s">
        <v>362</v>
      </c>
      <c r="B23" s="3" t="s">
        <v>335</v>
      </c>
      <c r="C23" s="3" t="s">
        <v>13</v>
      </c>
      <c r="D23" s="3" t="s">
        <v>363</v>
      </c>
      <c r="E23" s="38">
        <v>33000000</v>
      </c>
      <c r="F23" s="5">
        <v>43795</v>
      </c>
      <c r="G23" s="39"/>
    </row>
    <row r="24" spans="1:7">
      <c r="A24" s="4" t="s">
        <v>20</v>
      </c>
      <c r="B24" s="3" t="s">
        <v>359</v>
      </c>
      <c r="C24" s="3" t="s">
        <v>13</v>
      </c>
      <c r="D24" s="3" t="s">
        <v>364</v>
      </c>
      <c r="E24" s="38">
        <v>33300000</v>
      </c>
      <c r="F24" s="5">
        <v>43441</v>
      </c>
      <c r="G24" s="39"/>
    </row>
    <row r="25" spans="1:7">
      <c r="A25" s="4" t="s">
        <v>21</v>
      </c>
      <c r="B25" s="3" t="s">
        <v>340</v>
      </c>
      <c r="C25" s="3" t="s">
        <v>10</v>
      </c>
      <c r="D25" s="3" t="s">
        <v>365</v>
      </c>
      <c r="E25" s="38">
        <v>31000000</v>
      </c>
      <c r="F25" s="5">
        <v>44892</v>
      </c>
      <c r="G25" s="39"/>
    </row>
    <row r="26" spans="1:7">
      <c r="A26" s="4" t="s">
        <v>366</v>
      </c>
      <c r="B26" s="3" t="s">
        <v>18</v>
      </c>
      <c r="C26" s="3" t="s">
        <v>11</v>
      </c>
      <c r="D26" s="3" t="s">
        <v>367</v>
      </c>
      <c r="E26" s="38">
        <v>35100000</v>
      </c>
      <c r="F26" s="5">
        <v>38695</v>
      </c>
      <c r="G26" s="39"/>
    </row>
    <row r="27" spans="1:7">
      <c r="A27" s="4" t="s">
        <v>368</v>
      </c>
      <c r="B27" s="3" t="s">
        <v>340</v>
      </c>
      <c r="C27" s="3" t="s">
        <v>8</v>
      </c>
      <c r="D27" s="3" t="s">
        <v>369</v>
      </c>
      <c r="E27" s="38">
        <v>37600000</v>
      </c>
      <c r="F27" s="5">
        <v>43432</v>
      </c>
      <c r="G27" s="39"/>
    </row>
    <row r="28" spans="1:7">
      <c r="A28" s="4" t="s">
        <v>370</v>
      </c>
      <c r="B28" s="3" t="s">
        <v>359</v>
      </c>
      <c r="C28" s="3" t="s">
        <v>10</v>
      </c>
      <c r="D28" s="3" t="s">
        <v>371</v>
      </c>
      <c r="E28" s="38">
        <v>28600000</v>
      </c>
      <c r="F28" s="5">
        <v>43785</v>
      </c>
      <c r="G28" s="39"/>
    </row>
    <row r="30" spans="1:7">
      <c r="A30" s="35" t="s">
        <v>219</v>
      </c>
    </row>
    <row r="31" spans="1:7">
      <c r="A31" t="b">
        <f>AND(C4="과장",E4&gt;=35000000,E4&lt;=40000000)</f>
        <v>1</v>
      </c>
    </row>
    <row r="35" spans="1:3">
      <c r="A35" s="3" t="s">
        <v>1</v>
      </c>
      <c r="B35" s="3" t="s">
        <v>5</v>
      </c>
      <c r="C35" s="3" t="s">
        <v>6</v>
      </c>
    </row>
    <row r="36" spans="1:3">
      <c r="A36" s="4" t="s">
        <v>331</v>
      </c>
      <c r="B36" s="38">
        <v>38900000</v>
      </c>
      <c r="C36" s="5">
        <v>41242</v>
      </c>
    </row>
    <row r="37" spans="1:3">
      <c r="A37" s="4" t="s">
        <v>345</v>
      </c>
      <c r="B37" s="38">
        <v>37900000</v>
      </c>
      <c r="C37" s="5">
        <v>42345</v>
      </c>
    </row>
    <row r="38" spans="1:3">
      <c r="A38" s="4" t="s">
        <v>351</v>
      </c>
      <c r="B38" s="38">
        <v>37500000</v>
      </c>
      <c r="C38" s="5">
        <v>41616</v>
      </c>
    </row>
    <row r="39" spans="1:3">
      <c r="A39" s="4" t="s">
        <v>353</v>
      </c>
      <c r="B39" s="38">
        <v>39800000</v>
      </c>
      <c r="C39" s="5">
        <v>41949</v>
      </c>
    </row>
    <row r="40" spans="1:3">
      <c r="A40" s="4" t="s">
        <v>368</v>
      </c>
      <c r="B40" s="38">
        <v>37600000</v>
      </c>
      <c r="C40" s="5">
        <v>43432</v>
      </c>
    </row>
  </sheetData>
  <phoneticPr fontId="2" type="noConversion"/>
  <conditionalFormatting sqref="A4:F28 A30">
    <cfRule type="expression" dxfId="1" priority="1">
      <formula>AND($B4="기획팀",YEAR(TODAY())-YEAR($F4)&gt;3)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8"/>
  <sheetViews>
    <sheetView workbookViewId="0"/>
  </sheetViews>
  <sheetFormatPr defaultRowHeight="17"/>
  <cols>
    <col min="1" max="3" width="12.5" customWidth="1"/>
    <col min="4" max="4" width="16.75" customWidth="1"/>
    <col min="5" max="6" width="13.75" customWidth="1"/>
  </cols>
  <sheetData>
    <row r="1" spans="1:6">
      <c r="A1" s="1"/>
      <c r="B1" s="1"/>
      <c r="C1" s="1"/>
      <c r="D1" s="1"/>
      <c r="E1" s="1"/>
      <c r="F1" s="1"/>
    </row>
    <row r="2" spans="1:6">
      <c r="A2" s="2" t="s">
        <v>0</v>
      </c>
      <c r="B2" s="1"/>
      <c r="C2" s="1"/>
      <c r="D2" s="1"/>
      <c r="E2" s="1"/>
      <c r="F2" s="1"/>
    </row>
    <row r="3" spans="1:6">
      <c r="A3" s="3" t="s">
        <v>273</v>
      </c>
      <c r="B3" s="3" t="s">
        <v>2</v>
      </c>
      <c r="C3" s="3" t="s">
        <v>3</v>
      </c>
      <c r="D3" s="3" t="s">
        <v>274</v>
      </c>
      <c r="E3" s="3" t="s">
        <v>275</v>
      </c>
      <c r="F3" s="3" t="s">
        <v>276</v>
      </c>
    </row>
    <row r="4" spans="1:6">
      <c r="A4" s="4" t="s">
        <v>7</v>
      </c>
      <c r="B4" s="3" t="s">
        <v>277</v>
      </c>
      <c r="C4" s="3" t="s">
        <v>8</v>
      </c>
      <c r="D4" s="3" t="s">
        <v>278</v>
      </c>
      <c r="E4" s="38">
        <v>38900000</v>
      </c>
      <c r="F4" s="5">
        <v>41242</v>
      </c>
    </row>
    <row r="5" spans="1:6">
      <c r="A5" s="4" t="s">
        <v>279</v>
      </c>
      <c r="B5" s="3" t="s">
        <v>280</v>
      </c>
      <c r="C5" s="3" t="s">
        <v>10</v>
      </c>
      <c r="D5" s="3" t="s">
        <v>281</v>
      </c>
      <c r="E5" s="38">
        <v>29100000</v>
      </c>
      <c r="F5" s="5">
        <v>44544</v>
      </c>
    </row>
    <row r="6" spans="1:6">
      <c r="A6" s="4" t="s">
        <v>282</v>
      </c>
      <c r="B6" s="3" t="s">
        <v>277</v>
      </c>
      <c r="C6" s="3" t="s">
        <v>11</v>
      </c>
      <c r="D6" s="3" t="s">
        <v>283</v>
      </c>
      <c r="E6" s="38">
        <v>47000000</v>
      </c>
      <c r="F6" s="5">
        <v>37942</v>
      </c>
    </row>
    <row r="7" spans="1:6">
      <c r="A7" s="4" t="s">
        <v>284</v>
      </c>
      <c r="B7" s="3" t="s">
        <v>12</v>
      </c>
      <c r="C7" s="3" t="s">
        <v>11</v>
      </c>
      <c r="D7" s="3" t="s">
        <v>285</v>
      </c>
      <c r="E7" s="38">
        <v>47900000</v>
      </c>
      <c r="F7" s="5">
        <v>36873</v>
      </c>
    </row>
    <row r="8" spans="1:6">
      <c r="A8" s="4" t="s">
        <v>286</v>
      </c>
      <c r="B8" s="3" t="s">
        <v>12</v>
      </c>
      <c r="C8" s="3" t="s">
        <v>13</v>
      </c>
      <c r="D8" s="3" t="s">
        <v>287</v>
      </c>
      <c r="E8" s="38">
        <v>31200000</v>
      </c>
      <c r="F8" s="5">
        <v>43802</v>
      </c>
    </row>
    <row r="9" spans="1:6">
      <c r="A9" s="4" t="s">
        <v>288</v>
      </c>
      <c r="B9" s="3" t="s">
        <v>289</v>
      </c>
      <c r="C9" s="3" t="s">
        <v>10</v>
      </c>
      <c r="D9" s="3" t="s">
        <v>290</v>
      </c>
      <c r="E9" s="38">
        <v>30000000</v>
      </c>
      <c r="F9" s="5">
        <v>44171</v>
      </c>
    </row>
    <row r="10" spans="1:6">
      <c r="A10" s="4" t="s">
        <v>291</v>
      </c>
      <c r="B10" s="3" t="s">
        <v>277</v>
      </c>
      <c r="C10" s="3" t="s">
        <v>8</v>
      </c>
      <c r="D10" s="3" t="s">
        <v>292</v>
      </c>
      <c r="E10" s="38">
        <v>37900000</v>
      </c>
      <c r="F10" s="5">
        <v>42345</v>
      </c>
    </row>
    <row r="11" spans="1:6">
      <c r="A11" s="4" t="s">
        <v>293</v>
      </c>
      <c r="B11" s="3" t="s">
        <v>277</v>
      </c>
      <c r="C11" s="3" t="s">
        <v>13</v>
      </c>
      <c r="D11" s="3" t="s">
        <v>294</v>
      </c>
      <c r="E11" s="38">
        <v>31800000</v>
      </c>
      <c r="F11" s="5">
        <v>44535</v>
      </c>
    </row>
    <row r="12" spans="1:6">
      <c r="A12" s="4" t="s">
        <v>295</v>
      </c>
      <c r="B12" s="3" t="s">
        <v>296</v>
      </c>
      <c r="C12" s="3" t="s">
        <v>10</v>
      </c>
      <c r="D12" s="3" t="s">
        <v>297</v>
      </c>
      <c r="E12" s="38">
        <v>28300000</v>
      </c>
      <c r="F12" s="5">
        <v>44906</v>
      </c>
    </row>
    <row r="13" spans="1:6">
      <c r="A13" s="4" t="s">
        <v>298</v>
      </c>
      <c r="B13" s="3" t="s">
        <v>12</v>
      </c>
      <c r="C13" s="3" t="s">
        <v>13</v>
      </c>
      <c r="D13" s="3" t="s">
        <v>299</v>
      </c>
      <c r="E13" s="38">
        <v>35200000</v>
      </c>
      <c r="F13" s="5">
        <v>43431</v>
      </c>
    </row>
    <row r="14" spans="1:6">
      <c r="A14" s="4" t="s">
        <v>300</v>
      </c>
      <c r="B14" s="3" t="s">
        <v>277</v>
      </c>
      <c r="C14" s="3" t="s">
        <v>8</v>
      </c>
      <c r="D14" s="3" t="s">
        <v>301</v>
      </c>
      <c r="E14" s="38">
        <v>37500000</v>
      </c>
      <c r="F14" s="5">
        <v>41616</v>
      </c>
    </row>
    <row r="15" spans="1:6">
      <c r="A15" s="4" t="s">
        <v>302</v>
      </c>
      <c r="B15" s="3" t="s">
        <v>289</v>
      </c>
      <c r="C15" s="3" t="s">
        <v>8</v>
      </c>
      <c r="D15" s="3" t="s">
        <v>303</v>
      </c>
      <c r="E15" s="38">
        <v>39800000</v>
      </c>
      <c r="F15" s="5">
        <v>41949</v>
      </c>
    </row>
    <row r="16" spans="1:6">
      <c r="A16" s="4" t="s">
        <v>16</v>
      </c>
      <c r="B16" s="3" t="s">
        <v>277</v>
      </c>
      <c r="C16" s="3" t="s">
        <v>13</v>
      </c>
      <c r="D16" s="3" t="s">
        <v>304</v>
      </c>
      <c r="E16" s="38">
        <v>32200000</v>
      </c>
      <c r="F16" s="5">
        <v>44540</v>
      </c>
    </row>
    <row r="17" spans="1:6">
      <c r="A17" s="4" t="s">
        <v>17</v>
      </c>
      <c r="B17" s="3" t="s">
        <v>9</v>
      </c>
      <c r="C17" s="3" t="s">
        <v>11</v>
      </c>
      <c r="D17" s="3" t="s">
        <v>305</v>
      </c>
      <c r="E17" s="38">
        <v>45200000</v>
      </c>
      <c r="F17" s="5">
        <v>40885</v>
      </c>
    </row>
    <row r="18" spans="1:6">
      <c r="A18" s="4" t="s">
        <v>306</v>
      </c>
      <c r="B18" s="3" t="s">
        <v>280</v>
      </c>
      <c r="C18" s="3" t="s">
        <v>10</v>
      </c>
      <c r="D18" s="3" t="s">
        <v>307</v>
      </c>
      <c r="E18" s="38">
        <v>33300000</v>
      </c>
      <c r="F18" s="5">
        <v>44164</v>
      </c>
    </row>
    <row r="19" spans="1:6">
      <c r="A19" s="4" t="s">
        <v>308</v>
      </c>
      <c r="B19" s="3" t="s">
        <v>18</v>
      </c>
      <c r="C19" s="3" t="s">
        <v>10</v>
      </c>
      <c r="D19" s="3" t="s">
        <v>309</v>
      </c>
      <c r="E19" s="38">
        <v>29200000</v>
      </c>
      <c r="F19" s="5">
        <v>44899</v>
      </c>
    </row>
    <row r="20" spans="1:6">
      <c r="A20" s="4" t="s">
        <v>311</v>
      </c>
      <c r="B20" s="3" t="s">
        <v>280</v>
      </c>
      <c r="C20" s="3" t="s">
        <v>10</v>
      </c>
      <c r="D20" s="3" t="s">
        <v>313</v>
      </c>
      <c r="E20" s="38">
        <v>29500000</v>
      </c>
      <c r="F20" s="5">
        <v>44535</v>
      </c>
    </row>
    <row r="21" spans="1:6">
      <c r="A21" s="4" t="s">
        <v>314</v>
      </c>
      <c r="B21" s="3" t="s">
        <v>296</v>
      </c>
      <c r="C21" s="3" t="s">
        <v>13</v>
      </c>
      <c r="D21" s="3" t="s">
        <v>315</v>
      </c>
      <c r="E21" s="38">
        <v>31600000</v>
      </c>
      <c r="F21" s="5">
        <v>43425</v>
      </c>
    </row>
    <row r="22" spans="1:6">
      <c r="A22" s="4" t="s">
        <v>316</v>
      </c>
      <c r="B22" s="3" t="s">
        <v>289</v>
      </c>
      <c r="C22" s="3" t="s">
        <v>8</v>
      </c>
      <c r="D22" s="3" t="s">
        <v>317</v>
      </c>
      <c r="E22" s="38">
        <v>40200000</v>
      </c>
      <c r="F22" s="5">
        <v>41613</v>
      </c>
    </row>
    <row r="23" spans="1:6">
      <c r="A23" s="4" t="s">
        <v>318</v>
      </c>
      <c r="B23" s="3" t="s">
        <v>9</v>
      </c>
      <c r="C23" s="3" t="s">
        <v>13</v>
      </c>
      <c r="D23" s="3" t="s">
        <v>319</v>
      </c>
      <c r="E23" s="38">
        <v>33000000</v>
      </c>
      <c r="F23" s="5">
        <v>43795</v>
      </c>
    </row>
    <row r="24" spans="1:6">
      <c r="A24" s="4" t="s">
        <v>20</v>
      </c>
      <c r="B24" s="3" t="s">
        <v>320</v>
      </c>
      <c r="C24" s="3" t="s">
        <v>13</v>
      </c>
      <c r="D24" s="3" t="s">
        <v>321</v>
      </c>
      <c r="E24" s="38">
        <v>33300000</v>
      </c>
      <c r="F24" s="5">
        <v>43441</v>
      </c>
    </row>
    <row r="25" spans="1:6">
      <c r="A25" s="4" t="s">
        <v>21</v>
      </c>
      <c r="B25" s="3" t="s">
        <v>12</v>
      </c>
      <c r="C25" s="3" t="s">
        <v>10</v>
      </c>
      <c r="D25" s="3" t="s">
        <v>322</v>
      </c>
      <c r="E25" s="38">
        <v>31000000</v>
      </c>
      <c r="F25" s="5">
        <v>44892</v>
      </c>
    </row>
    <row r="26" spans="1:6">
      <c r="A26" s="4" t="s">
        <v>22</v>
      </c>
      <c r="B26" s="3" t="s">
        <v>18</v>
      </c>
      <c r="C26" s="3" t="s">
        <v>11</v>
      </c>
      <c r="D26" s="3" t="s">
        <v>323</v>
      </c>
      <c r="E26" s="38">
        <v>35100000</v>
      </c>
      <c r="F26" s="5">
        <v>38695</v>
      </c>
    </row>
    <row r="27" spans="1:6">
      <c r="A27" s="4" t="s">
        <v>324</v>
      </c>
      <c r="B27" s="3" t="s">
        <v>12</v>
      </c>
      <c r="C27" s="3" t="s">
        <v>8</v>
      </c>
      <c r="D27" s="3" t="s">
        <v>325</v>
      </c>
      <c r="E27" s="38">
        <v>37600000</v>
      </c>
      <c r="F27" s="5">
        <v>43432</v>
      </c>
    </row>
    <row r="28" spans="1:6">
      <c r="A28" s="4" t="s">
        <v>23</v>
      </c>
      <c r="B28" s="3" t="s">
        <v>320</v>
      </c>
      <c r="C28" s="3" t="s">
        <v>10</v>
      </c>
      <c r="D28" s="3" t="s">
        <v>326</v>
      </c>
      <c r="E28" s="38">
        <v>28600000</v>
      </c>
      <c r="F28" s="5">
        <v>43785</v>
      </c>
    </row>
  </sheetData>
  <phoneticPr fontId="2" type="noConversion"/>
  <printOptions horizontalCentered="1"/>
  <pageMargins left="0.25196850393700793" right="0.25196850393700793" top="0.75196850393700787" bottom="0.75196850393700787" header="0.29921259842519687" footer="0.29921259842519687"/>
  <pageSetup paperSize="9" orientation="portrait" r:id="rId1"/>
  <headerFooter>
    <oddFooter>&amp;R출력일 :  &amp;D, 출력시간 :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4"/>
  <sheetViews>
    <sheetView workbookViewId="0"/>
  </sheetViews>
  <sheetFormatPr defaultRowHeight="17"/>
  <cols>
    <col min="1" max="1" width="18.08203125" customWidth="1"/>
    <col min="4" max="4" width="13.5" customWidth="1"/>
    <col min="8" max="10" width="15.25" customWidth="1"/>
  </cols>
  <sheetData>
    <row r="1" spans="1:11">
      <c r="A1" s="2" t="s">
        <v>24</v>
      </c>
      <c r="B1" s="2"/>
      <c r="C1" s="1"/>
      <c r="D1" s="1"/>
      <c r="E1" s="1"/>
      <c r="F1" s="1"/>
      <c r="G1" s="1"/>
      <c r="H1" s="2" t="s">
        <v>25</v>
      </c>
      <c r="I1" s="2"/>
      <c r="J1" s="6"/>
      <c r="K1" s="1"/>
    </row>
    <row r="2" spans="1:11" ht="34">
      <c r="A2" s="7" t="s">
        <v>26</v>
      </c>
      <c r="B2" s="21" t="s">
        <v>27</v>
      </c>
      <c r="C2" s="21" t="s">
        <v>28</v>
      </c>
      <c r="D2" s="21" t="s">
        <v>29</v>
      </c>
      <c r="E2" s="21" t="s">
        <v>30</v>
      </c>
      <c r="F2" s="1"/>
      <c r="G2" s="1"/>
      <c r="H2" s="20" t="s">
        <v>31</v>
      </c>
      <c r="I2" s="20" t="s">
        <v>32</v>
      </c>
      <c r="J2" s="20" t="s">
        <v>33</v>
      </c>
      <c r="K2" s="8"/>
    </row>
    <row r="3" spans="1:11">
      <c r="A3" s="22">
        <v>1</v>
      </c>
      <c r="B3" s="9">
        <f t="array" ref="B3">LARGE(IF($C$10:$C$30=B$2,$E$10:$E$30),$A3)</f>
        <v>4130</v>
      </c>
      <c r="C3" s="9">
        <f t="array" ref="C3">LARGE(IF($C$10:$C$30=C$2,$E$10:$E$30),$A3)</f>
        <v>3150</v>
      </c>
      <c r="D3" s="9">
        <f t="array" ref="D3">LARGE(IF($C$10:$C$30=D$2,$E$10:$E$30),$A3)</f>
        <v>3420</v>
      </c>
      <c r="E3" s="9">
        <f t="array" ref="E3">LARGE(IF($C$10:$C$30=E$2,$E$10:$E$30),$A3)</f>
        <v>4530</v>
      </c>
      <c r="F3" s="1"/>
      <c r="G3" s="1"/>
      <c r="H3" s="10" t="s">
        <v>34</v>
      </c>
      <c r="I3" s="10" t="s">
        <v>35</v>
      </c>
      <c r="J3" s="11">
        <v>1000</v>
      </c>
      <c r="K3" s="8"/>
    </row>
    <row r="4" spans="1:11">
      <c r="A4" s="22">
        <v>2</v>
      </c>
      <c r="B4" s="9">
        <f t="array" ref="B4">LARGE(IF($C$10:$C$30=B$2,$E$10:$E$30),$A4)</f>
        <v>3420</v>
      </c>
      <c r="C4" s="9">
        <f t="array" ref="C4">LARGE(IF($C$10:$C$30=C$2,$E$10:$E$30),$A4)</f>
        <v>2400</v>
      </c>
      <c r="D4" s="9">
        <f t="array" ref="D4">LARGE(IF($C$10:$C$30=D$2,$E$10:$E$30),$A4)</f>
        <v>3280</v>
      </c>
      <c r="E4" s="9">
        <f t="array" ref="E4">LARGE(IF($C$10:$C$30=E$2,$E$10:$E$30),$A4)</f>
        <v>1550</v>
      </c>
      <c r="F4" s="1"/>
      <c r="G4" s="1"/>
      <c r="H4" s="10" t="s">
        <v>36</v>
      </c>
      <c r="I4" s="10" t="s">
        <v>37</v>
      </c>
      <c r="J4" s="11">
        <v>1100</v>
      </c>
      <c r="K4" s="8"/>
    </row>
    <row r="5" spans="1:11">
      <c r="A5" s="22">
        <v>3</v>
      </c>
      <c r="B5" s="9">
        <f t="array" ref="B5">LARGE(IF($C$10:$C$30=B$2,$E$10:$E$30),$A5)</f>
        <v>3230</v>
      </c>
      <c r="C5" s="9">
        <f t="array" ref="C5">LARGE(IF($C$10:$C$30=C$2,$E$10:$E$30),$A5)</f>
        <v>1330</v>
      </c>
      <c r="D5" s="9">
        <f t="array" ref="D5">LARGE(IF($C$10:$C$30=D$2,$E$10:$E$30),$A5)</f>
        <v>2200</v>
      </c>
      <c r="E5" s="9">
        <f t="array" ref="E5">LARGE(IF($C$10:$C$30=E$2,$E$10:$E$30),$A5)</f>
        <v>1210</v>
      </c>
      <c r="F5" s="1"/>
      <c r="G5" s="1"/>
      <c r="H5" s="10" t="s">
        <v>38</v>
      </c>
      <c r="I5" s="10" t="s">
        <v>39</v>
      </c>
      <c r="J5" s="11">
        <v>1500</v>
      </c>
      <c r="K5" s="1"/>
    </row>
    <row r="6" spans="1:11">
      <c r="A6" s="1"/>
      <c r="B6" s="1"/>
      <c r="C6" s="1"/>
      <c r="D6" s="1"/>
      <c r="E6" s="1"/>
      <c r="F6" s="1"/>
      <c r="G6" s="1"/>
      <c r="H6" s="10" t="s">
        <v>34</v>
      </c>
      <c r="I6" s="10" t="s">
        <v>40</v>
      </c>
      <c r="J6" s="11">
        <v>500</v>
      </c>
      <c r="K6" s="1"/>
    </row>
    <row r="7" spans="1:11">
      <c r="A7" s="1"/>
      <c r="B7" s="1"/>
      <c r="C7" s="1"/>
      <c r="D7" s="1"/>
      <c r="E7" s="1"/>
      <c r="F7" s="1"/>
      <c r="G7" s="1"/>
      <c r="H7" s="10" t="s">
        <v>38</v>
      </c>
      <c r="I7" s="10" t="s">
        <v>41</v>
      </c>
      <c r="J7" s="11">
        <v>1400</v>
      </c>
      <c r="K7" s="1"/>
    </row>
    <row r="8" spans="1:11">
      <c r="A8" s="2" t="s">
        <v>42</v>
      </c>
      <c r="B8" s="2"/>
      <c r="C8" s="1"/>
      <c r="D8" s="1"/>
      <c r="E8" s="1"/>
      <c r="F8" s="1"/>
      <c r="G8" s="1"/>
      <c r="H8" s="10" t="s">
        <v>36</v>
      </c>
      <c r="I8" s="10" t="s">
        <v>43</v>
      </c>
      <c r="J8" s="11">
        <v>800</v>
      </c>
      <c r="K8" s="1"/>
    </row>
    <row r="9" spans="1:11">
      <c r="A9" s="12" t="s">
        <v>221</v>
      </c>
      <c r="B9" s="12" t="s">
        <v>222</v>
      </c>
      <c r="C9" s="12" t="s">
        <v>223</v>
      </c>
      <c r="D9" s="12" t="s">
        <v>224</v>
      </c>
      <c r="E9" s="12" t="s">
        <v>225</v>
      </c>
      <c r="F9" s="1"/>
      <c r="G9" s="1"/>
      <c r="H9" s="10" t="s">
        <v>44</v>
      </c>
      <c r="I9" s="10" t="s">
        <v>45</v>
      </c>
      <c r="J9" s="11">
        <v>500</v>
      </c>
      <c r="K9" s="1"/>
    </row>
    <row r="10" spans="1:11">
      <c r="A10" s="13" t="s">
        <v>226</v>
      </c>
      <c r="B10" s="13" t="s">
        <v>227</v>
      </c>
      <c r="C10" s="13" t="s">
        <v>52</v>
      </c>
      <c r="D10" s="14">
        <v>43225</v>
      </c>
      <c r="E10" s="13">
        <v>1350</v>
      </c>
      <c r="F10" s="1"/>
      <c r="G10" s="1"/>
      <c r="H10" s="10" t="s">
        <v>46</v>
      </c>
      <c r="I10" s="10" t="s">
        <v>47</v>
      </c>
      <c r="J10" s="11">
        <v>900</v>
      </c>
      <c r="K10" s="1"/>
    </row>
    <row r="11" spans="1:11">
      <c r="A11" s="13" t="s">
        <v>228</v>
      </c>
      <c r="B11" s="13" t="s">
        <v>229</v>
      </c>
      <c r="C11" s="13" t="s">
        <v>230</v>
      </c>
      <c r="D11" s="14">
        <v>44145</v>
      </c>
      <c r="E11" s="13">
        <v>2400</v>
      </c>
      <c r="F11" s="1"/>
      <c r="G11" s="1"/>
      <c r="H11" s="10" t="s">
        <v>48</v>
      </c>
      <c r="I11" s="10" t="s">
        <v>49</v>
      </c>
      <c r="J11" s="11">
        <v>2500</v>
      </c>
      <c r="K11" s="1"/>
    </row>
    <row r="12" spans="1:11">
      <c r="A12" s="13" t="s">
        <v>231</v>
      </c>
      <c r="B12" s="13" t="s">
        <v>50</v>
      </c>
      <c r="C12" s="13" t="s">
        <v>232</v>
      </c>
      <c r="D12" s="14">
        <v>39762</v>
      </c>
      <c r="E12" s="13">
        <v>1250</v>
      </c>
      <c r="F12" s="1"/>
      <c r="G12" s="1"/>
      <c r="H12" s="10" t="s">
        <v>48</v>
      </c>
      <c r="I12" s="10" t="s">
        <v>51</v>
      </c>
      <c r="J12" s="11">
        <v>4000</v>
      </c>
      <c r="K12" s="1"/>
    </row>
    <row r="13" spans="1:11">
      <c r="A13" s="13" t="s">
        <v>233</v>
      </c>
      <c r="B13" s="13" t="s">
        <v>234</v>
      </c>
      <c r="C13" s="13" t="s">
        <v>236</v>
      </c>
      <c r="D13" s="14">
        <v>43266</v>
      </c>
      <c r="E13" s="13">
        <v>2200</v>
      </c>
      <c r="F13" s="1"/>
      <c r="G13" s="1"/>
      <c r="H13" s="1"/>
      <c r="I13" s="1"/>
      <c r="J13" s="1"/>
      <c r="K13" s="1"/>
    </row>
    <row r="14" spans="1:11">
      <c r="A14" s="13" t="s">
        <v>237</v>
      </c>
      <c r="B14" s="13" t="s">
        <v>238</v>
      </c>
      <c r="C14" s="13" t="s">
        <v>239</v>
      </c>
      <c r="D14" s="14">
        <v>40945</v>
      </c>
      <c r="E14" s="13">
        <v>3105</v>
      </c>
      <c r="F14" s="1"/>
      <c r="G14" s="15"/>
      <c r="H14" s="1"/>
      <c r="I14" s="1"/>
      <c r="J14" s="1"/>
      <c r="K14" s="1"/>
    </row>
    <row r="15" spans="1:11">
      <c r="A15" s="13" t="s">
        <v>240</v>
      </c>
      <c r="B15" s="13" t="s">
        <v>53</v>
      </c>
      <c r="C15" s="13" t="s">
        <v>52</v>
      </c>
      <c r="D15" s="14">
        <v>39860</v>
      </c>
      <c r="E15" s="13">
        <v>1500</v>
      </c>
      <c r="F15" s="16"/>
      <c r="G15" s="17"/>
      <c r="H15" s="2" t="s">
        <v>54</v>
      </c>
      <c r="I15" s="1"/>
      <c r="J15" s="1"/>
      <c r="K15" s="1"/>
    </row>
    <row r="16" spans="1:11">
      <c r="A16" s="13" t="s">
        <v>241</v>
      </c>
      <c r="B16" s="13" t="s">
        <v>55</v>
      </c>
      <c r="C16" s="13" t="s">
        <v>242</v>
      </c>
      <c r="D16" s="14">
        <v>44665</v>
      </c>
      <c r="E16" s="13">
        <v>3150</v>
      </c>
      <c r="F16" s="16"/>
      <c r="G16" s="17"/>
      <c r="H16" s="18" t="s">
        <v>56</v>
      </c>
      <c r="I16" s="18" t="s">
        <v>57</v>
      </c>
      <c r="J16" s="1"/>
      <c r="K16" s="1"/>
    </row>
    <row r="17" spans="1:11">
      <c r="A17" s="13" t="s">
        <v>243</v>
      </c>
      <c r="B17" s="13" t="s">
        <v>58</v>
      </c>
      <c r="C17" s="13" t="s">
        <v>244</v>
      </c>
      <c r="D17" s="14">
        <v>43585</v>
      </c>
      <c r="E17" s="13">
        <v>1240</v>
      </c>
      <c r="F17" s="16"/>
      <c r="G17" s="17"/>
      <c r="H17" s="10" t="s">
        <v>46</v>
      </c>
      <c r="I17" s="19">
        <f t="array" ref="I17">SUM(($H$3:$H$12=H17)*$J$3:$J$12)</f>
        <v>2400</v>
      </c>
      <c r="J17" s="1"/>
      <c r="K17" s="1"/>
    </row>
    <row r="18" spans="1:11">
      <c r="A18" s="13" t="s">
        <v>245</v>
      </c>
      <c r="B18" s="13" t="s">
        <v>246</v>
      </c>
      <c r="C18" s="13" t="s">
        <v>247</v>
      </c>
      <c r="D18" s="14">
        <v>43810</v>
      </c>
      <c r="E18" s="13">
        <v>3420</v>
      </c>
      <c r="F18" s="16"/>
      <c r="G18" s="17"/>
      <c r="H18" s="10" t="s">
        <v>44</v>
      </c>
      <c r="I18" s="19">
        <f t="array" ref="I18">SUM(($H$3:$H$12=H18)*$J$3:$J$12)</f>
        <v>2400</v>
      </c>
      <c r="J18" s="1"/>
      <c r="K18" s="1"/>
    </row>
    <row r="19" spans="1:11">
      <c r="A19" s="13" t="s">
        <v>248</v>
      </c>
      <c r="B19" s="13" t="s">
        <v>59</v>
      </c>
      <c r="C19" s="13" t="s">
        <v>52</v>
      </c>
      <c r="D19" s="14">
        <v>44560</v>
      </c>
      <c r="E19" s="13">
        <v>2130</v>
      </c>
      <c r="F19" s="16"/>
      <c r="G19" s="17"/>
      <c r="H19" s="10" t="s">
        <v>60</v>
      </c>
      <c r="I19" s="19">
        <f t="array" ref="I19">SUM(($H$3:$H$12=H19)*$J$3:$J$12)</f>
        <v>2900</v>
      </c>
      <c r="J19" s="1"/>
      <c r="K19" s="1"/>
    </row>
    <row r="20" spans="1:11">
      <c r="A20" s="13" t="s">
        <v>249</v>
      </c>
      <c r="B20" s="13" t="s">
        <v>250</v>
      </c>
      <c r="C20" s="13" t="s">
        <v>236</v>
      </c>
      <c r="D20" s="14">
        <v>39872</v>
      </c>
      <c r="E20" s="13">
        <v>1260</v>
      </c>
      <c r="F20" s="16"/>
      <c r="G20" s="17"/>
      <c r="H20" s="10" t="s">
        <v>48</v>
      </c>
      <c r="I20" s="19">
        <f t="array" ref="I20">SUM(($H$3:$H$12=H20)*$J$3:$J$12)</f>
        <v>6500</v>
      </c>
      <c r="J20" s="1"/>
      <c r="K20" s="1"/>
    </row>
    <row r="21" spans="1:11">
      <c r="A21" s="13" t="s">
        <v>61</v>
      </c>
      <c r="B21" s="13" t="s">
        <v>251</v>
      </c>
      <c r="C21" s="13" t="s">
        <v>235</v>
      </c>
      <c r="D21" s="14">
        <v>39814</v>
      </c>
      <c r="E21" s="13">
        <v>3420</v>
      </c>
      <c r="F21" s="16"/>
      <c r="G21" s="17"/>
      <c r="H21" s="1"/>
      <c r="I21" s="1"/>
      <c r="J21" s="1"/>
      <c r="K21" s="1"/>
    </row>
    <row r="22" spans="1:11">
      <c r="A22" s="13" t="s">
        <v>252</v>
      </c>
      <c r="B22" s="13" t="s">
        <v>253</v>
      </c>
      <c r="C22" s="13" t="s">
        <v>247</v>
      </c>
      <c r="D22" s="14">
        <v>40749</v>
      </c>
      <c r="E22" s="13">
        <v>2350</v>
      </c>
      <c r="F22" s="16"/>
      <c r="G22" s="17"/>
      <c r="H22" s="1"/>
      <c r="I22" s="1"/>
      <c r="J22" s="1"/>
      <c r="K22" s="1"/>
    </row>
    <row r="23" spans="1:11">
      <c r="A23" s="13" t="s">
        <v>254</v>
      </c>
      <c r="B23" s="13" t="s">
        <v>255</v>
      </c>
      <c r="C23" s="13" t="s">
        <v>256</v>
      </c>
      <c r="D23" s="14">
        <v>39255</v>
      </c>
      <c r="E23" s="13">
        <v>4530</v>
      </c>
      <c r="F23" s="16"/>
      <c r="G23" s="17"/>
      <c r="H23" s="1"/>
      <c r="I23" s="1"/>
      <c r="J23" s="1"/>
      <c r="K23" s="1"/>
    </row>
    <row r="24" spans="1:11">
      <c r="A24" s="13" t="s">
        <v>257</v>
      </c>
      <c r="B24" s="13" t="s">
        <v>258</v>
      </c>
      <c r="C24" s="13" t="s">
        <v>259</v>
      </c>
      <c r="D24" s="14">
        <v>39615</v>
      </c>
      <c r="E24" s="13">
        <v>1550</v>
      </c>
      <c r="F24" s="16"/>
      <c r="G24" s="17"/>
      <c r="H24" s="1"/>
      <c r="I24" s="1"/>
      <c r="J24" s="1"/>
      <c r="K24" s="1"/>
    </row>
    <row r="25" spans="1:11">
      <c r="A25" s="13" t="s">
        <v>260</v>
      </c>
      <c r="B25" s="13" t="s">
        <v>261</v>
      </c>
      <c r="C25" s="13" t="s">
        <v>262</v>
      </c>
      <c r="D25" s="14">
        <v>39851</v>
      </c>
      <c r="E25" s="13">
        <v>3280</v>
      </c>
      <c r="F25" s="16"/>
      <c r="G25" s="17"/>
      <c r="H25" s="1"/>
      <c r="I25" s="1"/>
      <c r="J25" s="1"/>
      <c r="K25" s="1"/>
    </row>
    <row r="26" spans="1:11">
      <c r="A26" s="13" t="s">
        <v>263</v>
      </c>
      <c r="B26" s="13" t="s">
        <v>264</v>
      </c>
      <c r="C26" s="13" t="s">
        <v>52</v>
      </c>
      <c r="D26" s="14">
        <v>39854</v>
      </c>
      <c r="E26" s="13">
        <v>4130</v>
      </c>
      <c r="F26" s="16"/>
      <c r="G26" s="17"/>
      <c r="H26" s="1"/>
      <c r="I26" s="1"/>
      <c r="J26" s="1"/>
      <c r="K26" s="1"/>
    </row>
    <row r="27" spans="1:11">
      <c r="A27" s="13" t="s">
        <v>265</v>
      </c>
      <c r="B27" s="13" t="s">
        <v>266</v>
      </c>
      <c r="C27" s="13" t="s">
        <v>256</v>
      </c>
      <c r="D27" s="14">
        <v>41358</v>
      </c>
      <c r="E27" s="13">
        <v>1210</v>
      </c>
      <c r="F27" s="16"/>
      <c r="G27" s="17"/>
      <c r="H27" s="1"/>
      <c r="I27" s="1"/>
      <c r="J27" s="1"/>
      <c r="K27" s="1"/>
    </row>
    <row r="28" spans="1:11">
      <c r="A28" s="13" t="s">
        <v>267</v>
      </c>
      <c r="B28" s="13" t="s">
        <v>268</v>
      </c>
      <c r="C28" s="13" t="s">
        <v>269</v>
      </c>
      <c r="D28" s="14">
        <v>41695</v>
      </c>
      <c r="E28" s="13">
        <v>2110</v>
      </c>
      <c r="F28" s="16"/>
      <c r="G28" s="17"/>
      <c r="H28" s="1"/>
      <c r="I28" s="1"/>
      <c r="J28" s="1"/>
      <c r="K28" s="1"/>
    </row>
    <row r="29" spans="1:11">
      <c r="A29" s="13" t="s">
        <v>270</v>
      </c>
      <c r="B29" s="13" t="s">
        <v>62</v>
      </c>
      <c r="C29" s="13" t="s">
        <v>269</v>
      </c>
      <c r="D29" s="14">
        <v>42816</v>
      </c>
      <c r="E29" s="13">
        <v>3230</v>
      </c>
      <c r="F29" s="16"/>
      <c r="G29" s="17"/>
      <c r="H29" s="1"/>
      <c r="I29" s="1"/>
      <c r="J29" s="1"/>
      <c r="K29" s="1"/>
    </row>
    <row r="30" spans="1:11">
      <c r="A30" s="13" t="s">
        <v>271</v>
      </c>
      <c r="B30" s="13" t="s">
        <v>272</v>
      </c>
      <c r="C30" s="13" t="s">
        <v>242</v>
      </c>
      <c r="D30" s="14">
        <v>44550</v>
      </c>
      <c r="E30" s="13">
        <v>1330</v>
      </c>
      <c r="F30" s="16"/>
      <c r="G30" s="17"/>
      <c r="H30" s="1"/>
      <c r="I30" s="1"/>
      <c r="J30" s="1"/>
      <c r="K30" s="1"/>
    </row>
    <row r="31" spans="1:11">
      <c r="A31" s="1"/>
      <c r="B31" s="1"/>
      <c r="C31" s="1"/>
      <c r="D31" s="1"/>
      <c r="E31" s="1"/>
      <c r="F31" s="16"/>
      <c r="G31" s="17"/>
      <c r="H31" s="1"/>
      <c r="I31" s="1"/>
      <c r="J31" s="1"/>
      <c r="K31" s="1"/>
    </row>
    <row r="33" spans="1:2">
      <c r="A33" s="2" t="s">
        <v>210</v>
      </c>
      <c r="B33" s="1"/>
    </row>
    <row r="34" spans="1:2">
      <c r="A34" s="10" t="s">
        <v>211</v>
      </c>
      <c r="B34" s="10" t="str">
        <f>INDEX(A10:E30,MATCH(MAX(E10:E30),E10:E30,0),1)</f>
        <v>시크릿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5"/>
  <sheetViews>
    <sheetView workbookViewId="0"/>
  </sheetViews>
  <sheetFormatPr defaultRowHeight="17"/>
  <cols>
    <col min="1" max="2" width="12.75" customWidth="1"/>
    <col min="3" max="3" width="9.75" customWidth="1"/>
  </cols>
  <sheetData>
    <row r="1" spans="1:15">
      <c r="A1" s="6"/>
      <c r="B1" s="6"/>
      <c r="C1" s="6"/>
      <c r="D1" s="6"/>
      <c r="E1" s="6"/>
      <c r="F1" s="1"/>
      <c r="G1" s="1"/>
      <c r="H1" s="1"/>
      <c r="I1" s="1"/>
      <c r="J1" s="1"/>
      <c r="K1" s="1"/>
      <c r="L1" s="1"/>
      <c r="M1" s="1"/>
      <c r="N1" s="1"/>
      <c r="O1" s="6"/>
    </row>
    <row r="2" spans="1:15">
      <c r="A2" s="2" t="s">
        <v>63</v>
      </c>
      <c r="B2" s="2"/>
      <c r="C2" s="2"/>
      <c r="D2" s="6"/>
      <c r="E2" s="6"/>
      <c r="F2" s="2" t="s">
        <v>64</v>
      </c>
      <c r="G2" s="2"/>
      <c r="H2" s="6"/>
      <c r="I2" s="6"/>
      <c r="J2" s="6"/>
      <c r="K2" s="6"/>
      <c r="L2" s="6"/>
      <c r="M2" s="6"/>
      <c r="N2" s="6"/>
      <c r="O2" s="6"/>
    </row>
    <row r="3" spans="1:15">
      <c r="A3" s="12" t="s">
        <v>65</v>
      </c>
      <c r="B3" s="12" t="s">
        <v>66</v>
      </c>
      <c r="C3" s="12" t="s">
        <v>67</v>
      </c>
      <c r="D3" s="12" t="s">
        <v>68</v>
      </c>
      <c r="E3" s="6"/>
      <c r="F3" s="13" t="s">
        <v>69</v>
      </c>
      <c r="G3" s="13" t="s">
        <v>70</v>
      </c>
      <c r="H3" s="13" t="s">
        <v>71</v>
      </c>
      <c r="I3" s="13" t="s">
        <v>72</v>
      </c>
      <c r="J3" s="21" t="s">
        <v>73</v>
      </c>
      <c r="K3" s="6"/>
      <c r="L3" s="6"/>
      <c r="M3" s="6"/>
      <c r="N3" s="6"/>
      <c r="O3" s="6"/>
    </row>
    <row r="4" spans="1:15">
      <c r="A4" s="23" t="s">
        <v>74</v>
      </c>
      <c r="B4" s="24" t="s">
        <v>75</v>
      </c>
      <c r="C4" s="24">
        <v>19.5</v>
      </c>
      <c r="D4" s="25">
        <v>1800</v>
      </c>
      <c r="E4" s="6"/>
      <c r="F4" s="13" t="s">
        <v>76</v>
      </c>
      <c r="G4" s="13">
        <v>80</v>
      </c>
      <c r="H4" s="13">
        <v>80</v>
      </c>
      <c r="I4" s="13">
        <v>85</v>
      </c>
      <c r="J4" s="13" t="str">
        <f>fn합격(G4,H4,I4)</f>
        <v>합격</v>
      </c>
      <c r="K4" s="6"/>
      <c r="L4" s="6"/>
      <c r="M4" s="6"/>
      <c r="N4" s="6"/>
      <c r="O4" s="6"/>
    </row>
    <row r="5" spans="1:15">
      <c r="A5" s="23" t="s">
        <v>74</v>
      </c>
      <c r="B5" s="24" t="s">
        <v>77</v>
      </c>
      <c r="C5" s="24">
        <v>17.2</v>
      </c>
      <c r="D5" s="25">
        <v>1700</v>
      </c>
      <c r="E5" s="6"/>
      <c r="F5" s="13" t="s">
        <v>78</v>
      </c>
      <c r="G5" s="13">
        <v>75</v>
      </c>
      <c r="H5" s="13">
        <v>90</v>
      </c>
      <c r="I5" s="13">
        <v>78</v>
      </c>
      <c r="J5" s="13" t="str">
        <f t="shared" ref="J5:J11" si="0">fn합격(G5,H5,I5)</f>
        <v>불합격</v>
      </c>
      <c r="K5" s="6"/>
      <c r="L5" s="6"/>
      <c r="M5" s="6"/>
      <c r="N5" s="6"/>
      <c r="O5" s="6"/>
    </row>
    <row r="6" spans="1:15">
      <c r="A6" s="23" t="s">
        <v>74</v>
      </c>
      <c r="B6" s="24" t="s">
        <v>79</v>
      </c>
      <c r="C6" s="24">
        <v>244.8</v>
      </c>
      <c r="D6" s="25">
        <v>11900</v>
      </c>
      <c r="E6" s="6"/>
      <c r="F6" s="13" t="s">
        <v>80</v>
      </c>
      <c r="G6" s="13">
        <v>90</v>
      </c>
      <c r="H6" s="13">
        <v>85</v>
      </c>
      <c r="I6" s="13">
        <v>85</v>
      </c>
      <c r="J6" s="13" t="str">
        <f t="shared" si="0"/>
        <v>합격</v>
      </c>
      <c r="K6" s="6"/>
      <c r="L6" s="6"/>
      <c r="M6" s="6"/>
      <c r="N6" s="6"/>
      <c r="O6" s="6"/>
    </row>
    <row r="7" spans="1:15">
      <c r="A7" s="23" t="s">
        <v>74</v>
      </c>
      <c r="B7" s="24" t="s">
        <v>81</v>
      </c>
      <c r="C7" s="24">
        <v>22.3</v>
      </c>
      <c r="D7" s="25">
        <v>1900</v>
      </c>
      <c r="E7" s="6"/>
      <c r="F7" s="13" t="s">
        <v>82</v>
      </c>
      <c r="G7" s="13">
        <v>80</v>
      </c>
      <c r="H7" s="13">
        <v>75</v>
      </c>
      <c r="I7" s="13">
        <v>90</v>
      </c>
      <c r="J7" s="13" t="str">
        <f t="shared" si="0"/>
        <v>합격</v>
      </c>
      <c r="K7" s="6"/>
      <c r="L7" s="6"/>
      <c r="M7" s="6"/>
      <c r="N7" s="6"/>
      <c r="O7" s="6"/>
    </row>
    <row r="8" spans="1:15">
      <c r="A8" s="23" t="s">
        <v>74</v>
      </c>
      <c r="B8" s="24" t="s">
        <v>83</v>
      </c>
      <c r="C8" s="24">
        <v>31.4</v>
      </c>
      <c r="D8" s="25">
        <v>2400</v>
      </c>
      <c r="E8" s="6"/>
      <c r="F8" s="13" t="s">
        <v>84</v>
      </c>
      <c r="G8" s="13">
        <v>65</v>
      </c>
      <c r="H8" s="13">
        <v>80</v>
      </c>
      <c r="I8" s="13">
        <v>95</v>
      </c>
      <c r="J8" s="13" t="str">
        <f t="shared" si="0"/>
        <v>불합격</v>
      </c>
      <c r="K8" s="6"/>
      <c r="L8" s="6"/>
      <c r="M8" s="6"/>
      <c r="N8" s="6"/>
      <c r="O8" s="6"/>
    </row>
    <row r="9" spans="1:15">
      <c r="A9" s="23" t="s">
        <v>74</v>
      </c>
      <c r="B9" s="24" t="s">
        <v>85</v>
      </c>
      <c r="C9" s="24">
        <v>49.5</v>
      </c>
      <c r="D9" s="25">
        <v>3300</v>
      </c>
      <c r="E9" s="6"/>
      <c r="F9" s="13" t="s">
        <v>86</v>
      </c>
      <c r="G9" s="13">
        <v>75</v>
      </c>
      <c r="H9" s="13">
        <v>85</v>
      </c>
      <c r="I9" s="13">
        <v>95</v>
      </c>
      <c r="J9" s="13" t="str">
        <f t="shared" si="0"/>
        <v>불합격</v>
      </c>
      <c r="K9" s="6"/>
      <c r="L9" s="6"/>
      <c r="M9" s="6"/>
      <c r="N9" s="6"/>
      <c r="O9" s="6"/>
    </row>
    <row r="10" spans="1:15">
      <c r="A10" s="23" t="s">
        <v>74</v>
      </c>
      <c r="B10" s="24" t="s">
        <v>87</v>
      </c>
      <c r="C10" s="24">
        <v>69.400000000000006</v>
      </c>
      <c r="D10" s="25">
        <v>4200</v>
      </c>
      <c r="E10" s="6"/>
      <c r="F10" s="13" t="s">
        <v>88</v>
      </c>
      <c r="G10" s="13">
        <v>90</v>
      </c>
      <c r="H10" s="13">
        <v>85</v>
      </c>
      <c r="I10" s="13">
        <v>90</v>
      </c>
      <c r="J10" s="13" t="str">
        <f t="shared" si="0"/>
        <v>합격</v>
      </c>
      <c r="K10" s="6"/>
      <c r="L10" s="6"/>
      <c r="M10" s="6"/>
      <c r="N10" s="6"/>
      <c r="O10" s="6"/>
    </row>
    <row r="11" spans="1:15">
      <c r="A11" s="23" t="s">
        <v>74</v>
      </c>
      <c r="B11" s="24" t="s">
        <v>89</v>
      </c>
      <c r="C11" s="24">
        <v>157.69999999999999</v>
      </c>
      <c r="D11" s="25">
        <v>8300</v>
      </c>
      <c r="E11" s="6"/>
      <c r="F11" s="13" t="s">
        <v>90</v>
      </c>
      <c r="G11" s="13">
        <v>80</v>
      </c>
      <c r="H11" s="13">
        <v>75</v>
      </c>
      <c r="I11" s="13">
        <v>85</v>
      </c>
      <c r="J11" s="13" t="str">
        <f t="shared" si="0"/>
        <v>합격</v>
      </c>
      <c r="K11" s="6"/>
      <c r="L11" s="6"/>
      <c r="M11" s="6"/>
      <c r="N11" s="6"/>
      <c r="O11" s="6"/>
    </row>
    <row r="12" spans="1:15">
      <c r="A12" s="23" t="s">
        <v>74</v>
      </c>
      <c r="B12" s="24" t="s">
        <v>91</v>
      </c>
      <c r="C12" s="24">
        <v>79.7</v>
      </c>
      <c r="D12" s="25">
        <v>4700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A13" s="23" t="s">
        <v>74</v>
      </c>
      <c r="B13" s="24" t="s">
        <v>92</v>
      </c>
      <c r="C13" s="24">
        <v>104.5</v>
      </c>
      <c r="D13" s="25">
        <v>5900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1:15">
      <c r="A14" s="23" t="s">
        <v>74</v>
      </c>
      <c r="B14" s="24" t="s">
        <v>93</v>
      </c>
      <c r="C14" s="24">
        <v>116.5</v>
      </c>
      <c r="D14" s="25">
        <v>6500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15">
      <c r="A15" s="23" t="s">
        <v>74</v>
      </c>
      <c r="B15" s="24" t="s">
        <v>94</v>
      </c>
      <c r="C15" s="24">
        <v>127.6</v>
      </c>
      <c r="D15" s="25">
        <v>7100</v>
      </c>
      <c r="E15" s="1"/>
      <c r="F15" s="1"/>
      <c r="G15" s="1"/>
      <c r="H15" s="6"/>
      <c r="I15" s="6"/>
      <c r="J15" s="6"/>
      <c r="K15" s="6"/>
      <c r="L15" s="6"/>
      <c r="M15" s="6"/>
      <c r="N15" s="6"/>
      <c r="O15" s="6"/>
    </row>
    <row r="16" spans="1:15">
      <c r="A16" s="23" t="s">
        <v>74</v>
      </c>
      <c r="B16" s="24" t="s">
        <v>95</v>
      </c>
      <c r="C16" s="24">
        <v>152</v>
      </c>
      <c r="D16" s="25">
        <v>8200</v>
      </c>
      <c r="E16" s="1"/>
      <c r="F16" s="1"/>
      <c r="G16" s="1"/>
      <c r="H16" s="6"/>
      <c r="I16" s="6"/>
      <c r="J16" s="6"/>
      <c r="K16" s="6"/>
      <c r="L16" s="6"/>
      <c r="M16" s="6"/>
      <c r="N16" s="6"/>
      <c r="O16" s="6"/>
    </row>
    <row r="17" spans="1:15">
      <c r="A17" s="23" t="s">
        <v>74</v>
      </c>
      <c r="B17" s="24" t="s">
        <v>96</v>
      </c>
      <c r="C17" s="24">
        <v>137.6</v>
      </c>
      <c r="D17" s="25">
        <v>7500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  <row r="18" spans="1:15">
      <c r="A18" s="23" t="s">
        <v>74</v>
      </c>
      <c r="B18" s="24" t="s">
        <v>97</v>
      </c>
      <c r="C18" s="24">
        <v>149.9</v>
      </c>
      <c r="D18" s="25">
        <v>8100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>
      <c r="A19" s="23" t="s">
        <v>74</v>
      </c>
      <c r="B19" s="24" t="s">
        <v>98</v>
      </c>
      <c r="C19" s="24">
        <v>161.30000000000001</v>
      </c>
      <c r="D19" s="25">
        <v>8600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15">
      <c r="A20" s="23" t="s">
        <v>74</v>
      </c>
      <c r="B20" s="24" t="s">
        <v>99</v>
      </c>
      <c r="C20" s="24">
        <v>177.3</v>
      </c>
      <c r="D20" s="25">
        <v>9300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>
      <c r="A21" s="23" t="s">
        <v>74</v>
      </c>
      <c r="B21" s="24" t="s">
        <v>100</v>
      </c>
      <c r="C21" s="24">
        <v>144.6</v>
      </c>
      <c r="D21" s="25">
        <v>7900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>
      <c r="A22" s="23" t="s">
        <v>74</v>
      </c>
      <c r="B22" s="24" t="s">
        <v>101</v>
      </c>
      <c r="C22" s="24">
        <v>189</v>
      </c>
      <c r="D22" s="25">
        <v>9700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>
      <c r="A23" s="23" t="s">
        <v>74</v>
      </c>
      <c r="B23" s="24" t="s">
        <v>102</v>
      </c>
      <c r="C23" s="24">
        <v>198.3</v>
      </c>
      <c r="D23" s="25">
        <v>10100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>
      <c r="A24" s="23" t="s">
        <v>74</v>
      </c>
      <c r="B24" s="24" t="s">
        <v>103</v>
      </c>
      <c r="C24" s="24">
        <v>210.5</v>
      </c>
      <c r="D24" s="25">
        <v>10600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>
      <c r="A25" s="23" t="s">
        <v>74</v>
      </c>
      <c r="B25" s="24" t="s">
        <v>104</v>
      </c>
      <c r="C25" s="24">
        <v>223.3</v>
      </c>
      <c r="D25" s="25">
        <v>10300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>
      <c r="A26" s="23" t="s">
        <v>74</v>
      </c>
      <c r="B26" s="24" t="s">
        <v>105</v>
      </c>
      <c r="C26" s="24">
        <v>180.4</v>
      </c>
      <c r="D26" s="25">
        <v>8500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>
      <c r="A27" s="23" t="s">
        <v>74</v>
      </c>
      <c r="B27" s="24" t="s">
        <v>106</v>
      </c>
      <c r="C27" s="24">
        <v>228.4</v>
      </c>
      <c r="D27" s="25">
        <v>10600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>
      <c r="A28" s="23" t="s">
        <v>74</v>
      </c>
      <c r="B28" s="24" t="s">
        <v>107</v>
      </c>
      <c r="C28" s="24">
        <v>242.4</v>
      </c>
      <c r="D28" s="25">
        <v>11200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>
      <c r="A29" s="23" t="s">
        <v>74</v>
      </c>
      <c r="B29" s="24" t="s">
        <v>108</v>
      </c>
      <c r="C29" s="24">
        <v>258.2</v>
      </c>
      <c r="D29" s="25">
        <v>12000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>
      <c r="A30" s="23" t="s">
        <v>74</v>
      </c>
      <c r="B30" s="24" t="s">
        <v>109</v>
      </c>
      <c r="C30" s="24">
        <v>261.8</v>
      </c>
      <c r="D30" s="25">
        <v>12200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15">
      <c r="A31" s="23" t="s">
        <v>74</v>
      </c>
      <c r="B31" s="24" t="s">
        <v>110</v>
      </c>
      <c r="C31" s="24">
        <v>282.8</v>
      </c>
      <c r="D31" s="25">
        <v>12900</v>
      </c>
      <c r="E31" s="6"/>
      <c r="F31" s="1"/>
      <c r="G31" s="1"/>
      <c r="H31" s="6"/>
      <c r="I31" s="6"/>
      <c r="J31" s="6"/>
      <c r="K31" s="6"/>
      <c r="L31" s="6"/>
      <c r="M31" s="6"/>
      <c r="N31" s="6"/>
      <c r="O31" s="6"/>
    </row>
    <row r="32" spans="1:15">
      <c r="A32" s="23" t="s">
        <v>74</v>
      </c>
      <c r="B32" s="24" t="s">
        <v>111</v>
      </c>
      <c r="C32" s="24">
        <v>299.3</v>
      </c>
      <c r="D32" s="25">
        <v>13200</v>
      </c>
      <c r="E32" s="6"/>
      <c r="F32" s="1"/>
      <c r="G32" s="1"/>
      <c r="H32" s="6"/>
      <c r="I32" s="6"/>
      <c r="J32" s="6"/>
      <c r="K32" s="6"/>
      <c r="L32" s="6"/>
      <c r="M32" s="6"/>
      <c r="N32" s="6"/>
      <c r="O32" s="6"/>
    </row>
    <row r="33" spans="1:15">
      <c r="A33" s="1"/>
      <c r="B33" s="1"/>
      <c r="C33" s="1"/>
      <c r="D33" s="1"/>
      <c r="E33" s="1"/>
      <c r="F33" s="1"/>
      <c r="G33" s="1"/>
      <c r="H33" s="6"/>
      <c r="I33" s="6"/>
      <c r="J33" s="6"/>
      <c r="K33" s="6"/>
      <c r="L33" s="6"/>
      <c r="M33" s="6"/>
      <c r="N33" s="6"/>
      <c r="O33" s="6"/>
    </row>
    <row r="34" spans="1:15">
      <c r="A34" s="1"/>
      <c r="B34" s="1"/>
      <c r="C34" s="1"/>
      <c r="D34" s="1"/>
      <c r="E34" s="1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>
      <c r="A35" s="29" t="s">
        <v>212</v>
      </c>
      <c r="B35" s="30"/>
      <c r="C35" s="30"/>
      <c r="D35" s="25">
        <f>VLOOKUP(MIN(C4:C32),C4:D32,2,0)</f>
        <v>1700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22"/>
  <sheetViews>
    <sheetView workbookViewId="0"/>
  </sheetViews>
  <sheetFormatPr defaultRowHeight="17"/>
  <cols>
    <col min="3" max="3" width="26.83203125" bestFit="1" customWidth="1"/>
    <col min="4" max="4" width="8.08203125" customWidth="1"/>
    <col min="5" max="5" width="10.58203125" customWidth="1"/>
    <col min="6" max="6" width="12.9140625" bestFit="1" customWidth="1"/>
    <col min="7" max="7" width="11.1640625" bestFit="1" customWidth="1"/>
  </cols>
  <sheetData>
    <row r="2" spans="3:6">
      <c r="C2" s="27" t="s">
        <v>113</v>
      </c>
      <c r="D2" t="s">
        <v>206</v>
      </c>
    </row>
    <row r="4" spans="3:6">
      <c r="C4" s="27" t="s">
        <v>112</v>
      </c>
      <c r="D4" s="27" t="s">
        <v>114</v>
      </c>
      <c r="E4" t="s">
        <v>208</v>
      </c>
      <c r="F4" t="s">
        <v>209</v>
      </c>
    </row>
    <row r="5" spans="3:6">
      <c r="C5" t="s">
        <v>372</v>
      </c>
      <c r="E5" s="28"/>
      <c r="F5" s="28"/>
    </row>
    <row r="6" spans="3:6">
      <c r="D6" t="s">
        <v>115</v>
      </c>
      <c r="E6" s="28">
        <v>179</v>
      </c>
      <c r="F6" s="28">
        <v>11535555</v>
      </c>
    </row>
    <row r="7" spans="3:6">
      <c r="D7" t="s">
        <v>116</v>
      </c>
      <c r="E7" s="28">
        <v>106</v>
      </c>
      <c r="F7" s="28">
        <v>5097255</v>
      </c>
    </row>
    <row r="8" spans="3:6">
      <c r="C8" t="s">
        <v>373</v>
      </c>
      <c r="E8" s="28"/>
      <c r="F8" s="28"/>
    </row>
    <row r="9" spans="3:6">
      <c r="D9" t="s">
        <v>115</v>
      </c>
      <c r="E9" s="28">
        <v>219</v>
      </c>
      <c r="F9" s="28">
        <v>18361275</v>
      </c>
    </row>
    <row r="10" spans="3:6">
      <c r="D10" t="s">
        <v>117</v>
      </c>
      <c r="E10" s="28">
        <v>114</v>
      </c>
      <c r="F10" s="28">
        <v>8830185</v>
      </c>
    </row>
    <row r="11" spans="3:6">
      <c r="D11" t="s">
        <v>116</v>
      </c>
      <c r="E11" s="28">
        <v>159</v>
      </c>
      <c r="F11" s="28">
        <v>6255240</v>
      </c>
    </row>
    <row r="12" spans="3:6">
      <c r="C12" t="s">
        <v>374</v>
      </c>
      <c r="E12" s="28"/>
      <c r="F12" s="28"/>
    </row>
    <row r="13" spans="3:6">
      <c r="D13" t="s">
        <v>115</v>
      </c>
      <c r="E13" s="28">
        <v>56</v>
      </c>
      <c r="F13" s="28">
        <v>5514000</v>
      </c>
    </row>
    <row r="14" spans="3:6">
      <c r="D14" t="s">
        <v>117</v>
      </c>
      <c r="E14" s="28">
        <v>60</v>
      </c>
      <c r="F14" s="28">
        <v>5724840</v>
      </c>
    </row>
    <row r="15" spans="3:6">
      <c r="D15" t="s">
        <v>116</v>
      </c>
      <c r="E15" s="28">
        <v>220</v>
      </c>
      <c r="F15" s="28">
        <v>15300510</v>
      </c>
    </row>
    <row r="16" spans="3:6">
      <c r="C16" t="s">
        <v>375</v>
      </c>
      <c r="E16" s="28"/>
      <c r="F16" s="28"/>
    </row>
    <row r="17" spans="3:6">
      <c r="D17" t="s">
        <v>115</v>
      </c>
      <c r="E17" s="28">
        <v>238</v>
      </c>
      <c r="F17" s="28">
        <v>14691375</v>
      </c>
    </row>
    <row r="18" spans="3:6">
      <c r="D18" t="s">
        <v>117</v>
      </c>
      <c r="E18" s="28">
        <v>57</v>
      </c>
      <c r="F18" s="28">
        <v>4440300</v>
      </c>
    </row>
    <row r="19" spans="3:6">
      <c r="D19" t="s">
        <v>116</v>
      </c>
      <c r="E19" s="28">
        <v>274</v>
      </c>
      <c r="F19" s="28">
        <v>11768070</v>
      </c>
    </row>
    <row r="20" spans="3:6">
      <c r="C20" t="s">
        <v>376</v>
      </c>
      <c r="E20" s="28"/>
      <c r="F20" s="28"/>
    </row>
    <row r="21" spans="3:6">
      <c r="D21" t="s">
        <v>117</v>
      </c>
      <c r="E21" s="28">
        <v>121</v>
      </c>
      <c r="F21" s="28">
        <v>8964690</v>
      </c>
    </row>
    <row r="22" spans="3:6">
      <c r="C22" t="s">
        <v>207</v>
      </c>
      <c r="E22" s="28">
        <v>1803</v>
      </c>
      <c r="F22" s="28">
        <v>116483295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/>
  </sheetViews>
  <sheetFormatPr defaultRowHeight="17"/>
  <cols>
    <col min="1" max="1" width="10.75" bestFit="1" customWidth="1"/>
  </cols>
  <sheetData>
    <row r="1" spans="1:5">
      <c r="A1" t="s">
        <v>112</v>
      </c>
      <c r="B1" t="s">
        <v>113</v>
      </c>
      <c r="C1" t="s">
        <v>114</v>
      </c>
      <c r="D1" t="s">
        <v>213</v>
      </c>
      <c r="E1" t="s">
        <v>214</v>
      </c>
    </row>
    <row r="2" spans="1:5">
      <c r="A2" s="37">
        <v>45144</v>
      </c>
      <c r="B2" t="s">
        <v>215</v>
      </c>
      <c r="C2" t="s">
        <v>115</v>
      </c>
      <c r="D2">
        <v>49</v>
      </c>
      <c r="E2">
        <v>4324095</v>
      </c>
    </row>
    <row r="3" spans="1:5">
      <c r="A3" s="37">
        <v>45144</v>
      </c>
      <c r="B3" t="s">
        <v>215</v>
      </c>
      <c r="C3" t="s">
        <v>115</v>
      </c>
      <c r="D3">
        <v>53</v>
      </c>
      <c r="E3">
        <v>5912580</v>
      </c>
    </row>
    <row r="4" spans="1:5">
      <c r="A4" s="37">
        <v>45142</v>
      </c>
      <c r="B4" t="s">
        <v>217</v>
      </c>
      <c r="C4" t="s">
        <v>115</v>
      </c>
      <c r="D4">
        <v>55</v>
      </c>
      <c r="E4">
        <v>2990820</v>
      </c>
    </row>
    <row r="5" spans="1:5">
      <c r="A5" s="37">
        <v>45139</v>
      </c>
      <c r="B5" t="s">
        <v>218</v>
      </c>
      <c r="C5" t="s">
        <v>115</v>
      </c>
      <c r="D5">
        <v>62</v>
      </c>
      <c r="E5">
        <v>5133780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I29"/>
  <sheetViews>
    <sheetView workbookViewId="0"/>
  </sheetViews>
  <sheetFormatPr defaultRowHeight="17"/>
  <cols>
    <col min="1" max="5" width="12.4140625" customWidth="1"/>
  </cols>
  <sheetData>
    <row r="1" spans="1:9">
      <c r="A1" s="1" t="s">
        <v>118</v>
      </c>
      <c r="B1" s="1"/>
      <c r="C1" s="1"/>
      <c r="D1" s="6"/>
      <c r="E1" s="1"/>
      <c r="F1" s="1"/>
      <c r="G1" s="1"/>
      <c r="H1" s="1"/>
      <c r="I1" s="1"/>
    </row>
    <row r="2" spans="1:9">
      <c r="A2" s="26" t="s">
        <v>119</v>
      </c>
      <c r="B2" s="26" t="s">
        <v>120</v>
      </c>
      <c r="C2" s="26" t="s">
        <v>121</v>
      </c>
      <c r="D2" s="26" t="s">
        <v>122</v>
      </c>
      <c r="E2" s="26" t="s">
        <v>123</v>
      </c>
      <c r="F2" s="1"/>
      <c r="G2" s="1"/>
      <c r="H2" s="1"/>
      <c r="I2" s="1"/>
    </row>
    <row r="3" spans="1:9">
      <c r="A3" s="3" t="s">
        <v>124</v>
      </c>
      <c r="B3" s="3" t="s">
        <v>125</v>
      </c>
      <c r="C3" s="3" t="s">
        <v>126</v>
      </c>
      <c r="D3" s="5">
        <v>28584</v>
      </c>
      <c r="E3" s="5">
        <v>37236</v>
      </c>
      <c r="F3" s="1"/>
      <c r="G3" s="1"/>
      <c r="H3" s="1"/>
      <c r="I3" s="1"/>
    </row>
    <row r="4" spans="1:9" hidden="1">
      <c r="A4" s="3" t="s">
        <v>127</v>
      </c>
      <c r="B4" s="3" t="s">
        <v>125</v>
      </c>
      <c r="C4" s="3" t="s">
        <v>128</v>
      </c>
      <c r="D4" s="5">
        <v>26215</v>
      </c>
      <c r="E4" s="5">
        <v>33946</v>
      </c>
      <c r="F4" s="1"/>
      <c r="G4" s="1"/>
      <c r="H4" s="1"/>
      <c r="I4" s="1"/>
    </row>
    <row r="5" spans="1:9" hidden="1">
      <c r="A5" s="3" t="s">
        <v>129</v>
      </c>
      <c r="B5" s="3" t="s">
        <v>130</v>
      </c>
      <c r="C5" s="3" t="s">
        <v>126</v>
      </c>
      <c r="D5" s="5">
        <v>21890</v>
      </c>
      <c r="E5" s="5">
        <v>35761</v>
      </c>
      <c r="F5" s="1"/>
      <c r="G5" s="1"/>
      <c r="H5" s="1"/>
      <c r="I5" s="1"/>
    </row>
    <row r="6" spans="1:9" hidden="1">
      <c r="A6" s="3" t="s">
        <v>131</v>
      </c>
      <c r="B6" s="3" t="s">
        <v>132</v>
      </c>
      <c r="C6" s="3" t="s">
        <v>128</v>
      </c>
      <c r="D6" s="5">
        <v>21728</v>
      </c>
      <c r="E6" s="5">
        <v>32118</v>
      </c>
      <c r="F6" s="1"/>
      <c r="G6" s="1"/>
      <c r="H6" s="1"/>
      <c r="I6" s="1"/>
    </row>
    <row r="7" spans="1:9">
      <c r="A7" s="3" t="s">
        <v>133</v>
      </c>
      <c r="B7" s="3" t="s">
        <v>130</v>
      </c>
      <c r="C7" s="3" t="s">
        <v>126</v>
      </c>
      <c r="D7" s="5">
        <v>28346</v>
      </c>
      <c r="E7" s="5">
        <v>36864</v>
      </c>
      <c r="F7" s="1"/>
      <c r="G7" s="1"/>
      <c r="H7" s="1"/>
      <c r="I7" s="1"/>
    </row>
    <row r="8" spans="1:9" hidden="1">
      <c r="A8" s="3" t="s">
        <v>134</v>
      </c>
      <c r="B8" s="3" t="s">
        <v>135</v>
      </c>
      <c r="C8" s="3" t="s">
        <v>128</v>
      </c>
      <c r="D8" s="5">
        <v>27429</v>
      </c>
      <c r="E8" s="5">
        <v>36139</v>
      </c>
      <c r="F8" s="1"/>
      <c r="G8" s="1"/>
      <c r="H8" s="1"/>
      <c r="I8" s="1"/>
    </row>
    <row r="9" spans="1:9" hidden="1">
      <c r="A9" s="3" t="s">
        <v>136</v>
      </c>
      <c r="B9" s="3" t="s">
        <v>137</v>
      </c>
      <c r="C9" s="3" t="s">
        <v>128</v>
      </c>
      <c r="D9" s="5">
        <v>26026</v>
      </c>
      <c r="E9" s="5">
        <v>35760</v>
      </c>
      <c r="F9" s="1"/>
      <c r="G9" s="1"/>
      <c r="H9" s="1"/>
      <c r="I9" s="1"/>
    </row>
    <row r="10" spans="1:9" hidden="1">
      <c r="A10" s="3" t="s">
        <v>138</v>
      </c>
      <c r="B10" s="3" t="s">
        <v>130</v>
      </c>
      <c r="C10" s="3" t="s">
        <v>126</v>
      </c>
      <c r="D10" s="5">
        <v>26353</v>
      </c>
      <c r="E10" s="5">
        <v>36105</v>
      </c>
      <c r="F10" s="1"/>
      <c r="G10" s="1"/>
      <c r="H10" s="1"/>
      <c r="I10" s="1"/>
    </row>
    <row r="11" spans="1:9" hidden="1">
      <c r="A11" s="3" t="s">
        <v>139</v>
      </c>
      <c r="B11" s="3" t="s">
        <v>140</v>
      </c>
      <c r="C11" s="3" t="s">
        <v>126</v>
      </c>
      <c r="D11" s="5">
        <v>27004</v>
      </c>
      <c r="E11" s="5">
        <v>35769</v>
      </c>
      <c r="F11" s="1"/>
      <c r="G11" s="1"/>
      <c r="H11" s="1"/>
      <c r="I11" s="1"/>
    </row>
    <row r="12" spans="1:9">
      <c r="A12" s="3" t="s">
        <v>141</v>
      </c>
      <c r="B12" s="3" t="s">
        <v>140</v>
      </c>
      <c r="C12" s="3" t="s">
        <v>128</v>
      </c>
      <c r="D12" s="5">
        <v>28611</v>
      </c>
      <c r="E12" s="5">
        <v>37211</v>
      </c>
      <c r="F12" s="1"/>
      <c r="G12" s="1"/>
      <c r="H12" s="1"/>
      <c r="I12" s="1"/>
    </row>
    <row r="13" spans="1:9" hidden="1">
      <c r="A13" s="3" t="s">
        <v>142</v>
      </c>
      <c r="B13" s="3" t="s">
        <v>140</v>
      </c>
      <c r="C13" s="3" t="s">
        <v>128</v>
      </c>
      <c r="D13" s="5">
        <v>22712</v>
      </c>
      <c r="E13" s="5">
        <v>30293</v>
      </c>
      <c r="F13" s="1"/>
      <c r="G13" s="1"/>
      <c r="H13" s="1"/>
      <c r="I13" s="1"/>
    </row>
    <row r="14" spans="1:9">
      <c r="A14" s="3" t="s">
        <v>143</v>
      </c>
      <c r="B14" s="3" t="s">
        <v>132</v>
      </c>
      <c r="C14" s="3" t="s">
        <v>126</v>
      </c>
      <c r="D14" s="5">
        <v>28295</v>
      </c>
      <c r="E14" s="5">
        <v>36865</v>
      </c>
      <c r="F14" s="1"/>
      <c r="G14" s="1"/>
      <c r="H14" s="1"/>
      <c r="I14" s="1"/>
    </row>
    <row r="15" spans="1:9" hidden="1">
      <c r="A15" s="3" t="s">
        <v>144</v>
      </c>
      <c r="B15" s="3" t="s">
        <v>130</v>
      </c>
      <c r="C15" s="3" t="s">
        <v>126</v>
      </c>
      <c r="D15" s="5">
        <v>26028</v>
      </c>
      <c r="E15" s="5">
        <v>36491</v>
      </c>
      <c r="F15" s="1"/>
      <c r="G15" s="1"/>
      <c r="H15" s="1"/>
      <c r="I15" s="1"/>
    </row>
    <row r="16" spans="1:9" hidden="1">
      <c r="A16" s="3" t="s">
        <v>145</v>
      </c>
      <c r="B16" s="3" t="s">
        <v>146</v>
      </c>
      <c r="C16" s="3" t="s">
        <v>128</v>
      </c>
      <c r="D16" s="5">
        <v>24174</v>
      </c>
      <c r="E16" s="5">
        <v>35038</v>
      </c>
      <c r="F16" s="1"/>
      <c r="G16" s="1"/>
      <c r="H16" s="1"/>
      <c r="I16" s="1"/>
    </row>
    <row r="17" spans="1:9">
      <c r="A17" s="3" t="s">
        <v>147</v>
      </c>
      <c r="B17" s="3" t="s">
        <v>132</v>
      </c>
      <c r="C17" s="3" t="s">
        <v>126</v>
      </c>
      <c r="D17" s="5">
        <v>26917</v>
      </c>
      <c r="E17" s="5">
        <v>36760</v>
      </c>
      <c r="F17" s="1"/>
      <c r="G17" s="1"/>
      <c r="H17" s="1"/>
      <c r="I17" s="1"/>
    </row>
    <row r="18" spans="1:9" hidden="1">
      <c r="A18" s="3" t="s">
        <v>148</v>
      </c>
      <c r="B18" s="3" t="s">
        <v>149</v>
      </c>
      <c r="C18" s="3" t="s">
        <v>128</v>
      </c>
      <c r="D18" s="5">
        <v>25958</v>
      </c>
      <c r="E18" s="5">
        <v>35398</v>
      </c>
      <c r="F18" s="1"/>
      <c r="G18" s="1"/>
      <c r="H18" s="1"/>
      <c r="I18" s="1"/>
    </row>
    <row r="19" spans="1:9" hidden="1">
      <c r="A19" s="3" t="s">
        <v>150</v>
      </c>
      <c r="B19" s="3" t="s">
        <v>130</v>
      </c>
      <c r="C19" s="3" t="s">
        <v>128</v>
      </c>
      <c r="D19" s="5">
        <v>23158</v>
      </c>
      <c r="E19" s="5">
        <v>32841</v>
      </c>
      <c r="F19" s="1"/>
      <c r="G19" s="1"/>
      <c r="H19" s="1"/>
      <c r="I19" s="1"/>
    </row>
    <row r="20" spans="1:9" hidden="1">
      <c r="A20" s="3" t="s">
        <v>151</v>
      </c>
      <c r="B20" s="3" t="s">
        <v>125</v>
      </c>
      <c r="C20" s="3" t="s">
        <v>126</v>
      </c>
      <c r="D20" s="5">
        <v>22283</v>
      </c>
      <c r="E20" s="5">
        <v>31029</v>
      </c>
      <c r="F20" s="1"/>
      <c r="G20" s="1"/>
      <c r="H20" s="1"/>
      <c r="I20" s="1"/>
    </row>
    <row r="21" spans="1:9">
      <c r="A21" s="3" t="s">
        <v>152</v>
      </c>
      <c r="B21" s="3" t="s">
        <v>137</v>
      </c>
      <c r="C21" s="3" t="s">
        <v>126</v>
      </c>
      <c r="D21" s="5">
        <v>28484</v>
      </c>
      <c r="E21" s="5">
        <v>36874</v>
      </c>
      <c r="F21" s="1"/>
      <c r="G21" s="1"/>
      <c r="H21" s="1"/>
      <c r="I21" s="1"/>
    </row>
    <row r="22" spans="1:9" hidden="1">
      <c r="A22" s="3" t="s">
        <v>153</v>
      </c>
      <c r="B22" s="3" t="s">
        <v>137</v>
      </c>
      <c r="C22" s="3" t="s">
        <v>128</v>
      </c>
      <c r="D22" s="5">
        <v>27107</v>
      </c>
      <c r="E22" s="5">
        <v>35036</v>
      </c>
      <c r="F22" s="1"/>
      <c r="G22" s="1"/>
      <c r="H22" s="1"/>
      <c r="I22" s="1"/>
    </row>
    <row r="23" spans="1:9" hidden="1">
      <c r="A23" s="3" t="s">
        <v>154</v>
      </c>
      <c r="B23" s="3" t="s">
        <v>155</v>
      </c>
      <c r="C23" s="3" t="s">
        <v>128</v>
      </c>
      <c r="D23" s="5">
        <v>22657</v>
      </c>
      <c r="E23" s="5">
        <v>32098</v>
      </c>
      <c r="F23" s="1"/>
      <c r="G23" s="1"/>
      <c r="H23" s="1"/>
      <c r="I23" s="1"/>
    </row>
    <row r="24" spans="1:9">
      <c r="A24" s="3" t="s">
        <v>156</v>
      </c>
      <c r="B24" s="3" t="s">
        <v>155</v>
      </c>
      <c r="C24" s="3" t="s">
        <v>126</v>
      </c>
      <c r="D24" s="5">
        <v>28416</v>
      </c>
      <c r="E24" s="5">
        <v>36866</v>
      </c>
      <c r="F24" s="1"/>
      <c r="G24" s="1"/>
      <c r="H24" s="1"/>
      <c r="I24" s="1"/>
    </row>
    <row r="25" spans="1:9" hidden="1">
      <c r="A25" s="3" t="s">
        <v>157</v>
      </c>
      <c r="B25" s="3" t="s">
        <v>130</v>
      </c>
      <c r="C25" s="3" t="s">
        <v>126</v>
      </c>
      <c r="D25" s="5">
        <v>26384</v>
      </c>
      <c r="E25" s="5">
        <v>35755</v>
      </c>
      <c r="F25" s="1"/>
      <c r="G25" s="1"/>
      <c r="H25" s="1"/>
      <c r="I25" s="1"/>
    </row>
    <row r="26" spans="1:9" hidden="1">
      <c r="A26" s="3" t="s">
        <v>158</v>
      </c>
      <c r="B26" s="3" t="s">
        <v>132</v>
      </c>
      <c r="C26" s="3" t="s">
        <v>128</v>
      </c>
      <c r="D26" s="5">
        <v>26666</v>
      </c>
      <c r="E26" s="5">
        <v>32118</v>
      </c>
      <c r="F26" s="1"/>
      <c r="G26" s="1"/>
      <c r="H26" s="1"/>
      <c r="I26" s="1"/>
    </row>
    <row r="27" spans="1:9" hidden="1">
      <c r="A27" s="3" t="s">
        <v>159</v>
      </c>
      <c r="B27" s="3" t="s">
        <v>140</v>
      </c>
      <c r="C27" s="3" t="s">
        <v>128</v>
      </c>
      <c r="D27" s="5">
        <v>24062</v>
      </c>
      <c r="E27" s="5">
        <v>31755</v>
      </c>
      <c r="F27" s="1"/>
      <c r="G27" s="1"/>
      <c r="H27" s="1"/>
      <c r="I27" s="1"/>
    </row>
    <row r="28" spans="1:9">
      <c r="A28" s="1"/>
      <c r="B28" s="1"/>
      <c r="C28" s="1"/>
      <c r="D28" s="1"/>
      <c r="E28" s="1"/>
      <c r="F28" s="1"/>
      <c r="G28" s="1"/>
      <c r="H28" s="1"/>
      <c r="I28" s="1"/>
    </row>
    <row r="29" spans="1:9">
      <c r="A29" s="1"/>
      <c r="B29" s="1"/>
      <c r="C29" s="1"/>
      <c r="D29" s="1"/>
      <c r="E29" s="1"/>
      <c r="F29" s="1"/>
      <c r="G29" s="1"/>
      <c r="H29" s="1"/>
      <c r="I29" s="1"/>
    </row>
  </sheetData>
  <autoFilter ref="A2:E27">
    <filterColumn colId="4">
      <customFilters and="1">
        <customFilter operator="greaterThan" val="36526"/>
        <customFilter operator="lessThan" val="44196"/>
      </customFilters>
    </filterColumn>
  </autoFilter>
  <phoneticPr fontId="2" type="noConversion"/>
  <dataValidations count="2">
    <dataValidation type="list" errorStyle="information" allowBlank="1" showInputMessage="1" showErrorMessage="1" errorTitle="등급 오류" error="등급 목록에 없습니다. " promptTitle="등급 목록" prompt="그린, 레드, 블루, 실버, 핑크" sqref="B4:B27">
      <formula1>"그린, 레드, 블루, 실버, 핑크"</formula1>
    </dataValidation>
    <dataValidation type="list" allowBlank="1" showInputMessage="1" showErrorMessage="1" errorTitle="등급 오류" error="등급 목록에 없습니다. " promptTitle="등급 목록" prompt="그린, 레드, 블루, 실버, 핑크" sqref="B3">
      <formula1>"그린, 레드, 블루, 실버, 핑크"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7"/>
  <sheetViews>
    <sheetView workbookViewId="0"/>
  </sheetViews>
  <sheetFormatPr defaultRowHeight="17"/>
  <cols>
    <col min="2" max="2" width="15.4140625" bestFit="1" customWidth="1"/>
    <col min="3" max="6" width="12.25" customWidth="1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>
      <c r="A2" s="1"/>
      <c r="B2" s="6" t="s">
        <v>160</v>
      </c>
      <c r="C2" s="6"/>
      <c r="D2" s="6"/>
      <c r="E2" s="6"/>
      <c r="F2" s="6" t="s">
        <v>161</v>
      </c>
      <c r="G2" s="6"/>
      <c r="H2" s="1"/>
    </row>
    <row r="3" spans="1:8">
      <c r="A3" s="1"/>
      <c r="B3" s="13" t="s">
        <v>162</v>
      </c>
      <c r="C3" s="13" t="s">
        <v>167</v>
      </c>
      <c r="D3" s="13" t="s">
        <v>163</v>
      </c>
      <c r="E3" s="13" t="s">
        <v>168</v>
      </c>
      <c r="F3" s="13" t="s">
        <v>220</v>
      </c>
      <c r="G3" s="1"/>
      <c r="H3" s="1"/>
    </row>
    <row r="4" spans="1:8">
      <c r="A4" s="1"/>
      <c r="B4" s="24" t="s">
        <v>164</v>
      </c>
      <c r="C4" s="24">
        <v>31580</v>
      </c>
      <c r="D4" s="24">
        <v>33010</v>
      </c>
      <c r="E4" s="24">
        <v>34120</v>
      </c>
      <c r="F4" s="24">
        <v>34820</v>
      </c>
      <c r="G4" s="1"/>
      <c r="H4" s="1"/>
    </row>
    <row r="5" spans="1:8">
      <c r="A5" s="1"/>
      <c r="B5" s="24" t="s">
        <v>165</v>
      </c>
      <c r="C5" s="24">
        <v>70.2</v>
      </c>
      <c r="D5" s="24">
        <v>72.8</v>
      </c>
      <c r="E5" s="24">
        <v>74.8</v>
      </c>
      <c r="F5" s="24">
        <v>75.3</v>
      </c>
      <c r="G5" s="1"/>
      <c r="H5" s="1"/>
    </row>
    <row r="6" spans="1:8">
      <c r="A6" s="1"/>
      <c r="B6" s="24" t="s">
        <v>166</v>
      </c>
      <c r="C6" s="24">
        <v>11921</v>
      </c>
      <c r="D6" s="24">
        <v>12191</v>
      </c>
      <c r="E6" s="24">
        <v>14043</v>
      </c>
      <c r="F6" s="24">
        <v>14710</v>
      </c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E36"/>
  <sheetViews>
    <sheetView workbookViewId="0"/>
  </sheetViews>
  <sheetFormatPr defaultRowHeight="17"/>
  <cols>
    <col min="1" max="1" width="10.75" customWidth="1"/>
    <col min="5" max="5" width="10.58203125" bestFit="1" customWidth="1"/>
  </cols>
  <sheetData>
    <row r="4" spans="1:5">
      <c r="A4" s="31" t="s">
        <v>112</v>
      </c>
      <c r="B4" s="31" t="s">
        <v>113</v>
      </c>
      <c r="C4" s="31" t="s">
        <v>114</v>
      </c>
      <c r="D4" s="31" t="s">
        <v>213</v>
      </c>
      <c r="E4" s="32" t="s">
        <v>214</v>
      </c>
    </row>
    <row r="5" spans="1:5">
      <c r="A5" s="33">
        <v>44767</v>
      </c>
      <c r="B5" s="31" t="s">
        <v>215</v>
      </c>
      <c r="C5" s="31" t="s">
        <v>115</v>
      </c>
      <c r="D5" s="31">
        <v>55</v>
      </c>
      <c r="E5" s="36">
        <v>2902245</v>
      </c>
    </row>
    <row r="6" spans="1:5">
      <c r="A6" s="33">
        <v>44769</v>
      </c>
      <c r="B6" s="31" t="s">
        <v>216</v>
      </c>
      <c r="C6" s="31" t="s">
        <v>115</v>
      </c>
      <c r="D6" s="31">
        <v>61</v>
      </c>
      <c r="E6" s="36">
        <v>5995185</v>
      </c>
    </row>
    <row r="7" spans="1:5">
      <c r="A7" s="33">
        <v>44770</v>
      </c>
      <c r="B7" s="31" t="s">
        <v>217</v>
      </c>
      <c r="C7" s="31" t="s">
        <v>116</v>
      </c>
      <c r="D7" s="31">
        <v>54</v>
      </c>
      <c r="E7" s="36">
        <v>4651035</v>
      </c>
    </row>
    <row r="8" spans="1:5">
      <c r="A8" s="33">
        <v>44771</v>
      </c>
      <c r="B8" s="31" t="s">
        <v>215</v>
      </c>
      <c r="C8" s="31" t="s">
        <v>116</v>
      </c>
      <c r="D8" s="31">
        <v>52</v>
      </c>
      <c r="E8" s="36">
        <v>446220</v>
      </c>
    </row>
    <row r="9" spans="1:5">
      <c r="A9" s="33">
        <v>44771</v>
      </c>
      <c r="B9" s="31" t="s">
        <v>216</v>
      </c>
      <c r="C9" s="31" t="s">
        <v>115</v>
      </c>
      <c r="D9" s="31">
        <v>63</v>
      </c>
      <c r="E9" s="36">
        <v>2638125</v>
      </c>
    </row>
    <row r="10" spans="1:5">
      <c r="A10" s="33">
        <v>44774</v>
      </c>
      <c r="B10" s="31" t="s">
        <v>218</v>
      </c>
      <c r="C10" s="31" t="s">
        <v>115</v>
      </c>
      <c r="D10" s="31">
        <v>62</v>
      </c>
      <c r="E10" s="36">
        <v>5133780</v>
      </c>
    </row>
    <row r="11" spans="1:5">
      <c r="A11" s="33">
        <v>44774</v>
      </c>
      <c r="B11" s="31" t="s">
        <v>216</v>
      </c>
      <c r="C11" s="31" t="s">
        <v>116</v>
      </c>
      <c r="D11" s="31">
        <v>46</v>
      </c>
      <c r="E11" s="36">
        <v>670665</v>
      </c>
    </row>
    <row r="12" spans="1:5">
      <c r="A12" s="33">
        <v>44774</v>
      </c>
      <c r="B12" s="31" t="s">
        <v>217</v>
      </c>
      <c r="C12" s="31" t="s">
        <v>117</v>
      </c>
      <c r="D12" s="31">
        <v>57</v>
      </c>
      <c r="E12" s="36">
        <v>3371160</v>
      </c>
    </row>
    <row r="13" spans="1:5">
      <c r="A13" s="33">
        <v>44777</v>
      </c>
      <c r="B13" s="31" t="s">
        <v>216</v>
      </c>
      <c r="C13" s="31" t="s">
        <v>116</v>
      </c>
      <c r="D13" s="31">
        <v>61</v>
      </c>
      <c r="E13" s="36">
        <v>750300</v>
      </c>
    </row>
    <row r="14" spans="1:5">
      <c r="A14" s="33">
        <v>44777</v>
      </c>
      <c r="B14" s="31" t="s">
        <v>217</v>
      </c>
      <c r="C14" s="31" t="s">
        <v>115</v>
      </c>
      <c r="D14" s="31">
        <v>55</v>
      </c>
      <c r="E14" s="36">
        <v>2990820</v>
      </c>
    </row>
    <row r="15" spans="1:5">
      <c r="A15" s="33">
        <v>44779</v>
      </c>
      <c r="B15" s="31" t="s">
        <v>215</v>
      </c>
      <c r="C15" s="31" t="s">
        <v>115</v>
      </c>
      <c r="D15" s="31">
        <v>53</v>
      </c>
      <c r="E15" s="36">
        <v>5912580</v>
      </c>
    </row>
    <row r="16" spans="1:5">
      <c r="A16" s="33">
        <v>44779</v>
      </c>
      <c r="B16" s="31" t="s">
        <v>215</v>
      </c>
      <c r="C16" s="31" t="s">
        <v>115</v>
      </c>
      <c r="D16" s="31">
        <v>49</v>
      </c>
      <c r="E16" s="36">
        <v>4324095</v>
      </c>
    </row>
    <row r="17" spans="1:5">
      <c r="A17" s="33">
        <v>44780</v>
      </c>
      <c r="B17" s="31" t="s">
        <v>216</v>
      </c>
      <c r="C17" s="31" t="s">
        <v>117</v>
      </c>
      <c r="D17" s="31">
        <v>57</v>
      </c>
      <c r="E17" s="36">
        <v>5459025</v>
      </c>
    </row>
    <row r="18" spans="1:5">
      <c r="A18" s="33">
        <v>44780</v>
      </c>
      <c r="B18" s="31" t="s">
        <v>217</v>
      </c>
      <c r="C18" s="31" t="s">
        <v>116</v>
      </c>
      <c r="D18" s="31">
        <v>52</v>
      </c>
      <c r="E18" s="36">
        <v>4834275</v>
      </c>
    </row>
    <row r="19" spans="1:5">
      <c r="A19" s="33">
        <v>44782</v>
      </c>
      <c r="B19" s="31" t="s">
        <v>217</v>
      </c>
      <c r="C19" s="31" t="s">
        <v>116</v>
      </c>
      <c r="D19" s="31">
        <v>63</v>
      </c>
      <c r="E19" s="36">
        <v>4950525</v>
      </c>
    </row>
    <row r="20" spans="1:5">
      <c r="A20" s="33">
        <v>44783</v>
      </c>
      <c r="B20" s="31" t="s">
        <v>215</v>
      </c>
      <c r="C20" s="31" t="s">
        <v>116</v>
      </c>
      <c r="D20" s="31">
        <v>55</v>
      </c>
      <c r="E20" s="36">
        <v>3789615</v>
      </c>
    </row>
    <row r="21" spans="1:5">
      <c r="A21" s="33">
        <v>44783</v>
      </c>
      <c r="B21" s="31" t="s">
        <v>217</v>
      </c>
      <c r="C21" s="31" t="s">
        <v>115</v>
      </c>
      <c r="D21" s="31">
        <v>56</v>
      </c>
      <c r="E21" s="36">
        <v>5514000</v>
      </c>
    </row>
    <row r="22" spans="1:5">
      <c r="A22" s="33">
        <v>44785</v>
      </c>
      <c r="B22" s="31" t="s">
        <v>218</v>
      </c>
      <c r="C22" s="31" t="s">
        <v>116</v>
      </c>
      <c r="D22" s="31">
        <v>56</v>
      </c>
      <c r="E22" s="36">
        <v>2911410</v>
      </c>
    </row>
    <row r="23" spans="1:5">
      <c r="E23" s="34"/>
    </row>
    <row r="24" spans="1:5">
      <c r="E24" s="34"/>
    </row>
    <row r="25" spans="1:5">
      <c r="E25" s="34"/>
    </row>
    <row r="26" spans="1:5">
      <c r="E26" s="34"/>
    </row>
    <row r="27" spans="1:5">
      <c r="E27" s="34"/>
    </row>
    <row r="28" spans="1:5">
      <c r="E28" s="34"/>
    </row>
    <row r="29" spans="1:5">
      <c r="E29" s="34"/>
    </row>
    <row r="30" spans="1:5">
      <c r="E30" s="34"/>
    </row>
    <row r="31" spans="1:5">
      <c r="E31" s="34"/>
    </row>
    <row r="32" spans="1:5">
      <c r="E32" s="34"/>
    </row>
    <row r="33" spans="5:5">
      <c r="E33" s="34"/>
    </row>
    <row r="34" spans="5:5">
      <c r="E34" s="34"/>
    </row>
    <row r="35" spans="5:5">
      <c r="E35" s="34"/>
    </row>
    <row r="36" spans="5:5">
      <c r="E36" s="34"/>
    </row>
  </sheetData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16"/>
  <sheetViews>
    <sheetView workbookViewId="0"/>
  </sheetViews>
  <sheetFormatPr defaultRowHeight="17"/>
  <cols>
    <col min="1" max="1" width="2.58203125" customWidth="1"/>
    <col min="2" max="6" width="13.9140625" customWidth="1"/>
    <col min="7" max="7" width="2.58203125" customWidth="1"/>
  </cols>
  <sheetData>
    <row r="3" spans="2:12">
      <c r="B3" s="2" t="s">
        <v>180</v>
      </c>
    </row>
    <row r="4" spans="2:12">
      <c r="H4" s="6" t="s">
        <v>181</v>
      </c>
      <c r="I4" s="6"/>
      <c r="J4" s="6"/>
      <c r="K4" s="6"/>
      <c r="L4" s="1"/>
    </row>
    <row r="5" spans="2:12">
      <c r="B5" s="13" t="s">
        <v>169</v>
      </c>
      <c r="C5" s="13" t="s">
        <v>170</v>
      </c>
      <c r="D5" s="13" t="s">
        <v>171</v>
      </c>
      <c r="E5" s="13" t="s">
        <v>172</v>
      </c>
      <c r="F5" s="13" t="s">
        <v>173</v>
      </c>
      <c r="H5" s="13" t="s">
        <v>182</v>
      </c>
      <c r="I5" s="13" t="s">
        <v>183</v>
      </c>
      <c r="J5" s="13" t="s">
        <v>184</v>
      </c>
      <c r="K5" s="13" t="s">
        <v>185</v>
      </c>
      <c r="L5" s="1"/>
    </row>
    <row r="6" spans="2:12">
      <c r="B6" s="13" t="s">
        <v>174</v>
      </c>
      <c r="C6" s="13" t="s">
        <v>175</v>
      </c>
      <c r="D6" s="13" t="s">
        <v>176</v>
      </c>
      <c r="E6" s="13">
        <v>3</v>
      </c>
      <c r="F6" s="9">
        <v>7500</v>
      </c>
      <c r="H6" s="13" t="s">
        <v>186</v>
      </c>
      <c r="I6" s="24" t="s">
        <v>187</v>
      </c>
      <c r="J6" s="24" t="s">
        <v>188</v>
      </c>
      <c r="K6" s="25">
        <v>3500</v>
      </c>
      <c r="L6" s="1"/>
    </row>
    <row r="7" spans="2:12">
      <c r="B7" s="13" t="s">
        <v>177</v>
      </c>
      <c r="C7" s="13" t="s">
        <v>178</v>
      </c>
      <c r="D7" s="13" t="s">
        <v>179</v>
      </c>
      <c r="E7" s="13">
        <v>1</v>
      </c>
      <c r="F7" s="9">
        <v>5500</v>
      </c>
      <c r="H7" s="13" t="s">
        <v>174</v>
      </c>
      <c r="I7" s="24" t="s">
        <v>189</v>
      </c>
      <c r="J7" s="24" t="s">
        <v>190</v>
      </c>
      <c r="K7" s="25">
        <v>2500</v>
      </c>
      <c r="L7" s="1"/>
    </row>
    <row r="8" spans="2:12">
      <c r="B8" s="13"/>
      <c r="C8" s="13"/>
      <c r="D8" s="13"/>
      <c r="E8" s="13"/>
      <c r="F8" s="9"/>
      <c r="H8" s="13" t="s">
        <v>191</v>
      </c>
      <c r="I8" s="24" t="s">
        <v>187</v>
      </c>
      <c r="J8" s="24" t="s">
        <v>192</v>
      </c>
      <c r="K8" s="25">
        <v>12000</v>
      </c>
      <c r="L8" s="1"/>
    </row>
    <row r="9" spans="2:12">
      <c r="B9" s="13"/>
      <c r="C9" s="13"/>
      <c r="D9" s="13"/>
      <c r="E9" s="13"/>
      <c r="F9" s="9"/>
      <c r="H9" s="13" t="s">
        <v>193</v>
      </c>
      <c r="I9" s="24" t="s">
        <v>189</v>
      </c>
      <c r="J9" s="24" t="s">
        <v>194</v>
      </c>
      <c r="K9" s="25">
        <v>2600</v>
      </c>
      <c r="L9" s="1"/>
    </row>
    <row r="10" spans="2:12">
      <c r="B10" s="13"/>
      <c r="C10" s="13"/>
      <c r="D10" s="13"/>
      <c r="E10" s="13"/>
      <c r="F10" s="9"/>
      <c r="H10" s="13" t="s">
        <v>195</v>
      </c>
      <c r="I10" s="24" t="s">
        <v>189</v>
      </c>
      <c r="J10" s="24" t="s">
        <v>196</v>
      </c>
      <c r="K10" s="25">
        <v>23500</v>
      </c>
      <c r="L10" s="1"/>
    </row>
    <row r="11" spans="2:12">
      <c r="B11" s="13"/>
      <c r="C11" s="13"/>
      <c r="D11" s="13"/>
      <c r="E11" s="13"/>
      <c r="F11" s="9"/>
      <c r="H11" s="13" t="s">
        <v>177</v>
      </c>
      <c r="I11" s="24" t="s">
        <v>197</v>
      </c>
      <c r="J11" s="24" t="s">
        <v>198</v>
      </c>
      <c r="K11" s="25">
        <v>5500</v>
      </c>
      <c r="L11" s="1"/>
    </row>
    <row r="12" spans="2:12">
      <c r="B12" s="13"/>
      <c r="C12" s="13"/>
      <c r="D12" s="13"/>
      <c r="E12" s="13"/>
      <c r="F12" s="9"/>
      <c r="H12" s="13" t="s">
        <v>199</v>
      </c>
      <c r="I12" s="24" t="s">
        <v>197</v>
      </c>
      <c r="J12" s="24" t="s">
        <v>200</v>
      </c>
      <c r="K12" s="25">
        <v>1200</v>
      </c>
      <c r="L12" s="1"/>
    </row>
    <row r="13" spans="2:12">
      <c r="B13" s="13"/>
      <c r="C13" s="13"/>
      <c r="D13" s="13"/>
      <c r="E13" s="13"/>
      <c r="F13" s="9"/>
      <c r="H13" s="13" t="s">
        <v>201</v>
      </c>
      <c r="I13" s="24" t="s">
        <v>197</v>
      </c>
      <c r="J13" s="24" t="s">
        <v>202</v>
      </c>
      <c r="K13" s="25">
        <v>4300</v>
      </c>
      <c r="L13" s="1"/>
    </row>
    <row r="14" spans="2:12">
      <c r="B14" s="13"/>
      <c r="C14" s="13"/>
      <c r="D14" s="13"/>
      <c r="E14" s="13"/>
      <c r="F14" s="9"/>
      <c r="H14" s="13" t="s">
        <v>203</v>
      </c>
      <c r="I14" s="24" t="s">
        <v>204</v>
      </c>
      <c r="J14" s="24" t="s">
        <v>205</v>
      </c>
      <c r="K14" s="25">
        <v>1500</v>
      </c>
      <c r="L14" s="1"/>
    </row>
    <row r="15" spans="2:12">
      <c r="B15" s="13"/>
      <c r="C15" s="13"/>
      <c r="D15" s="13"/>
      <c r="E15" s="13"/>
      <c r="F15" s="9"/>
      <c r="H15" s="1"/>
      <c r="I15" s="1"/>
      <c r="J15" s="1"/>
      <c r="K15" s="1"/>
      <c r="L15" s="1"/>
    </row>
    <row r="16" spans="2:12">
      <c r="B16" s="13"/>
      <c r="C16" s="13"/>
      <c r="D16" s="13"/>
      <c r="E16" s="13"/>
      <c r="F16" s="9"/>
      <c r="H16" s="1"/>
      <c r="I16" s="1"/>
      <c r="J16" s="1"/>
      <c r="K16" s="1"/>
      <c r="L16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매출입력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546100</xdr:colOff>
                <xdr:row>2</xdr:row>
                <xdr:rowOff>171450</xdr:rowOff>
              </to>
            </anchor>
          </controlPr>
        </control>
      </mc:Choice>
      <mc:Fallback>
        <control shapeId="8193" r:id="rId3" name="cmd매출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계산작업-1</vt:lpstr>
      <vt:lpstr>계산작업-2</vt:lpstr>
      <vt:lpstr>분석작업-1</vt:lpstr>
      <vt:lpstr>8월1주LED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2020-09-19T15:30:44Z</cp:lastPrinted>
  <dcterms:created xsi:type="dcterms:W3CDTF">2020-04-09T05:06:46Z</dcterms:created>
  <dcterms:modified xsi:type="dcterms:W3CDTF">2022-04-29T08:48:09Z</dcterms:modified>
</cp:coreProperties>
</file>