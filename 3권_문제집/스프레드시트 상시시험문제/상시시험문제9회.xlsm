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교정\2023년컴활1급\3권_문제집\스프레드시트 상시시험문제\"/>
    </mc:Choice>
  </mc:AlternateContent>
  <bookViews>
    <workbookView xWindow="0" yWindow="0" windowWidth="18000" windowHeight="10580" tabRatio="736"/>
  </bookViews>
  <sheets>
    <sheet name="기본작업-1" sheetId="10" r:id="rId1"/>
    <sheet name="기본작업-2" sheetId="2" r:id="rId2"/>
    <sheet name="계산작업" sheetId="3" r:id="rId3"/>
    <sheet name="분석작업-1" sheetId="4" r:id="rId4"/>
    <sheet name="분석작업-2" sheetId="11" r:id="rId5"/>
    <sheet name="기타작업-1" sheetId="6" r:id="rId6"/>
    <sheet name="기타작업-2" sheetId="12" r:id="rId7"/>
    <sheet name="기타작업-3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1" l="1"/>
  <c r="F22" i="11"/>
  <c r="F21" i="11"/>
  <c r="F20" i="11"/>
  <c r="F19" i="11"/>
  <c r="F18" i="11"/>
  <c r="F17" i="11"/>
  <c r="F16" i="11"/>
  <c r="F15" i="11"/>
  <c r="F11" i="11"/>
  <c r="F10" i="11"/>
  <c r="F9" i="11"/>
  <c r="F8" i="11"/>
  <c r="F7" i="11"/>
  <c r="F6" i="11"/>
  <c r="F5" i="11"/>
  <c r="F4" i="11"/>
  <c r="F3" i="11"/>
  <c r="I37" i="10" l="1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I33" i="3" l="1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I2" i="3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</calcChain>
</file>

<file path=xl/sharedStrings.xml><?xml version="1.0" encoding="utf-8"?>
<sst xmlns="http://schemas.openxmlformats.org/spreadsheetml/2006/main" count="674" uniqueCount="175">
  <si>
    <t>제품코드</t>
    <phoneticPr fontId="3" type="noConversion"/>
  </si>
  <si>
    <t>구분</t>
    <phoneticPr fontId="3" type="noConversion"/>
  </si>
  <si>
    <t>제조사</t>
    <phoneticPr fontId="3" type="noConversion"/>
  </si>
  <si>
    <t>메모리</t>
    <phoneticPr fontId="3" type="noConversion"/>
  </si>
  <si>
    <t>디스플레이</t>
    <phoneticPr fontId="3" type="noConversion"/>
  </si>
  <si>
    <t>무게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</si>
  <si>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</si>
  <si>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</si>
  <si>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</si>
  <si>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배송비</t>
    <phoneticPr fontId="3" type="noConversion"/>
  </si>
  <si>
    <t>GW44-16GB</t>
    <phoneticPr fontId="3" type="noConversion"/>
  </si>
  <si>
    <t>워치</t>
    <phoneticPr fontId="3" type="noConversion"/>
  </si>
  <si>
    <t>갤럭시전자</t>
    <phoneticPr fontId="3" type="noConversion"/>
  </si>
  <si>
    <t>16GB</t>
    <phoneticPr fontId="3" type="noConversion"/>
  </si>
  <si>
    <t>LCD</t>
    <phoneticPr fontId="3" type="noConversion"/>
  </si>
  <si>
    <t>AP40-32GB</t>
    <phoneticPr fontId="3" type="noConversion"/>
  </si>
  <si>
    <t>어플전자</t>
    <phoneticPr fontId="3" type="noConversion"/>
  </si>
  <si>
    <t>32GB</t>
    <phoneticPr fontId="3" type="noConversion"/>
  </si>
  <si>
    <t>FHD</t>
    <phoneticPr fontId="3" type="noConversion"/>
  </si>
  <si>
    <t>APad-1104</t>
    <phoneticPr fontId="3" type="noConversion"/>
  </si>
  <si>
    <t>태블릿</t>
    <phoneticPr fontId="3" type="noConversion"/>
  </si>
  <si>
    <t>128GB</t>
    <phoneticPr fontId="3" type="noConversion"/>
  </si>
  <si>
    <t>GTab-S404</t>
    <phoneticPr fontId="3" type="noConversion"/>
  </si>
  <si>
    <t>ABuk-15IN</t>
    <phoneticPr fontId="3" type="noConversion"/>
  </si>
  <si>
    <t>노트북</t>
    <phoneticPr fontId="3" type="noConversion"/>
  </si>
  <si>
    <t>LED</t>
    <phoneticPr fontId="3" type="noConversion"/>
  </si>
  <si>
    <t>LW37-32GB</t>
    <phoneticPr fontId="3" type="noConversion"/>
  </si>
  <si>
    <t>엘리전자</t>
    <phoneticPr fontId="3" type="noConversion"/>
  </si>
  <si>
    <t>GBuk-13IN</t>
    <phoneticPr fontId="3" type="noConversion"/>
  </si>
  <si>
    <t>8GB</t>
    <phoneticPr fontId="3" type="noConversion"/>
  </si>
  <si>
    <t>LBuk-17IR</t>
    <phoneticPr fontId="3" type="noConversion"/>
  </si>
  <si>
    <t>샤우미</t>
    <phoneticPr fontId="3" type="noConversion"/>
  </si>
  <si>
    <t>UHD</t>
    <phoneticPr fontId="3" type="noConversion"/>
  </si>
  <si>
    <t>APad-0704</t>
    <phoneticPr fontId="3" type="noConversion"/>
  </si>
  <si>
    <t>ABuk-13IN</t>
    <phoneticPr fontId="3" type="noConversion"/>
  </si>
  <si>
    <t>SM32-04GB</t>
    <phoneticPr fontId="3" type="noConversion"/>
  </si>
  <si>
    <t>4GB</t>
    <phoneticPr fontId="3" type="noConversion"/>
  </si>
  <si>
    <t>Kram-17ZD</t>
    <phoneticPr fontId="3" type="noConversion"/>
  </si>
  <si>
    <t>Kram-13ZD</t>
    <phoneticPr fontId="3" type="noConversion"/>
  </si>
  <si>
    <t>AP44-16GB</t>
    <phoneticPr fontId="3" type="noConversion"/>
  </si>
  <si>
    <t>LW27-04GB</t>
    <phoneticPr fontId="3" type="noConversion"/>
  </si>
  <si>
    <t>OLED</t>
    <phoneticPr fontId="3" type="noConversion"/>
  </si>
  <si>
    <t>LBuk-15IM</t>
    <phoneticPr fontId="3" type="noConversion"/>
  </si>
  <si>
    <t>MPad-S032</t>
    <phoneticPr fontId="3" type="noConversion"/>
  </si>
  <si>
    <t>GBuk-15FL</t>
    <phoneticPr fontId="3" type="noConversion"/>
  </si>
  <si>
    <t>APad-1304</t>
    <phoneticPr fontId="3" type="noConversion"/>
  </si>
  <si>
    <t>256GB</t>
    <phoneticPr fontId="3" type="noConversion"/>
  </si>
  <si>
    <t>MPad-S016</t>
    <phoneticPr fontId="3" type="noConversion"/>
  </si>
  <si>
    <t>LPad-T645</t>
    <phoneticPr fontId="3" type="noConversion"/>
  </si>
  <si>
    <t>64GB</t>
    <phoneticPr fontId="3" type="noConversion"/>
  </si>
  <si>
    <t>ABuk-17IN</t>
    <phoneticPr fontId="3" type="noConversion"/>
  </si>
  <si>
    <t>LPad-T425</t>
    <phoneticPr fontId="3" type="noConversion"/>
  </si>
  <si>
    <t>LBuk-13IM</t>
    <phoneticPr fontId="3" type="noConversion"/>
  </si>
  <si>
    <t>2GB</t>
    <phoneticPr fontId="3" type="noConversion"/>
  </si>
  <si>
    <t>GTab-S804</t>
    <phoneticPr fontId="3" type="noConversion"/>
  </si>
  <si>
    <t>GW40-32GB</t>
    <phoneticPr fontId="3" type="noConversion"/>
  </si>
  <si>
    <t>LPad-T325</t>
    <phoneticPr fontId="3" type="noConversion"/>
  </si>
  <si>
    <t>SM16-01GB</t>
    <phoneticPr fontId="3" type="noConversion"/>
  </si>
  <si>
    <t>AP40-64GB</t>
    <phoneticPr fontId="3" type="noConversion"/>
  </si>
  <si>
    <t>LW17-08GB</t>
    <phoneticPr fontId="3" type="noConversion"/>
  </si>
  <si>
    <t>MPad-S064</t>
    <phoneticPr fontId="3" type="noConversion"/>
  </si>
  <si>
    <t>SM25-02GB</t>
    <phoneticPr fontId="3" type="noConversion"/>
  </si>
  <si>
    <t>GTab-S604</t>
    <phoneticPr fontId="3" type="noConversion"/>
  </si>
  <si>
    <t>Kram-15Z9</t>
    <phoneticPr fontId="3" type="noConversion"/>
  </si>
  <si>
    <t>GBuk-15IN</t>
    <phoneticPr fontId="3" type="noConversion"/>
  </si>
  <si>
    <t>GW44-64GB</t>
    <phoneticPr fontId="3" type="noConversion"/>
  </si>
  <si>
    <t>제품가격</t>
    <phoneticPr fontId="3" type="noConversion"/>
  </si>
  <si>
    <t>배송비용</t>
    <phoneticPr fontId="3" type="noConversion"/>
  </si>
  <si>
    <t>5G추천여부</t>
    <phoneticPr fontId="4" type="noConversion"/>
  </si>
  <si>
    <t>○</t>
    <phoneticPr fontId="4" type="noConversion"/>
  </si>
  <si>
    <t>[표1] 무게와 제품가격에 따른 배송비용</t>
    <phoneticPr fontId="4" type="noConversion"/>
  </si>
  <si>
    <t>[표2] 제조사별 판매량 그래프와 최대판매량 제품코드</t>
    <phoneticPr fontId="4" type="noConversion"/>
  </si>
  <si>
    <t>제조사</t>
    <phoneticPr fontId="4" type="noConversion"/>
  </si>
  <si>
    <t>판매량 그래프</t>
    <phoneticPr fontId="4" type="noConversion"/>
  </si>
  <si>
    <t>최대판매량 제품코드</t>
    <phoneticPr fontId="4" type="noConversion"/>
  </si>
  <si>
    <t>어플전자</t>
    <phoneticPr fontId="4" type="noConversion"/>
  </si>
  <si>
    <t>갤럭시전자</t>
    <phoneticPr fontId="4" type="noConversion"/>
  </si>
  <si>
    <t>엘리전자</t>
    <phoneticPr fontId="4" type="noConversion"/>
  </si>
  <si>
    <t>샤우미</t>
    <phoneticPr fontId="4" type="noConversion"/>
  </si>
  <si>
    <t>[표3] 구분/메모리 제품수량</t>
    <phoneticPr fontId="4" type="noConversion"/>
  </si>
  <si>
    <t>구분</t>
    <phoneticPr fontId="4" type="noConversion"/>
  </si>
  <si>
    <t>4GB</t>
    <phoneticPr fontId="4" type="noConversion"/>
  </si>
  <si>
    <t>8GB</t>
    <phoneticPr fontId="4" type="noConversion"/>
  </si>
  <si>
    <t>16GB</t>
    <phoneticPr fontId="4" type="noConversion"/>
  </si>
  <si>
    <t>32GB</t>
    <phoneticPr fontId="4" type="noConversion"/>
  </si>
  <si>
    <t>64GB</t>
    <phoneticPr fontId="4" type="noConversion"/>
  </si>
  <si>
    <t>워치</t>
    <phoneticPr fontId="4" type="noConversion"/>
  </si>
  <si>
    <t>태블릿</t>
    <phoneticPr fontId="4" type="noConversion"/>
  </si>
  <si>
    <t>노트북</t>
    <phoneticPr fontId="4" type="noConversion"/>
  </si>
  <si>
    <t xml:space="preserve">                   무게
  가격                </t>
    <phoneticPr fontId="4" type="noConversion"/>
  </si>
  <si>
    <t>순환출근</t>
    <phoneticPr fontId="4" type="noConversion"/>
  </si>
  <si>
    <t>재택근무</t>
    <phoneticPr fontId="4" type="noConversion"/>
  </si>
  <si>
    <t>사기업</t>
    <phoneticPr fontId="4" type="noConversion"/>
  </si>
  <si>
    <t>공기업</t>
    <phoneticPr fontId="4" type="noConversion"/>
  </si>
  <si>
    <t>국가기관</t>
    <phoneticPr fontId="4" type="noConversion"/>
  </si>
  <si>
    <t>개인사업자</t>
    <phoneticPr fontId="4" type="noConversion"/>
  </si>
  <si>
    <t>[표1]</t>
    <phoneticPr fontId="4" type="noConversion"/>
  </si>
  <si>
    <t>성명</t>
    <phoneticPr fontId="4" type="noConversion"/>
  </si>
  <si>
    <t>소속</t>
    <phoneticPr fontId="4" type="noConversion"/>
  </si>
  <si>
    <t>총근무시간</t>
    <phoneticPr fontId="4" type="noConversion"/>
  </si>
  <si>
    <t>근무형태</t>
    <phoneticPr fontId="4" type="noConversion"/>
  </si>
  <si>
    <t>한팽수</t>
    <phoneticPr fontId="4" type="noConversion"/>
  </si>
  <si>
    <t>순환출근제</t>
    <phoneticPr fontId="4" type="noConversion"/>
  </si>
  <si>
    <t>기능(5G)</t>
    <phoneticPr fontId="4" type="noConversion"/>
  </si>
  <si>
    <t>2월</t>
  </si>
  <si>
    <t>3월</t>
  </si>
  <si>
    <t>4월</t>
  </si>
  <si>
    <t>5월</t>
  </si>
  <si>
    <t>서울</t>
  </si>
  <si>
    <t>인천국제공항</t>
  </si>
  <si>
    <t>영등포</t>
  </si>
  <si>
    <t>광명</t>
  </si>
  <si>
    <t>평창</t>
  </si>
  <si>
    <t>천안아산</t>
  </si>
  <si>
    <t>대전</t>
  </si>
  <si>
    <t>동대구</t>
  </si>
  <si>
    <t>진영</t>
  </si>
  <si>
    <t>신경주</t>
  </si>
  <si>
    <t>밀양</t>
  </si>
  <si>
    <t>울산</t>
  </si>
  <si>
    <t>부산</t>
  </si>
  <si>
    <t>광주송정</t>
  </si>
  <si>
    <t>용산</t>
  </si>
  <si>
    <t>서대전</t>
  </si>
  <si>
    <t>목포</t>
  </si>
  <si>
    <t>전주</t>
  </si>
  <si>
    <t>남원</t>
  </si>
  <si>
    <t>[표1] 겔럭시전자 판매현황</t>
    <phoneticPr fontId="4" type="noConversion"/>
  </si>
  <si>
    <t>[표3] 기기종류별 합계</t>
    <phoneticPr fontId="4" type="noConversion"/>
  </si>
  <si>
    <t>제품코드</t>
    <phoneticPr fontId="3" type="noConversion"/>
  </si>
  <si>
    <t>기기종류</t>
    <phoneticPr fontId="3" type="noConversion"/>
  </si>
  <si>
    <t>메모리</t>
    <phoneticPr fontId="3" type="noConversion"/>
  </si>
  <si>
    <t>가격</t>
    <phoneticPr fontId="3" type="noConversion"/>
  </si>
  <si>
    <t>판매량</t>
    <phoneticPr fontId="3" type="noConversion"/>
  </si>
  <si>
    <t>매출액</t>
    <phoneticPr fontId="3" type="noConversion"/>
  </si>
  <si>
    <t>기기종류</t>
    <phoneticPr fontId="3" type="noConversion"/>
  </si>
  <si>
    <t>판매량</t>
    <phoneticPr fontId="4" type="noConversion"/>
  </si>
  <si>
    <t>매출액</t>
    <phoneticPr fontId="4" type="noConversion"/>
  </si>
  <si>
    <t>GBuk-13IN</t>
    <phoneticPr fontId="3" type="noConversion"/>
  </si>
  <si>
    <t>노트북</t>
    <phoneticPr fontId="3" type="noConversion"/>
  </si>
  <si>
    <t>8GB</t>
    <phoneticPr fontId="3" type="noConversion"/>
  </si>
  <si>
    <t>워치</t>
    <phoneticPr fontId="4" type="noConversion"/>
  </si>
  <si>
    <t>GBuk-15FL</t>
    <phoneticPr fontId="3" type="noConversion"/>
  </si>
  <si>
    <t>16GB</t>
    <phoneticPr fontId="3" type="noConversion"/>
  </si>
  <si>
    <t>태블릿</t>
    <phoneticPr fontId="4" type="noConversion"/>
  </si>
  <si>
    <t>GBuk-15IN</t>
    <phoneticPr fontId="3" type="noConversion"/>
  </si>
  <si>
    <t>노트북</t>
    <phoneticPr fontId="4" type="noConversion"/>
  </si>
  <si>
    <t>GW44-16GB</t>
    <phoneticPr fontId="3" type="noConversion"/>
  </si>
  <si>
    <t>워치</t>
    <phoneticPr fontId="3" type="noConversion"/>
  </si>
  <si>
    <t>GW40-32GB</t>
    <phoneticPr fontId="3" type="noConversion"/>
  </si>
  <si>
    <t>32GB</t>
    <phoneticPr fontId="3" type="noConversion"/>
  </si>
  <si>
    <t>GW44-64GB</t>
    <phoneticPr fontId="3" type="noConversion"/>
  </si>
  <si>
    <t>64GB</t>
    <phoneticPr fontId="3" type="noConversion"/>
  </si>
  <si>
    <t>GTab-S404</t>
    <phoneticPr fontId="3" type="noConversion"/>
  </si>
  <si>
    <t>태블릿</t>
    <phoneticPr fontId="3" type="noConversion"/>
  </si>
  <si>
    <t>128GB</t>
    <phoneticPr fontId="3" type="noConversion"/>
  </si>
  <si>
    <t>GTab-S804</t>
    <phoneticPr fontId="3" type="noConversion"/>
  </si>
  <si>
    <t>256GB</t>
    <phoneticPr fontId="3" type="noConversion"/>
  </si>
  <si>
    <t>GTab-S604</t>
    <phoneticPr fontId="3" type="noConversion"/>
  </si>
  <si>
    <t>[표2] 어플전자 판매현황</t>
    <phoneticPr fontId="4" type="noConversion"/>
  </si>
  <si>
    <t>제품코드</t>
    <phoneticPr fontId="3" type="noConversion"/>
  </si>
  <si>
    <t>ABuk-15IN</t>
    <phoneticPr fontId="3" type="noConversion"/>
  </si>
  <si>
    <t>ABuk-13IN</t>
    <phoneticPr fontId="3" type="noConversion"/>
  </si>
  <si>
    <t>ABuk-17IN</t>
    <phoneticPr fontId="3" type="noConversion"/>
  </si>
  <si>
    <t>AP40-32GB</t>
    <phoneticPr fontId="3" type="noConversion"/>
  </si>
  <si>
    <t>AP44-16GB</t>
    <phoneticPr fontId="3" type="noConversion"/>
  </si>
  <si>
    <t>AP40-64GB</t>
    <phoneticPr fontId="3" type="noConversion"/>
  </si>
  <si>
    <t>APad-1104</t>
    <phoneticPr fontId="3" type="noConversion"/>
  </si>
  <si>
    <t>APad-0704</t>
    <phoneticPr fontId="3" type="noConversion"/>
  </si>
  <si>
    <t>APad-1304</t>
    <phoneticPr fontId="3" type="noConversion"/>
  </si>
  <si>
    <t>[표1]</t>
    <phoneticPr fontId="3" type="noConversion"/>
  </si>
  <si>
    <t>대리점명</t>
    <phoneticPr fontId="4" type="noConversion"/>
  </si>
  <si>
    <t>1월</t>
    <phoneticPr fontId="4" type="noConversion"/>
  </si>
  <si>
    <t>충북오창</t>
    <phoneticPr fontId="3" type="noConversion"/>
  </si>
  <si>
    <t>구분별 근무 인원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</si>
</sst>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\ &quot;g&quot;"/>
    <numFmt numFmtId="177" formatCode="0_ "/>
    <numFmt numFmtId="178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vertical="center"/>
    </xf>
    <xf numFmtId="41" fontId="0" fillId="0" borderId="1" xfId="0" applyNumberForma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/>
    <xf numFmtId="41" fontId="0" fillId="0" borderId="1" xfId="1" applyFont="1" applyBorder="1" applyAlignment="1">
      <alignment horizontal="center" vertical="center"/>
    </xf>
    <xf numFmtId="0" fontId="0" fillId="0" borderId="0" xfId="0" applyAlignment="1"/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1" fontId="0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1" applyNumberFormat="1" applyFont="1" applyBorder="1" applyAlignment="1">
      <alignment horizontal="center" vertical="center"/>
    </xf>
    <xf numFmtId="178" fontId="0" fillId="0" borderId="1" xfId="1" applyNumberFormat="1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0" applyNumberFormat="1" applyBorder="1" applyAlignment="1"/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'기타작업-1'!$B$2</c:f>
              <c:strCache>
                <c:ptCount val="1"/>
                <c:pt idx="0">
                  <c:v>순환출근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'기타작업-1'!$B$3:$B$6</c:f>
              <c:numCache>
                <c:formatCode>General</c:formatCode>
                <c:ptCount val="4"/>
                <c:pt idx="0">
                  <c:v>351</c:v>
                </c:pt>
                <c:pt idx="1">
                  <c:v>280</c:v>
                </c:pt>
                <c:pt idx="2">
                  <c:v>53</c:v>
                </c:pt>
                <c:pt idx="3">
                  <c:v>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0-4F3A-A7BD-D1376C083452}"/>
            </c:ext>
          </c:extLst>
        </c:ser>
        <c:ser>
          <c:idx val="1"/>
          <c:order val="1"/>
          <c:tx>
            <c:strRef>
              <c:f>'기타작업-1'!$C$2</c:f>
              <c:strCache>
                <c:ptCount val="1"/>
                <c:pt idx="0">
                  <c:v>재택근무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'기타작업-1'!$A$3:$A$6</c:f>
              <c:strCache>
                <c:ptCount val="4"/>
                <c:pt idx="0">
                  <c:v>사기업</c:v>
                </c:pt>
                <c:pt idx="1">
                  <c:v>공기업</c:v>
                </c:pt>
                <c:pt idx="2">
                  <c:v>국가기관</c:v>
                </c:pt>
                <c:pt idx="3">
                  <c:v>개인사업자</c:v>
                </c:pt>
              </c:strCache>
            </c:strRef>
          </c:cat>
          <c:val>
            <c:numRef>
              <c:f>'기타작업-1'!$C$3:$C$6</c:f>
              <c:numCache>
                <c:formatCode>General</c:formatCode>
                <c:ptCount val="4"/>
                <c:pt idx="0">
                  <c:v>221</c:v>
                </c:pt>
                <c:pt idx="1">
                  <c:v>85</c:v>
                </c:pt>
                <c:pt idx="2">
                  <c:v>15</c:v>
                </c:pt>
                <c:pt idx="3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F0-4F3A-A7BD-D1376C083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9641951"/>
        <c:axId val="2129644031"/>
      </c:lineChart>
      <c:catAx>
        <c:axId val="212964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4031"/>
        <c:crosses val="autoZero"/>
        <c:auto val="1"/>
        <c:lblAlgn val="ctr"/>
        <c:lblOffset val="100"/>
        <c:noMultiLvlLbl val="0"/>
      </c:catAx>
      <c:valAx>
        <c:axId val="212964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9641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863600</xdr:colOff>
          <xdr:row>0</xdr:row>
          <xdr:rowOff>152400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7"/>
  <sheetViews>
    <sheetView tabSelected="1" workbookViewId="0"/>
  </sheetViews>
  <sheetFormatPr defaultRowHeight="17" x14ac:dyDescent="0.45"/>
  <cols>
    <col min="1" max="1" width="13" customWidth="1"/>
    <col min="2" max="2" width="9.83203125" customWidth="1"/>
    <col min="3" max="3" width="13.25" customWidth="1"/>
    <col min="4" max="4" width="8.6640625" customWidth="1"/>
    <col min="5" max="5" width="12.25" customWidth="1"/>
    <col min="6" max="6" width="8.75" customWidth="1"/>
    <col min="7" max="7" width="10.6640625" bestFit="1" customWidth="1"/>
    <col min="8" max="8" width="10.5" customWidth="1"/>
    <col min="9" max="9" width="11.6640625" bestFit="1" customWidth="1"/>
    <col min="10" max="10" width="10.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7"/>
  <sheetViews>
    <sheetView workbookViewId="0"/>
  </sheetViews>
  <sheetFormatPr defaultRowHeight="17" x14ac:dyDescent="0.45"/>
  <cols>
    <col min="1" max="1" width="13" customWidth="1"/>
    <col min="2" max="2" width="9.83203125" customWidth="1"/>
    <col min="3" max="3" width="13.25" customWidth="1"/>
    <col min="4" max="4" width="8.6640625" customWidth="1"/>
    <col min="5" max="5" width="12.25" customWidth="1"/>
    <col min="6" max="6" width="8.75" customWidth="1"/>
    <col min="7" max="7" width="10.6640625" bestFit="1" customWidth="1"/>
    <col min="8" max="8" width="10.5" customWidth="1"/>
    <col min="9" max="9" width="11.6640625" bestFit="1" customWidth="1"/>
    <col min="10" max="10" width="10.25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45">
      <c r="A2" s="2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3">
        <v>32</v>
      </c>
      <c r="G2" s="4">
        <v>290000</v>
      </c>
      <c r="H2" s="5">
        <v>154</v>
      </c>
      <c r="I2" s="6">
        <f t="shared" ref="I2:I37" si="0">G2*H2</f>
        <v>44660000</v>
      </c>
      <c r="J2" s="4">
        <v>2500</v>
      </c>
    </row>
    <row r="3" spans="1:10" x14ac:dyDescent="0.45">
      <c r="A3" s="2" t="s">
        <v>15</v>
      </c>
      <c r="B3" s="2" t="s">
        <v>11</v>
      </c>
      <c r="C3" s="2" t="s">
        <v>16</v>
      </c>
      <c r="D3" s="2" t="s">
        <v>17</v>
      </c>
      <c r="E3" s="2" t="s">
        <v>18</v>
      </c>
      <c r="F3" s="3">
        <v>50</v>
      </c>
      <c r="G3" s="4">
        <v>430000</v>
      </c>
      <c r="H3" s="5">
        <v>145</v>
      </c>
      <c r="I3" s="6">
        <f t="shared" si="0"/>
        <v>62350000</v>
      </c>
      <c r="J3" s="4">
        <v>2500</v>
      </c>
    </row>
    <row r="4" spans="1:10" x14ac:dyDescent="0.45">
      <c r="A4" s="2" t="s">
        <v>19</v>
      </c>
      <c r="B4" s="2" t="s">
        <v>20</v>
      </c>
      <c r="C4" s="2" t="s">
        <v>16</v>
      </c>
      <c r="D4" s="2" t="s">
        <v>21</v>
      </c>
      <c r="E4" s="2" t="s">
        <v>18</v>
      </c>
      <c r="F4" s="3">
        <v>460</v>
      </c>
      <c r="G4" s="4">
        <v>550000</v>
      </c>
      <c r="H4" s="5">
        <v>87</v>
      </c>
      <c r="I4" s="6">
        <f t="shared" si="0"/>
        <v>47850000</v>
      </c>
      <c r="J4" s="4">
        <v>3500</v>
      </c>
    </row>
    <row r="5" spans="1:10" x14ac:dyDescent="0.45">
      <c r="A5" s="2" t="s">
        <v>22</v>
      </c>
      <c r="B5" s="2" t="s">
        <v>20</v>
      </c>
      <c r="C5" s="2" t="s">
        <v>12</v>
      </c>
      <c r="D5" s="2" t="s">
        <v>21</v>
      </c>
      <c r="E5" s="2" t="s">
        <v>14</v>
      </c>
      <c r="F5" s="3">
        <v>420</v>
      </c>
      <c r="G5" s="4">
        <v>470000</v>
      </c>
      <c r="H5" s="5">
        <v>141</v>
      </c>
      <c r="I5" s="6">
        <f t="shared" si="0"/>
        <v>66270000</v>
      </c>
      <c r="J5" s="4">
        <v>3500</v>
      </c>
    </row>
    <row r="6" spans="1:10" x14ac:dyDescent="0.45">
      <c r="A6" s="2" t="s">
        <v>23</v>
      </c>
      <c r="B6" s="2" t="s">
        <v>24</v>
      </c>
      <c r="C6" s="2" t="s">
        <v>16</v>
      </c>
      <c r="D6" s="2" t="s">
        <v>17</v>
      </c>
      <c r="E6" s="2" t="s">
        <v>25</v>
      </c>
      <c r="F6" s="3">
        <v>1370</v>
      </c>
      <c r="G6" s="4">
        <v>1950000</v>
      </c>
      <c r="H6" s="5">
        <v>28</v>
      </c>
      <c r="I6" s="6">
        <f t="shared" si="0"/>
        <v>54600000</v>
      </c>
      <c r="J6" s="4">
        <v>4500</v>
      </c>
    </row>
    <row r="7" spans="1:10" x14ac:dyDescent="0.45">
      <c r="A7" s="2" t="s">
        <v>26</v>
      </c>
      <c r="B7" s="2" t="s">
        <v>11</v>
      </c>
      <c r="C7" s="2" t="s">
        <v>27</v>
      </c>
      <c r="D7" s="2" t="s">
        <v>13</v>
      </c>
      <c r="E7" s="2" t="s">
        <v>18</v>
      </c>
      <c r="F7" s="3">
        <v>55</v>
      </c>
      <c r="G7" s="4">
        <v>450000</v>
      </c>
      <c r="H7" s="5">
        <v>98</v>
      </c>
      <c r="I7" s="6">
        <f t="shared" si="0"/>
        <v>44100000</v>
      </c>
      <c r="J7" s="4">
        <v>2500</v>
      </c>
    </row>
    <row r="8" spans="1:10" x14ac:dyDescent="0.45">
      <c r="A8" s="2" t="s">
        <v>28</v>
      </c>
      <c r="B8" s="2" t="s">
        <v>24</v>
      </c>
      <c r="C8" s="2" t="s">
        <v>12</v>
      </c>
      <c r="D8" s="2" t="s">
        <v>29</v>
      </c>
      <c r="E8" s="2" t="s">
        <v>25</v>
      </c>
      <c r="F8" s="3">
        <v>970</v>
      </c>
      <c r="G8" s="4">
        <v>1390000</v>
      </c>
      <c r="H8" s="5">
        <v>25</v>
      </c>
      <c r="I8" s="6">
        <f t="shared" si="0"/>
        <v>34750000</v>
      </c>
      <c r="J8" s="4">
        <v>4500</v>
      </c>
    </row>
    <row r="9" spans="1:10" x14ac:dyDescent="0.45">
      <c r="A9" s="2" t="s">
        <v>30</v>
      </c>
      <c r="B9" s="2" t="s">
        <v>24</v>
      </c>
      <c r="C9" s="2" t="s">
        <v>31</v>
      </c>
      <c r="D9" s="2" t="s">
        <v>13</v>
      </c>
      <c r="E9" s="2" t="s">
        <v>32</v>
      </c>
      <c r="F9" s="3">
        <v>2350</v>
      </c>
      <c r="G9" s="4">
        <v>2350000</v>
      </c>
      <c r="H9" s="5">
        <v>12</v>
      </c>
      <c r="I9" s="6">
        <f t="shared" si="0"/>
        <v>28200000</v>
      </c>
      <c r="J9" s="4">
        <v>4500</v>
      </c>
    </row>
    <row r="10" spans="1:10" x14ac:dyDescent="0.45">
      <c r="A10" s="2" t="s">
        <v>33</v>
      </c>
      <c r="B10" s="2" t="s">
        <v>20</v>
      </c>
      <c r="C10" s="2" t="s">
        <v>16</v>
      </c>
      <c r="D10" s="2" t="s">
        <v>21</v>
      </c>
      <c r="E10" s="2" t="s">
        <v>18</v>
      </c>
      <c r="F10" s="3">
        <v>523</v>
      </c>
      <c r="G10" s="4">
        <v>480000</v>
      </c>
      <c r="H10" s="5">
        <v>134</v>
      </c>
      <c r="I10" s="6">
        <f t="shared" si="0"/>
        <v>64320000</v>
      </c>
      <c r="J10" s="4">
        <v>3500</v>
      </c>
    </row>
    <row r="11" spans="1:10" x14ac:dyDescent="0.45">
      <c r="A11" s="2" t="s">
        <v>34</v>
      </c>
      <c r="B11" s="2" t="s">
        <v>24</v>
      </c>
      <c r="C11" s="2" t="s">
        <v>16</v>
      </c>
      <c r="D11" s="2" t="s">
        <v>13</v>
      </c>
      <c r="E11" s="2" t="s">
        <v>18</v>
      </c>
      <c r="F11" s="3">
        <v>1250</v>
      </c>
      <c r="G11" s="4">
        <v>1250000</v>
      </c>
      <c r="H11" s="5">
        <v>52</v>
      </c>
      <c r="I11" s="6">
        <f t="shared" si="0"/>
        <v>65000000</v>
      </c>
      <c r="J11" s="4">
        <v>4500</v>
      </c>
    </row>
    <row r="12" spans="1:10" x14ac:dyDescent="0.45">
      <c r="A12" s="2" t="s">
        <v>35</v>
      </c>
      <c r="B12" s="2" t="s">
        <v>11</v>
      </c>
      <c r="C12" s="2" t="s">
        <v>31</v>
      </c>
      <c r="D12" s="2" t="s">
        <v>36</v>
      </c>
      <c r="E12" s="2" t="s">
        <v>18</v>
      </c>
      <c r="F12" s="3">
        <v>48</v>
      </c>
      <c r="G12" s="4">
        <v>130000</v>
      </c>
      <c r="H12" s="5">
        <v>356</v>
      </c>
      <c r="I12" s="6">
        <f t="shared" si="0"/>
        <v>46280000</v>
      </c>
      <c r="J12" s="4">
        <v>3500</v>
      </c>
    </row>
    <row r="13" spans="1:10" x14ac:dyDescent="0.45">
      <c r="A13" s="2" t="s">
        <v>37</v>
      </c>
      <c r="B13" s="2" t="s">
        <v>24</v>
      </c>
      <c r="C13" s="2" t="s">
        <v>27</v>
      </c>
      <c r="D13" s="2" t="s">
        <v>13</v>
      </c>
      <c r="E13" s="2" t="s">
        <v>18</v>
      </c>
      <c r="F13" s="3">
        <v>1350</v>
      </c>
      <c r="G13" s="4">
        <v>2250000</v>
      </c>
      <c r="H13" s="5">
        <v>35</v>
      </c>
      <c r="I13" s="6">
        <f t="shared" si="0"/>
        <v>78750000</v>
      </c>
      <c r="J13" s="4">
        <v>4500</v>
      </c>
    </row>
    <row r="14" spans="1:10" x14ac:dyDescent="0.45">
      <c r="A14" s="2" t="s">
        <v>38</v>
      </c>
      <c r="B14" s="2" t="s">
        <v>24</v>
      </c>
      <c r="C14" s="2" t="s">
        <v>27</v>
      </c>
      <c r="D14" s="2" t="s">
        <v>29</v>
      </c>
      <c r="E14" s="2" t="s">
        <v>25</v>
      </c>
      <c r="F14" s="3">
        <v>965</v>
      </c>
      <c r="G14" s="4">
        <v>960000</v>
      </c>
      <c r="H14" s="5">
        <v>100</v>
      </c>
      <c r="I14" s="6">
        <f t="shared" si="0"/>
        <v>96000000</v>
      </c>
      <c r="J14" s="4">
        <v>4500</v>
      </c>
    </row>
    <row r="15" spans="1:10" x14ac:dyDescent="0.45">
      <c r="A15" s="2" t="s">
        <v>39</v>
      </c>
      <c r="B15" s="2" t="s">
        <v>11</v>
      </c>
      <c r="C15" s="2" t="s">
        <v>16</v>
      </c>
      <c r="D15" s="2" t="s">
        <v>13</v>
      </c>
      <c r="E15" s="2" t="s">
        <v>14</v>
      </c>
      <c r="F15" s="3">
        <v>48</v>
      </c>
      <c r="G15" s="4">
        <v>380000</v>
      </c>
      <c r="H15" s="5">
        <v>152</v>
      </c>
      <c r="I15" s="6">
        <f t="shared" si="0"/>
        <v>57760000</v>
      </c>
      <c r="J15" s="4">
        <v>2500</v>
      </c>
    </row>
    <row r="16" spans="1:10" x14ac:dyDescent="0.45">
      <c r="A16" s="2" t="s">
        <v>40</v>
      </c>
      <c r="B16" s="2" t="s">
        <v>11</v>
      </c>
      <c r="C16" s="2" t="s">
        <v>27</v>
      </c>
      <c r="D16" s="2" t="s">
        <v>36</v>
      </c>
      <c r="E16" s="2" t="s">
        <v>41</v>
      </c>
      <c r="F16" s="3">
        <v>46</v>
      </c>
      <c r="G16" s="4">
        <v>439000</v>
      </c>
      <c r="H16" s="5">
        <v>135</v>
      </c>
      <c r="I16" s="6">
        <f t="shared" si="0"/>
        <v>59265000</v>
      </c>
      <c r="J16" s="4">
        <v>2500</v>
      </c>
    </row>
    <row r="17" spans="1:10" x14ac:dyDescent="0.45">
      <c r="A17" s="2" t="s">
        <v>42</v>
      </c>
      <c r="B17" s="2" t="s">
        <v>24</v>
      </c>
      <c r="C17" s="2" t="s">
        <v>31</v>
      </c>
      <c r="D17" s="2" t="s">
        <v>29</v>
      </c>
      <c r="E17" s="2" t="s">
        <v>18</v>
      </c>
      <c r="F17" s="3">
        <v>1600</v>
      </c>
      <c r="G17" s="4">
        <v>1650000</v>
      </c>
      <c r="H17" s="5">
        <v>36</v>
      </c>
      <c r="I17" s="6">
        <f t="shared" si="0"/>
        <v>59400000</v>
      </c>
      <c r="J17" s="4">
        <v>4500</v>
      </c>
    </row>
    <row r="18" spans="1:10" x14ac:dyDescent="0.45">
      <c r="A18" s="2" t="s">
        <v>43</v>
      </c>
      <c r="B18" s="2" t="s">
        <v>20</v>
      </c>
      <c r="C18" s="2" t="s">
        <v>31</v>
      </c>
      <c r="D18" s="2" t="s">
        <v>17</v>
      </c>
      <c r="E18" s="2" t="s">
        <v>25</v>
      </c>
      <c r="F18" s="3">
        <v>280</v>
      </c>
      <c r="G18" s="4">
        <v>225000</v>
      </c>
      <c r="H18" s="5">
        <v>98</v>
      </c>
      <c r="I18" s="6">
        <f t="shared" si="0"/>
        <v>22050000</v>
      </c>
      <c r="J18" s="4">
        <v>2500</v>
      </c>
    </row>
    <row r="19" spans="1:10" x14ac:dyDescent="0.45">
      <c r="A19" s="2" t="s">
        <v>44</v>
      </c>
      <c r="B19" s="2" t="s">
        <v>24</v>
      </c>
      <c r="C19" s="2" t="s">
        <v>12</v>
      </c>
      <c r="D19" s="2" t="s">
        <v>13</v>
      </c>
      <c r="E19" s="2" t="s">
        <v>32</v>
      </c>
      <c r="F19" s="3">
        <v>1570</v>
      </c>
      <c r="G19" s="4">
        <v>2350000</v>
      </c>
      <c r="H19" s="5">
        <v>32</v>
      </c>
      <c r="I19" s="6">
        <f t="shared" si="0"/>
        <v>75200000</v>
      </c>
      <c r="J19" s="4">
        <v>4500</v>
      </c>
    </row>
    <row r="20" spans="1:10" x14ac:dyDescent="0.45">
      <c r="A20" s="2" t="s">
        <v>45</v>
      </c>
      <c r="B20" s="2" t="s">
        <v>20</v>
      </c>
      <c r="C20" s="2" t="s">
        <v>16</v>
      </c>
      <c r="D20" s="2" t="s">
        <v>46</v>
      </c>
      <c r="E20" s="2" t="s">
        <v>41</v>
      </c>
      <c r="F20" s="3">
        <v>480</v>
      </c>
      <c r="G20" s="4">
        <v>610000</v>
      </c>
      <c r="H20" s="5">
        <v>102</v>
      </c>
      <c r="I20" s="6">
        <f t="shared" si="0"/>
        <v>62220000</v>
      </c>
      <c r="J20" s="4">
        <v>3500</v>
      </c>
    </row>
    <row r="21" spans="1:10" x14ac:dyDescent="0.45">
      <c r="A21" s="2" t="s">
        <v>47</v>
      </c>
      <c r="B21" s="2" t="s">
        <v>20</v>
      </c>
      <c r="C21" s="2" t="s">
        <v>31</v>
      </c>
      <c r="D21" s="2" t="s">
        <v>13</v>
      </c>
      <c r="E21" s="2" t="s">
        <v>18</v>
      </c>
      <c r="F21" s="3">
        <v>330</v>
      </c>
      <c r="G21" s="4">
        <v>195000</v>
      </c>
      <c r="H21" s="5">
        <v>137</v>
      </c>
      <c r="I21" s="6">
        <f t="shared" si="0"/>
        <v>26715000</v>
      </c>
      <c r="J21" s="4">
        <v>2500</v>
      </c>
    </row>
    <row r="22" spans="1:10" x14ac:dyDescent="0.45">
      <c r="A22" s="2" t="s">
        <v>48</v>
      </c>
      <c r="B22" s="2" t="s">
        <v>20</v>
      </c>
      <c r="C22" s="2" t="s">
        <v>27</v>
      </c>
      <c r="D22" s="2" t="s">
        <v>49</v>
      </c>
      <c r="E22" s="2" t="s">
        <v>41</v>
      </c>
      <c r="F22" s="3">
        <v>498</v>
      </c>
      <c r="G22" s="4">
        <v>380000</v>
      </c>
      <c r="H22" s="5">
        <v>236</v>
      </c>
      <c r="I22" s="6">
        <f t="shared" si="0"/>
        <v>89680000</v>
      </c>
      <c r="J22" s="4">
        <v>3500</v>
      </c>
    </row>
    <row r="23" spans="1:10" x14ac:dyDescent="0.45">
      <c r="A23" s="2" t="s">
        <v>50</v>
      </c>
      <c r="B23" s="2" t="s">
        <v>24</v>
      </c>
      <c r="C23" s="2" t="s">
        <v>16</v>
      </c>
      <c r="D23" s="2" t="s">
        <v>17</v>
      </c>
      <c r="E23" s="2" t="s">
        <v>32</v>
      </c>
      <c r="F23" s="3">
        <v>1320</v>
      </c>
      <c r="G23" s="4">
        <v>2450000</v>
      </c>
      <c r="H23" s="5">
        <v>15</v>
      </c>
      <c r="I23" s="6">
        <f t="shared" si="0"/>
        <v>36750000</v>
      </c>
      <c r="J23" s="4">
        <v>4500</v>
      </c>
    </row>
    <row r="24" spans="1:10" x14ac:dyDescent="0.45">
      <c r="A24" s="2" t="s">
        <v>51</v>
      </c>
      <c r="B24" s="2" t="s">
        <v>20</v>
      </c>
      <c r="C24" s="2" t="s">
        <v>27</v>
      </c>
      <c r="D24" s="2" t="s">
        <v>13</v>
      </c>
      <c r="E24" s="2" t="s">
        <v>25</v>
      </c>
      <c r="F24" s="3">
        <v>448</v>
      </c>
      <c r="G24" s="4">
        <v>185000</v>
      </c>
      <c r="H24" s="5">
        <v>102</v>
      </c>
      <c r="I24" s="6">
        <f t="shared" si="0"/>
        <v>18870000</v>
      </c>
      <c r="J24" s="4">
        <v>3500</v>
      </c>
    </row>
    <row r="25" spans="1:10" x14ac:dyDescent="0.45">
      <c r="A25" s="2" t="s">
        <v>52</v>
      </c>
      <c r="B25" s="2" t="s">
        <v>24</v>
      </c>
      <c r="C25" s="2" t="s">
        <v>31</v>
      </c>
      <c r="D25" s="2" t="s">
        <v>53</v>
      </c>
      <c r="E25" s="2" t="s">
        <v>25</v>
      </c>
      <c r="F25" s="3">
        <v>1100</v>
      </c>
      <c r="G25" s="4">
        <v>1050000</v>
      </c>
      <c r="H25" s="5">
        <v>28</v>
      </c>
      <c r="I25" s="6">
        <f t="shared" si="0"/>
        <v>29400000</v>
      </c>
      <c r="J25" s="4">
        <v>4500</v>
      </c>
    </row>
    <row r="26" spans="1:10" x14ac:dyDescent="0.45">
      <c r="A26" s="2" t="s">
        <v>54</v>
      </c>
      <c r="B26" s="2" t="s">
        <v>20</v>
      </c>
      <c r="C26" s="2" t="s">
        <v>12</v>
      </c>
      <c r="D26" s="2" t="s">
        <v>46</v>
      </c>
      <c r="E26" s="2" t="s">
        <v>41</v>
      </c>
      <c r="F26" s="3">
        <v>490</v>
      </c>
      <c r="G26" s="4">
        <v>570000</v>
      </c>
      <c r="H26" s="5">
        <v>118</v>
      </c>
      <c r="I26" s="6">
        <f t="shared" si="0"/>
        <v>67260000</v>
      </c>
      <c r="J26" s="4">
        <v>3500</v>
      </c>
    </row>
    <row r="27" spans="1:10" x14ac:dyDescent="0.45">
      <c r="A27" s="2" t="s">
        <v>55</v>
      </c>
      <c r="B27" s="2" t="s">
        <v>11</v>
      </c>
      <c r="C27" s="2" t="s">
        <v>12</v>
      </c>
      <c r="D27" s="2" t="s">
        <v>17</v>
      </c>
      <c r="E27" s="2" t="s">
        <v>18</v>
      </c>
      <c r="F27" s="3">
        <v>48</v>
      </c>
      <c r="G27" s="4">
        <v>350000</v>
      </c>
      <c r="H27" s="5">
        <v>242</v>
      </c>
      <c r="I27" s="6">
        <f t="shared" si="0"/>
        <v>84700000</v>
      </c>
      <c r="J27" s="4">
        <v>2500</v>
      </c>
    </row>
    <row r="28" spans="1:10" x14ac:dyDescent="0.45">
      <c r="A28" s="2" t="s">
        <v>56</v>
      </c>
      <c r="B28" s="2" t="s">
        <v>20</v>
      </c>
      <c r="C28" s="2" t="s">
        <v>27</v>
      </c>
      <c r="D28" s="2" t="s">
        <v>17</v>
      </c>
      <c r="E28" s="2" t="s">
        <v>18</v>
      </c>
      <c r="F28" s="3">
        <v>533</v>
      </c>
      <c r="G28" s="4">
        <v>218000</v>
      </c>
      <c r="H28" s="5">
        <v>187</v>
      </c>
      <c r="I28" s="6">
        <f t="shared" si="0"/>
        <v>40766000</v>
      </c>
      <c r="J28" s="4">
        <v>3500</v>
      </c>
    </row>
    <row r="29" spans="1:10" x14ac:dyDescent="0.45">
      <c r="A29" s="2" t="s">
        <v>57</v>
      </c>
      <c r="B29" s="2" t="s">
        <v>11</v>
      </c>
      <c r="C29" s="2" t="s">
        <v>31</v>
      </c>
      <c r="D29" s="2" t="s">
        <v>53</v>
      </c>
      <c r="E29" s="2" t="s">
        <v>14</v>
      </c>
      <c r="F29" s="3">
        <v>35</v>
      </c>
      <c r="G29" s="4">
        <v>35000</v>
      </c>
      <c r="H29" s="5">
        <v>860</v>
      </c>
      <c r="I29" s="6">
        <f t="shared" si="0"/>
        <v>30100000</v>
      </c>
      <c r="J29" s="4">
        <v>3500</v>
      </c>
    </row>
    <row r="30" spans="1:10" x14ac:dyDescent="0.45">
      <c r="A30" s="2" t="s">
        <v>58</v>
      </c>
      <c r="B30" s="2" t="s">
        <v>11</v>
      </c>
      <c r="C30" s="2" t="s">
        <v>16</v>
      </c>
      <c r="D30" s="2" t="s">
        <v>49</v>
      </c>
      <c r="E30" s="2" t="s">
        <v>41</v>
      </c>
      <c r="F30" s="3">
        <v>54</v>
      </c>
      <c r="G30" s="4">
        <v>490000</v>
      </c>
      <c r="H30" s="5">
        <v>89</v>
      </c>
      <c r="I30" s="6">
        <f t="shared" si="0"/>
        <v>43610000</v>
      </c>
      <c r="J30" s="4">
        <v>2500</v>
      </c>
    </row>
    <row r="31" spans="1:10" x14ac:dyDescent="0.45">
      <c r="A31" s="2" t="s">
        <v>59</v>
      </c>
      <c r="B31" s="2" t="s">
        <v>11</v>
      </c>
      <c r="C31" s="2" t="s">
        <v>27</v>
      </c>
      <c r="D31" s="2" t="s">
        <v>29</v>
      </c>
      <c r="E31" s="2" t="s">
        <v>14</v>
      </c>
      <c r="F31" s="3">
        <v>79</v>
      </c>
      <c r="G31" s="4">
        <v>320000</v>
      </c>
      <c r="H31" s="5">
        <v>104</v>
      </c>
      <c r="I31" s="6">
        <f t="shared" si="0"/>
        <v>33280000</v>
      </c>
      <c r="J31" s="4">
        <v>2500</v>
      </c>
    </row>
    <row r="32" spans="1:10" x14ac:dyDescent="0.45">
      <c r="A32" s="2" t="s">
        <v>60</v>
      </c>
      <c r="B32" s="2" t="s">
        <v>20</v>
      </c>
      <c r="C32" s="2" t="s">
        <v>31</v>
      </c>
      <c r="D32" s="2" t="s">
        <v>49</v>
      </c>
      <c r="E32" s="2" t="s">
        <v>25</v>
      </c>
      <c r="F32" s="3">
        <v>342</v>
      </c>
      <c r="G32" s="4">
        <v>289000</v>
      </c>
      <c r="H32" s="5">
        <v>102</v>
      </c>
      <c r="I32" s="6">
        <f t="shared" si="0"/>
        <v>29478000</v>
      </c>
      <c r="J32" s="4">
        <v>2500</v>
      </c>
    </row>
    <row r="33" spans="1:10" x14ac:dyDescent="0.45">
      <c r="A33" s="2" t="s">
        <v>61</v>
      </c>
      <c r="B33" s="2" t="s">
        <v>11</v>
      </c>
      <c r="C33" s="2" t="s">
        <v>31</v>
      </c>
      <c r="D33" s="2" t="s">
        <v>53</v>
      </c>
      <c r="E33" s="2" t="s">
        <v>14</v>
      </c>
      <c r="F33" s="3">
        <v>40</v>
      </c>
      <c r="G33" s="4">
        <v>85000</v>
      </c>
      <c r="H33" s="5">
        <v>540</v>
      </c>
      <c r="I33" s="6">
        <f t="shared" si="0"/>
        <v>45900000</v>
      </c>
      <c r="J33" s="4">
        <v>3500</v>
      </c>
    </row>
    <row r="34" spans="1:10" x14ac:dyDescent="0.45">
      <c r="A34" s="2" t="s">
        <v>62</v>
      </c>
      <c r="B34" s="2" t="s">
        <v>20</v>
      </c>
      <c r="C34" s="2" t="s">
        <v>12</v>
      </c>
      <c r="D34" s="2" t="s">
        <v>46</v>
      </c>
      <c r="E34" s="2" t="s">
        <v>18</v>
      </c>
      <c r="F34" s="3">
        <v>395</v>
      </c>
      <c r="G34" s="4">
        <v>550000</v>
      </c>
      <c r="H34" s="5">
        <v>132</v>
      </c>
      <c r="I34" s="6">
        <f t="shared" si="0"/>
        <v>72600000</v>
      </c>
      <c r="J34" s="4">
        <v>3500</v>
      </c>
    </row>
    <row r="35" spans="1:10" x14ac:dyDescent="0.45">
      <c r="A35" s="2" t="s">
        <v>63</v>
      </c>
      <c r="B35" s="2" t="s">
        <v>24</v>
      </c>
      <c r="C35" s="2" t="s">
        <v>27</v>
      </c>
      <c r="D35" s="2" t="s">
        <v>13</v>
      </c>
      <c r="E35" s="2" t="s">
        <v>32</v>
      </c>
      <c r="F35" s="3">
        <v>1090</v>
      </c>
      <c r="G35" s="4">
        <v>1450000</v>
      </c>
      <c r="H35" s="5">
        <v>68</v>
      </c>
      <c r="I35" s="6">
        <f t="shared" si="0"/>
        <v>98600000</v>
      </c>
      <c r="J35" s="4">
        <v>4500</v>
      </c>
    </row>
    <row r="36" spans="1:10" x14ac:dyDescent="0.45">
      <c r="A36" s="2" t="s">
        <v>64</v>
      </c>
      <c r="B36" s="2" t="s">
        <v>24</v>
      </c>
      <c r="C36" s="2" t="s">
        <v>12</v>
      </c>
      <c r="D36" s="2" t="s">
        <v>13</v>
      </c>
      <c r="E36" s="2" t="s">
        <v>18</v>
      </c>
      <c r="F36" s="3">
        <v>1260</v>
      </c>
      <c r="G36" s="4">
        <v>2100000</v>
      </c>
      <c r="H36" s="5">
        <v>28</v>
      </c>
      <c r="I36" s="6">
        <f t="shared" si="0"/>
        <v>58800000</v>
      </c>
      <c r="J36" s="4">
        <v>4500</v>
      </c>
    </row>
    <row r="37" spans="1:10" x14ac:dyDescent="0.45">
      <c r="A37" s="2" t="s">
        <v>65</v>
      </c>
      <c r="B37" s="2" t="s">
        <v>11</v>
      </c>
      <c r="C37" s="2" t="s">
        <v>12</v>
      </c>
      <c r="D37" s="2" t="s">
        <v>49</v>
      </c>
      <c r="E37" s="2" t="s">
        <v>41</v>
      </c>
      <c r="F37" s="3">
        <v>53</v>
      </c>
      <c r="G37" s="4">
        <v>410000</v>
      </c>
      <c r="H37" s="5">
        <v>98</v>
      </c>
      <c r="I37" s="6">
        <f t="shared" si="0"/>
        <v>40180000</v>
      </c>
      <c r="J37" s="4">
        <v>2500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8"/>
  <sheetViews>
    <sheetView workbookViewId="0"/>
  </sheetViews>
  <sheetFormatPr defaultColWidth="8.6640625" defaultRowHeight="17" x14ac:dyDescent="0.45"/>
  <cols>
    <col min="1" max="1" width="12.1640625" style="14" customWidth="1"/>
    <col min="2" max="2" width="11.75" style="14" customWidth="1"/>
    <col min="3" max="3" width="10.33203125" style="14" bestFit="1" customWidth="1"/>
    <col min="4" max="5" width="8.6640625" style="14"/>
    <col min="6" max="6" width="11.5" style="14" customWidth="1"/>
    <col min="7" max="8" width="8.6640625" style="14"/>
    <col min="9" max="10" width="13.83203125" style="14" customWidth="1"/>
    <col min="11" max="11" width="18.83203125" style="14" customWidth="1"/>
    <col min="12" max="16384" width="8.6640625" style="14"/>
  </cols>
  <sheetData>
    <row r="1" spans="1:11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5</v>
      </c>
      <c r="F1" s="1" t="s">
        <v>66</v>
      </c>
      <c r="G1" s="1" t="s">
        <v>103</v>
      </c>
      <c r="H1" s="1" t="s">
        <v>7</v>
      </c>
      <c r="I1" s="1" t="s">
        <v>8</v>
      </c>
      <c r="J1" s="7" t="s">
        <v>67</v>
      </c>
      <c r="K1" s="7" t="s">
        <v>68</v>
      </c>
    </row>
    <row r="2" spans="1:11" x14ac:dyDescent="0.45">
      <c r="A2" s="2" t="s">
        <v>10</v>
      </c>
      <c r="B2" s="2" t="s">
        <v>11</v>
      </c>
      <c r="C2" s="2" t="s">
        <v>12</v>
      </c>
      <c r="D2" s="2" t="s">
        <v>13</v>
      </c>
      <c r="E2" s="3">
        <v>32</v>
      </c>
      <c r="F2" s="15">
        <v>290000</v>
      </c>
      <c r="G2" s="15"/>
      <c r="H2" s="15">
        <v>77</v>
      </c>
      <c r="I2" s="6">
        <f t="shared" ref="I2:I33" si="0">F2*H2</f>
        <v>22330000</v>
      </c>
      <c r="J2" s="15"/>
      <c r="K2" s="2"/>
    </row>
    <row r="3" spans="1:11" x14ac:dyDescent="0.45">
      <c r="A3" s="2" t="s">
        <v>15</v>
      </c>
      <c r="B3" s="2" t="s">
        <v>11</v>
      </c>
      <c r="C3" s="2" t="s">
        <v>16</v>
      </c>
      <c r="D3" s="2" t="s">
        <v>13</v>
      </c>
      <c r="E3" s="3">
        <v>50</v>
      </c>
      <c r="F3" s="15">
        <v>430000</v>
      </c>
      <c r="G3" s="9" t="s">
        <v>69</v>
      </c>
      <c r="H3" s="15">
        <v>72.5</v>
      </c>
      <c r="I3" s="6">
        <f t="shared" si="0"/>
        <v>31175000</v>
      </c>
      <c r="J3" s="15"/>
      <c r="K3" s="2"/>
    </row>
    <row r="4" spans="1:11" x14ac:dyDescent="0.45">
      <c r="A4" s="2" t="s">
        <v>19</v>
      </c>
      <c r="B4" s="2" t="s">
        <v>20</v>
      </c>
      <c r="C4" s="2" t="s">
        <v>16</v>
      </c>
      <c r="D4" s="2" t="s">
        <v>17</v>
      </c>
      <c r="E4" s="3">
        <v>460</v>
      </c>
      <c r="F4" s="15">
        <v>550000</v>
      </c>
      <c r="G4" s="15"/>
      <c r="H4" s="15">
        <v>43.5</v>
      </c>
      <c r="I4" s="6">
        <f t="shared" si="0"/>
        <v>23925000</v>
      </c>
      <c r="J4" s="15"/>
      <c r="K4" s="2"/>
    </row>
    <row r="5" spans="1:11" x14ac:dyDescent="0.45">
      <c r="A5" s="2" t="s">
        <v>22</v>
      </c>
      <c r="B5" s="2" t="s">
        <v>20</v>
      </c>
      <c r="C5" s="2" t="s">
        <v>12</v>
      </c>
      <c r="D5" s="2" t="s">
        <v>17</v>
      </c>
      <c r="E5" s="3">
        <v>420</v>
      </c>
      <c r="F5" s="15">
        <v>470000</v>
      </c>
      <c r="G5" s="9" t="s">
        <v>69</v>
      </c>
      <c r="H5" s="15">
        <v>70.5</v>
      </c>
      <c r="I5" s="6">
        <f t="shared" si="0"/>
        <v>33135000</v>
      </c>
      <c r="J5" s="15"/>
      <c r="K5" s="2"/>
    </row>
    <row r="6" spans="1:11" x14ac:dyDescent="0.45">
      <c r="A6" s="2" t="s">
        <v>26</v>
      </c>
      <c r="B6" s="2" t="s">
        <v>11</v>
      </c>
      <c r="C6" s="2" t="s">
        <v>27</v>
      </c>
      <c r="D6" s="2" t="s">
        <v>13</v>
      </c>
      <c r="E6" s="3">
        <v>55</v>
      </c>
      <c r="F6" s="15">
        <v>450000</v>
      </c>
      <c r="G6" s="9" t="s">
        <v>69</v>
      </c>
      <c r="H6" s="15">
        <v>49</v>
      </c>
      <c r="I6" s="6">
        <f t="shared" si="0"/>
        <v>22050000</v>
      </c>
      <c r="J6" s="15"/>
      <c r="K6" s="2"/>
    </row>
    <row r="7" spans="1:11" x14ac:dyDescent="0.45">
      <c r="A7" s="2" t="s">
        <v>28</v>
      </c>
      <c r="B7" s="2" t="s">
        <v>24</v>
      </c>
      <c r="C7" s="2" t="s">
        <v>12</v>
      </c>
      <c r="D7" s="2" t="s">
        <v>29</v>
      </c>
      <c r="E7" s="3">
        <v>970</v>
      </c>
      <c r="F7" s="15">
        <v>1390000</v>
      </c>
      <c r="G7" s="15"/>
      <c r="H7" s="15">
        <v>12.5</v>
      </c>
      <c r="I7" s="6">
        <f t="shared" si="0"/>
        <v>17375000</v>
      </c>
      <c r="J7" s="15"/>
      <c r="K7" s="2"/>
    </row>
    <row r="8" spans="1:11" x14ac:dyDescent="0.45">
      <c r="A8" s="2" t="s">
        <v>30</v>
      </c>
      <c r="B8" s="2" t="s">
        <v>24</v>
      </c>
      <c r="C8" s="2" t="s">
        <v>31</v>
      </c>
      <c r="D8" s="2" t="s">
        <v>13</v>
      </c>
      <c r="E8" s="3">
        <v>2350</v>
      </c>
      <c r="F8" s="15">
        <v>2350000</v>
      </c>
      <c r="G8" s="15"/>
      <c r="H8" s="15">
        <v>6</v>
      </c>
      <c r="I8" s="6">
        <f t="shared" si="0"/>
        <v>14100000</v>
      </c>
      <c r="J8" s="15"/>
      <c r="K8" s="2"/>
    </row>
    <row r="9" spans="1:11" x14ac:dyDescent="0.45">
      <c r="A9" s="2" t="s">
        <v>33</v>
      </c>
      <c r="B9" s="2" t="s">
        <v>20</v>
      </c>
      <c r="C9" s="2" t="s">
        <v>16</v>
      </c>
      <c r="D9" s="2" t="s">
        <v>17</v>
      </c>
      <c r="E9" s="3">
        <v>523</v>
      </c>
      <c r="F9" s="15">
        <v>480000</v>
      </c>
      <c r="G9" s="15"/>
      <c r="H9" s="15">
        <v>67</v>
      </c>
      <c r="I9" s="6">
        <f t="shared" si="0"/>
        <v>32160000</v>
      </c>
      <c r="J9" s="15"/>
      <c r="K9" s="2"/>
    </row>
    <row r="10" spans="1:11" x14ac:dyDescent="0.45">
      <c r="A10" s="2" t="s">
        <v>34</v>
      </c>
      <c r="B10" s="2" t="s">
        <v>24</v>
      </c>
      <c r="C10" s="2" t="s">
        <v>16</v>
      </c>
      <c r="D10" s="2" t="s">
        <v>13</v>
      </c>
      <c r="E10" s="3">
        <v>1250</v>
      </c>
      <c r="F10" s="15">
        <v>1250000</v>
      </c>
      <c r="G10" s="15"/>
      <c r="H10" s="15">
        <v>26</v>
      </c>
      <c r="I10" s="6">
        <f t="shared" si="0"/>
        <v>32500000</v>
      </c>
      <c r="J10" s="15"/>
      <c r="K10" s="2"/>
    </row>
    <row r="11" spans="1:11" x14ac:dyDescent="0.45">
      <c r="A11" s="2" t="s">
        <v>35</v>
      </c>
      <c r="B11" s="2" t="s">
        <v>11</v>
      </c>
      <c r="C11" s="2" t="s">
        <v>31</v>
      </c>
      <c r="D11" s="2" t="s">
        <v>36</v>
      </c>
      <c r="E11" s="3">
        <v>48</v>
      </c>
      <c r="F11" s="15">
        <v>130000</v>
      </c>
      <c r="G11" s="15"/>
      <c r="H11" s="15">
        <v>178</v>
      </c>
      <c r="I11" s="6">
        <f t="shared" si="0"/>
        <v>23140000</v>
      </c>
      <c r="J11" s="15"/>
      <c r="K11" s="2"/>
    </row>
    <row r="12" spans="1:11" x14ac:dyDescent="0.45">
      <c r="A12" s="2" t="s">
        <v>37</v>
      </c>
      <c r="B12" s="2" t="s">
        <v>24</v>
      </c>
      <c r="C12" s="2" t="s">
        <v>27</v>
      </c>
      <c r="D12" s="2" t="s">
        <v>13</v>
      </c>
      <c r="E12" s="3">
        <v>1350</v>
      </c>
      <c r="F12" s="15">
        <v>2250000</v>
      </c>
      <c r="G12" s="9" t="s">
        <v>69</v>
      </c>
      <c r="H12" s="15">
        <v>17.5</v>
      </c>
      <c r="I12" s="6">
        <f t="shared" si="0"/>
        <v>39375000</v>
      </c>
      <c r="J12" s="15"/>
      <c r="K12" s="2"/>
    </row>
    <row r="13" spans="1:11" x14ac:dyDescent="0.45">
      <c r="A13" s="2" t="s">
        <v>39</v>
      </c>
      <c r="B13" s="2" t="s">
        <v>11</v>
      </c>
      <c r="C13" s="2" t="s">
        <v>16</v>
      </c>
      <c r="D13" s="2" t="s">
        <v>13</v>
      </c>
      <c r="E13" s="3">
        <v>48</v>
      </c>
      <c r="F13" s="15">
        <v>380000</v>
      </c>
      <c r="G13" s="15"/>
      <c r="H13" s="15">
        <v>76</v>
      </c>
      <c r="I13" s="6">
        <f t="shared" si="0"/>
        <v>28880000</v>
      </c>
      <c r="J13" s="15"/>
      <c r="K13" s="2"/>
    </row>
    <row r="14" spans="1:11" x14ac:dyDescent="0.45">
      <c r="A14" s="2" t="s">
        <v>40</v>
      </c>
      <c r="B14" s="2" t="s">
        <v>11</v>
      </c>
      <c r="C14" s="2" t="s">
        <v>27</v>
      </c>
      <c r="D14" s="2" t="s">
        <v>36</v>
      </c>
      <c r="E14" s="3">
        <v>46</v>
      </c>
      <c r="F14" s="15">
        <v>439000</v>
      </c>
      <c r="G14" s="9" t="s">
        <v>69</v>
      </c>
      <c r="H14" s="15">
        <v>67.5</v>
      </c>
      <c r="I14" s="6">
        <f t="shared" si="0"/>
        <v>29632500</v>
      </c>
      <c r="J14" s="15"/>
      <c r="K14" s="2"/>
    </row>
    <row r="15" spans="1:11" x14ac:dyDescent="0.45">
      <c r="A15" s="2" t="s">
        <v>42</v>
      </c>
      <c r="B15" s="2" t="s">
        <v>24</v>
      </c>
      <c r="C15" s="2" t="s">
        <v>31</v>
      </c>
      <c r="D15" s="2" t="s">
        <v>29</v>
      </c>
      <c r="E15" s="3">
        <v>1600</v>
      </c>
      <c r="F15" s="15">
        <v>1650000</v>
      </c>
      <c r="G15" s="15"/>
      <c r="H15" s="15">
        <v>18</v>
      </c>
      <c r="I15" s="6">
        <f t="shared" si="0"/>
        <v>29700000</v>
      </c>
      <c r="J15" s="15"/>
      <c r="K15" s="2"/>
    </row>
    <row r="16" spans="1:11" x14ac:dyDescent="0.45">
      <c r="A16" s="2" t="s">
        <v>43</v>
      </c>
      <c r="B16" s="2" t="s">
        <v>20</v>
      </c>
      <c r="C16" s="2" t="s">
        <v>31</v>
      </c>
      <c r="D16" s="2" t="s">
        <v>17</v>
      </c>
      <c r="E16" s="3">
        <v>280</v>
      </c>
      <c r="F16" s="15">
        <v>225000</v>
      </c>
      <c r="G16" s="15"/>
      <c r="H16" s="15">
        <v>49</v>
      </c>
      <c r="I16" s="6">
        <f t="shared" si="0"/>
        <v>11025000</v>
      </c>
      <c r="J16" s="15"/>
      <c r="K16" s="2"/>
    </row>
    <row r="17" spans="1:11" x14ac:dyDescent="0.45">
      <c r="A17" s="2" t="s">
        <v>44</v>
      </c>
      <c r="B17" s="2" t="s">
        <v>24</v>
      </c>
      <c r="C17" s="2" t="s">
        <v>12</v>
      </c>
      <c r="D17" s="2" t="s">
        <v>13</v>
      </c>
      <c r="E17" s="3">
        <v>1570</v>
      </c>
      <c r="F17" s="15">
        <v>2350000</v>
      </c>
      <c r="G17" s="9" t="s">
        <v>69</v>
      </c>
      <c r="H17" s="15">
        <v>16</v>
      </c>
      <c r="I17" s="6">
        <f t="shared" si="0"/>
        <v>37600000</v>
      </c>
      <c r="J17" s="15"/>
      <c r="K17" s="2"/>
    </row>
    <row r="18" spans="1:11" x14ac:dyDescent="0.45">
      <c r="A18" s="2" t="s">
        <v>45</v>
      </c>
      <c r="B18" s="2" t="s">
        <v>20</v>
      </c>
      <c r="C18" s="2" t="s">
        <v>16</v>
      </c>
      <c r="D18" s="2" t="s">
        <v>49</v>
      </c>
      <c r="E18" s="3">
        <v>480</v>
      </c>
      <c r="F18" s="15">
        <v>610000</v>
      </c>
      <c r="G18" s="9" t="s">
        <v>69</v>
      </c>
      <c r="H18" s="15">
        <v>51</v>
      </c>
      <c r="I18" s="6">
        <f t="shared" si="0"/>
        <v>31110000</v>
      </c>
      <c r="J18" s="15"/>
      <c r="K18" s="2"/>
    </row>
    <row r="19" spans="1:11" x14ac:dyDescent="0.45">
      <c r="A19" s="2" t="s">
        <v>47</v>
      </c>
      <c r="B19" s="2" t="s">
        <v>20</v>
      </c>
      <c r="C19" s="2" t="s">
        <v>31</v>
      </c>
      <c r="D19" s="2" t="s">
        <v>13</v>
      </c>
      <c r="E19" s="3">
        <v>330</v>
      </c>
      <c r="F19" s="15">
        <v>195000</v>
      </c>
      <c r="G19" s="15"/>
      <c r="H19" s="15">
        <v>68.5</v>
      </c>
      <c r="I19" s="6">
        <f t="shared" si="0"/>
        <v>13357500</v>
      </c>
      <c r="J19" s="15"/>
      <c r="K19" s="2"/>
    </row>
    <row r="20" spans="1:11" x14ac:dyDescent="0.45">
      <c r="A20" s="2" t="s">
        <v>48</v>
      </c>
      <c r="B20" s="2" t="s">
        <v>20</v>
      </c>
      <c r="C20" s="2" t="s">
        <v>27</v>
      </c>
      <c r="D20" s="2" t="s">
        <v>49</v>
      </c>
      <c r="E20" s="3">
        <v>498</v>
      </c>
      <c r="F20" s="15">
        <v>380000</v>
      </c>
      <c r="G20" s="15"/>
      <c r="H20" s="15">
        <v>118</v>
      </c>
      <c r="I20" s="6">
        <f t="shared" si="0"/>
        <v>44840000</v>
      </c>
      <c r="J20" s="15"/>
      <c r="K20" s="2"/>
    </row>
    <row r="21" spans="1:11" x14ac:dyDescent="0.45">
      <c r="A21" s="2" t="s">
        <v>50</v>
      </c>
      <c r="B21" s="2" t="s">
        <v>24</v>
      </c>
      <c r="C21" s="2" t="s">
        <v>16</v>
      </c>
      <c r="D21" s="2" t="s">
        <v>17</v>
      </c>
      <c r="E21" s="3">
        <v>1320</v>
      </c>
      <c r="F21" s="15">
        <v>2450000</v>
      </c>
      <c r="G21" s="9" t="s">
        <v>69</v>
      </c>
      <c r="H21" s="15">
        <v>7.5</v>
      </c>
      <c r="I21" s="6">
        <f t="shared" si="0"/>
        <v>18375000</v>
      </c>
      <c r="J21" s="15"/>
      <c r="K21" s="2"/>
    </row>
    <row r="22" spans="1:11" x14ac:dyDescent="0.45">
      <c r="A22" s="2" t="s">
        <v>51</v>
      </c>
      <c r="B22" s="2" t="s">
        <v>20</v>
      </c>
      <c r="C22" s="2" t="s">
        <v>27</v>
      </c>
      <c r="D22" s="2" t="s">
        <v>13</v>
      </c>
      <c r="E22" s="3">
        <v>448</v>
      </c>
      <c r="F22" s="15">
        <v>185000</v>
      </c>
      <c r="G22" s="15"/>
      <c r="H22" s="15">
        <v>51</v>
      </c>
      <c r="I22" s="6">
        <f t="shared" si="0"/>
        <v>9435000</v>
      </c>
      <c r="J22" s="15"/>
      <c r="K22" s="2"/>
    </row>
    <row r="23" spans="1:11" x14ac:dyDescent="0.45">
      <c r="A23" s="2" t="s">
        <v>54</v>
      </c>
      <c r="B23" s="2" t="s">
        <v>20</v>
      </c>
      <c r="C23" s="2" t="s">
        <v>12</v>
      </c>
      <c r="D23" s="2" t="s">
        <v>49</v>
      </c>
      <c r="E23" s="3">
        <v>490</v>
      </c>
      <c r="F23" s="15">
        <v>570000</v>
      </c>
      <c r="G23" s="9" t="s">
        <v>69</v>
      </c>
      <c r="H23" s="15">
        <v>59</v>
      </c>
      <c r="I23" s="6">
        <f t="shared" si="0"/>
        <v>33630000</v>
      </c>
      <c r="J23" s="15"/>
      <c r="K23" s="2"/>
    </row>
    <row r="24" spans="1:11" x14ac:dyDescent="0.45">
      <c r="A24" s="2" t="s">
        <v>55</v>
      </c>
      <c r="B24" s="2" t="s">
        <v>11</v>
      </c>
      <c r="C24" s="2" t="s">
        <v>12</v>
      </c>
      <c r="D24" s="2" t="s">
        <v>17</v>
      </c>
      <c r="E24" s="3">
        <v>48</v>
      </c>
      <c r="F24" s="15">
        <v>350000</v>
      </c>
      <c r="G24" s="15"/>
      <c r="H24" s="15">
        <v>121</v>
      </c>
      <c r="I24" s="6">
        <f t="shared" si="0"/>
        <v>42350000</v>
      </c>
      <c r="J24" s="15"/>
      <c r="K24" s="2"/>
    </row>
    <row r="25" spans="1:11" x14ac:dyDescent="0.45">
      <c r="A25" s="2" t="s">
        <v>56</v>
      </c>
      <c r="B25" s="2" t="s">
        <v>20</v>
      </c>
      <c r="C25" s="2" t="s">
        <v>27</v>
      </c>
      <c r="D25" s="2" t="s">
        <v>17</v>
      </c>
      <c r="E25" s="3">
        <v>533</v>
      </c>
      <c r="F25" s="15">
        <v>218000</v>
      </c>
      <c r="G25" s="15"/>
      <c r="H25" s="15">
        <v>93.5</v>
      </c>
      <c r="I25" s="6">
        <f t="shared" si="0"/>
        <v>20383000</v>
      </c>
      <c r="J25" s="15"/>
      <c r="K25" s="2"/>
    </row>
    <row r="26" spans="1:11" x14ac:dyDescent="0.45">
      <c r="A26" s="2" t="s">
        <v>57</v>
      </c>
      <c r="B26" s="2" t="s">
        <v>11</v>
      </c>
      <c r="C26" s="2" t="s">
        <v>31</v>
      </c>
      <c r="D26" s="2" t="s">
        <v>36</v>
      </c>
      <c r="E26" s="3">
        <v>35</v>
      </c>
      <c r="F26" s="15">
        <v>35000</v>
      </c>
      <c r="G26" s="15"/>
      <c r="H26" s="15">
        <v>100</v>
      </c>
      <c r="I26" s="6">
        <f t="shared" si="0"/>
        <v>3500000</v>
      </c>
      <c r="J26" s="15"/>
      <c r="K26" s="2"/>
    </row>
    <row r="27" spans="1:11" x14ac:dyDescent="0.45">
      <c r="A27" s="2" t="s">
        <v>58</v>
      </c>
      <c r="B27" s="2" t="s">
        <v>11</v>
      </c>
      <c r="C27" s="2" t="s">
        <v>16</v>
      </c>
      <c r="D27" s="2" t="s">
        <v>49</v>
      </c>
      <c r="E27" s="3">
        <v>54</v>
      </c>
      <c r="F27" s="15">
        <v>490000</v>
      </c>
      <c r="G27" s="9" t="s">
        <v>69</v>
      </c>
      <c r="H27" s="15">
        <v>44.5</v>
      </c>
      <c r="I27" s="6">
        <f t="shared" si="0"/>
        <v>21805000</v>
      </c>
      <c r="J27" s="15"/>
      <c r="K27" s="2"/>
    </row>
    <row r="28" spans="1:11" x14ac:dyDescent="0.45">
      <c r="A28" s="2" t="s">
        <v>59</v>
      </c>
      <c r="B28" s="2" t="s">
        <v>11</v>
      </c>
      <c r="C28" s="2" t="s">
        <v>27</v>
      </c>
      <c r="D28" s="2" t="s">
        <v>29</v>
      </c>
      <c r="E28" s="3">
        <v>79</v>
      </c>
      <c r="F28" s="15">
        <v>320000</v>
      </c>
      <c r="G28" s="15"/>
      <c r="H28" s="15">
        <v>52</v>
      </c>
      <c r="I28" s="6">
        <f t="shared" si="0"/>
        <v>16640000</v>
      </c>
      <c r="J28" s="15"/>
      <c r="K28" s="2"/>
    </row>
    <row r="29" spans="1:11" x14ac:dyDescent="0.45">
      <c r="A29" s="2" t="s">
        <v>60</v>
      </c>
      <c r="B29" s="2" t="s">
        <v>20</v>
      </c>
      <c r="C29" s="2" t="s">
        <v>31</v>
      </c>
      <c r="D29" s="2" t="s">
        <v>49</v>
      </c>
      <c r="E29" s="3">
        <v>342</v>
      </c>
      <c r="F29" s="15">
        <v>289000</v>
      </c>
      <c r="G29" s="9" t="s">
        <v>69</v>
      </c>
      <c r="H29" s="15">
        <v>51</v>
      </c>
      <c r="I29" s="6">
        <f t="shared" si="0"/>
        <v>14739000</v>
      </c>
      <c r="J29" s="15"/>
      <c r="K29" s="2"/>
    </row>
    <row r="30" spans="1:11" x14ac:dyDescent="0.45">
      <c r="A30" s="2" t="s">
        <v>61</v>
      </c>
      <c r="B30" s="2" t="s">
        <v>11</v>
      </c>
      <c r="C30" s="2" t="s">
        <v>31</v>
      </c>
      <c r="D30" s="2" t="s">
        <v>36</v>
      </c>
      <c r="E30" s="3">
        <v>40</v>
      </c>
      <c r="F30" s="15">
        <v>85000</v>
      </c>
      <c r="G30" s="15"/>
      <c r="H30" s="15">
        <v>270</v>
      </c>
      <c r="I30" s="6">
        <f t="shared" si="0"/>
        <v>22950000</v>
      </c>
      <c r="J30" s="15"/>
      <c r="K30" s="2"/>
    </row>
    <row r="31" spans="1:11" x14ac:dyDescent="0.45">
      <c r="A31" s="2" t="s">
        <v>62</v>
      </c>
      <c r="B31" s="2" t="s">
        <v>20</v>
      </c>
      <c r="C31" s="2" t="s">
        <v>12</v>
      </c>
      <c r="D31" s="2" t="s">
        <v>17</v>
      </c>
      <c r="E31" s="3">
        <v>395</v>
      </c>
      <c r="F31" s="15">
        <v>550000</v>
      </c>
      <c r="G31" s="15"/>
      <c r="H31" s="15">
        <v>66</v>
      </c>
      <c r="I31" s="6">
        <f t="shared" si="0"/>
        <v>36300000</v>
      </c>
      <c r="J31" s="15"/>
      <c r="K31" s="2"/>
    </row>
    <row r="32" spans="1:11" x14ac:dyDescent="0.45">
      <c r="A32" s="2" t="s">
        <v>63</v>
      </c>
      <c r="B32" s="2" t="s">
        <v>24</v>
      </c>
      <c r="C32" s="2" t="s">
        <v>27</v>
      </c>
      <c r="D32" s="2" t="s">
        <v>13</v>
      </c>
      <c r="E32" s="3">
        <v>1090</v>
      </c>
      <c r="F32" s="15">
        <v>1450000</v>
      </c>
      <c r="G32" s="15"/>
      <c r="H32" s="15">
        <v>34</v>
      </c>
      <c r="I32" s="6">
        <f t="shared" si="0"/>
        <v>49300000</v>
      </c>
      <c r="J32" s="15"/>
      <c r="K32" s="2"/>
    </row>
    <row r="33" spans="1:11" x14ac:dyDescent="0.45">
      <c r="A33" s="2" t="s">
        <v>65</v>
      </c>
      <c r="B33" s="2" t="s">
        <v>11</v>
      </c>
      <c r="C33" s="2" t="s">
        <v>12</v>
      </c>
      <c r="D33" s="2" t="s">
        <v>49</v>
      </c>
      <c r="E33" s="3">
        <v>53</v>
      </c>
      <c r="F33" s="15">
        <v>410000</v>
      </c>
      <c r="G33" s="9" t="s">
        <v>69</v>
      </c>
      <c r="H33" s="15">
        <v>49</v>
      </c>
      <c r="I33" s="6">
        <f t="shared" si="0"/>
        <v>20090000</v>
      </c>
      <c r="J33" s="15"/>
      <c r="K33" s="2"/>
    </row>
    <row r="35" spans="1:11" x14ac:dyDescent="0.45">
      <c r="A35" s="11" t="s">
        <v>70</v>
      </c>
      <c r="I35" s="16" t="s">
        <v>71</v>
      </c>
    </row>
    <row r="36" spans="1:11" x14ac:dyDescent="0.45">
      <c r="A36" s="26" t="s">
        <v>89</v>
      </c>
      <c r="B36" s="27"/>
      <c r="C36" s="17">
        <v>0</v>
      </c>
      <c r="D36" s="17">
        <v>51</v>
      </c>
      <c r="E36" s="17">
        <v>201</v>
      </c>
      <c r="F36" s="17">
        <v>501</v>
      </c>
      <c r="G36" s="17">
        <v>1001</v>
      </c>
      <c r="I36" s="1" t="s">
        <v>72</v>
      </c>
      <c r="J36" s="18" t="s">
        <v>73</v>
      </c>
      <c r="K36" s="18" t="s">
        <v>74</v>
      </c>
    </row>
    <row r="37" spans="1:11" x14ac:dyDescent="0.45">
      <c r="A37" s="27"/>
      <c r="B37" s="27"/>
      <c r="C37" s="17">
        <v>50</v>
      </c>
      <c r="D37" s="17">
        <v>200</v>
      </c>
      <c r="E37" s="17">
        <v>500</v>
      </c>
      <c r="F37" s="17">
        <v>1000</v>
      </c>
      <c r="G37" s="5"/>
      <c r="I37" s="2" t="s">
        <v>75</v>
      </c>
      <c r="J37" s="5"/>
      <c r="K37" s="2"/>
    </row>
    <row r="38" spans="1:11" x14ac:dyDescent="0.45">
      <c r="A38" s="19">
        <v>0</v>
      </c>
      <c r="B38" s="20">
        <v>100000</v>
      </c>
      <c r="C38" s="21">
        <v>2000</v>
      </c>
      <c r="D38" s="21">
        <v>2000</v>
      </c>
      <c r="E38" s="21">
        <v>2500</v>
      </c>
      <c r="F38" s="21">
        <v>2500</v>
      </c>
      <c r="G38" s="21">
        <v>3000</v>
      </c>
      <c r="I38" s="2" t="s">
        <v>76</v>
      </c>
      <c r="J38" s="5"/>
      <c r="K38" s="2"/>
    </row>
    <row r="39" spans="1:11" x14ac:dyDescent="0.45">
      <c r="A39" s="20">
        <v>100001</v>
      </c>
      <c r="B39" s="20">
        <v>300000</v>
      </c>
      <c r="C39" s="21">
        <v>2500</v>
      </c>
      <c r="D39" s="21">
        <v>2500</v>
      </c>
      <c r="E39" s="21">
        <v>3000</v>
      </c>
      <c r="F39" s="21">
        <v>3000</v>
      </c>
      <c r="G39" s="21">
        <v>3500</v>
      </c>
      <c r="I39" s="2" t="s">
        <v>77</v>
      </c>
      <c r="J39" s="5"/>
      <c r="K39" s="2"/>
    </row>
    <row r="40" spans="1:11" x14ac:dyDescent="0.45">
      <c r="A40" s="20">
        <v>300001</v>
      </c>
      <c r="B40" s="20">
        <v>1000000</v>
      </c>
      <c r="C40" s="21">
        <v>3000</v>
      </c>
      <c r="D40" s="21">
        <v>3000</v>
      </c>
      <c r="E40" s="21">
        <v>3500</v>
      </c>
      <c r="F40" s="21">
        <v>3500</v>
      </c>
      <c r="G40" s="21">
        <v>4500</v>
      </c>
      <c r="I40" s="2" t="s">
        <v>78</v>
      </c>
      <c r="J40" s="5"/>
      <c r="K40" s="2"/>
    </row>
    <row r="41" spans="1:11" x14ac:dyDescent="0.45">
      <c r="A41" s="20">
        <v>1000001</v>
      </c>
      <c r="B41" s="20">
        <v>2000000</v>
      </c>
      <c r="C41" s="21">
        <v>3500</v>
      </c>
      <c r="D41" s="21">
        <v>3500</v>
      </c>
      <c r="E41" s="21">
        <v>4500</v>
      </c>
      <c r="F41" s="21">
        <v>4500</v>
      </c>
      <c r="G41" s="21">
        <v>5000</v>
      </c>
    </row>
    <row r="42" spans="1:11" x14ac:dyDescent="0.45">
      <c r="A42" s="20">
        <v>2000001</v>
      </c>
      <c r="B42" s="20"/>
      <c r="C42" s="21">
        <v>4500</v>
      </c>
      <c r="D42" s="21">
        <v>4500</v>
      </c>
      <c r="E42" s="21">
        <v>5000</v>
      </c>
      <c r="F42" s="21">
        <v>5000</v>
      </c>
      <c r="G42" s="21">
        <v>5500</v>
      </c>
    </row>
    <row r="44" spans="1:11" x14ac:dyDescent="0.45">
      <c r="A44" s="16" t="s">
        <v>79</v>
      </c>
    </row>
    <row r="45" spans="1:11" x14ac:dyDescent="0.45">
      <c r="A45" s="22" t="s">
        <v>80</v>
      </c>
      <c r="B45" s="23" t="s">
        <v>81</v>
      </c>
      <c r="C45" s="23" t="s">
        <v>82</v>
      </c>
      <c r="D45" s="23" t="s">
        <v>83</v>
      </c>
      <c r="E45" s="23" t="s">
        <v>84</v>
      </c>
      <c r="F45" s="23" t="s">
        <v>85</v>
      </c>
    </row>
    <row r="46" spans="1:11" x14ac:dyDescent="0.45">
      <c r="A46" s="2" t="s">
        <v>86</v>
      </c>
      <c r="B46" s="2"/>
      <c r="C46" s="2"/>
      <c r="D46" s="2"/>
      <c r="E46" s="2"/>
      <c r="F46" s="2"/>
    </row>
    <row r="47" spans="1:11" x14ac:dyDescent="0.45">
      <c r="A47" s="2" t="s">
        <v>87</v>
      </c>
      <c r="B47" s="2"/>
      <c r="C47" s="2"/>
      <c r="D47" s="2"/>
      <c r="E47" s="2"/>
      <c r="F47" s="2"/>
    </row>
    <row r="48" spans="1:11" x14ac:dyDescent="0.45">
      <c r="A48" s="2" t="s">
        <v>88</v>
      </c>
      <c r="B48" s="2"/>
      <c r="C48" s="2"/>
      <c r="D48" s="2"/>
      <c r="E48" s="2"/>
      <c r="F48" s="2"/>
    </row>
  </sheetData>
  <mergeCells count="1">
    <mergeCell ref="A36:B37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7" x14ac:dyDescent="0.45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"/>
  <sheetViews>
    <sheetView workbookViewId="0"/>
  </sheetViews>
  <sheetFormatPr defaultRowHeight="17" x14ac:dyDescent="0.45"/>
  <cols>
    <col min="1" max="1" width="11.6640625" customWidth="1"/>
    <col min="4" max="4" width="10.6640625" bestFit="1" customWidth="1"/>
    <col min="6" max="6" width="11.75" bestFit="1" customWidth="1"/>
    <col min="9" max="9" width="11.6640625" customWidth="1"/>
    <col min="10" max="10" width="13.6640625" customWidth="1"/>
  </cols>
  <sheetData>
    <row r="1" spans="1:10" x14ac:dyDescent="0.45">
      <c r="A1" s="10" t="s">
        <v>127</v>
      </c>
      <c r="B1" s="10"/>
      <c r="C1" s="10"/>
      <c r="D1" s="10"/>
      <c r="E1" s="10"/>
      <c r="F1" s="10"/>
      <c r="H1" s="10" t="s">
        <v>128</v>
      </c>
      <c r="I1" s="10"/>
      <c r="J1" s="10"/>
    </row>
    <row r="2" spans="1:10" x14ac:dyDescent="0.45">
      <c r="A2" s="1" t="s">
        <v>129</v>
      </c>
      <c r="B2" s="1" t="s">
        <v>130</v>
      </c>
      <c r="C2" s="1" t="s">
        <v>131</v>
      </c>
      <c r="D2" s="1" t="s">
        <v>132</v>
      </c>
      <c r="E2" s="1" t="s">
        <v>133</v>
      </c>
      <c r="F2" s="1" t="s">
        <v>134</v>
      </c>
      <c r="H2" s="1" t="s">
        <v>135</v>
      </c>
      <c r="I2" s="13" t="s">
        <v>136</v>
      </c>
      <c r="J2" s="13" t="s">
        <v>137</v>
      </c>
    </row>
    <row r="3" spans="1:10" x14ac:dyDescent="0.45">
      <c r="A3" s="2" t="s">
        <v>138</v>
      </c>
      <c r="B3" s="2" t="s">
        <v>139</v>
      </c>
      <c r="C3" s="2" t="s">
        <v>140</v>
      </c>
      <c r="D3" s="4">
        <v>1390000</v>
      </c>
      <c r="E3" s="5">
        <v>25</v>
      </c>
      <c r="F3" s="6">
        <f t="shared" ref="F3:F11" si="0">D3*E3</f>
        <v>34750000</v>
      </c>
      <c r="H3" s="12" t="s">
        <v>141</v>
      </c>
      <c r="I3" s="8"/>
      <c r="J3" s="24"/>
    </row>
    <row r="4" spans="1:10" x14ac:dyDescent="0.45">
      <c r="A4" s="2" t="s">
        <v>142</v>
      </c>
      <c r="B4" s="2" t="s">
        <v>139</v>
      </c>
      <c r="C4" s="2" t="s">
        <v>143</v>
      </c>
      <c r="D4" s="4">
        <v>2350000</v>
      </c>
      <c r="E4" s="5">
        <v>32</v>
      </c>
      <c r="F4" s="6">
        <f t="shared" si="0"/>
        <v>75200000</v>
      </c>
      <c r="H4" s="12" t="s">
        <v>144</v>
      </c>
      <c r="I4" s="8"/>
      <c r="J4" s="24"/>
    </row>
    <row r="5" spans="1:10" x14ac:dyDescent="0.45">
      <c r="A5" s="2" t="s">
        <v>145</v>
      </c>
      <c r="B5" s="2" t="s">
        <v>139</v>
      </c>
      <c r="C5" s="2" t="s">
        <v>143</v>
      </c>
      <c r="D5" s="4">
        <v>2100000</v>
      </c>
      <c r="E5" s="5">
        <v>28</v>
      </c>
      <c r="F5" s="6">
        <f t="shared" si="0"/>
        <v>58800000</v>
      </c>
      <c r="H5" s="12" t="s">
        <v>146</v>
      </c>
      <c r="I5" s="8"/>
      <c r="J5" s="24"/>
    </row>
    <row r="6" spans="1:10" x14ac:dyDescent="0.45">
      <c r="A6" s="2" t="s">
        <v>147</v>
      </c>
      <c r="B6" s="2" t="s">
        <v>148</v>
      </c>
      <c r="C6" s="2" t="s">
        <v>143</v>
      </c>
      <c r="D6" s="4">
        <v>290000</v>
      </c>
      <c r="E6" s="5">
        <v>154</v>
      </c>
      <c r="F6" s="6">
        <f t="shared" si="0"/>
        <v>44660000</v>
      </c>
    </row>
    <row r="7" spans="1:10" x14ac:dyDescent="0.45">
      <c r="A7" s="2" t="s">
        <v>149</v>
      </c>
      <c r="B7" s="2" t="s">
        <v>148</v>
      </c>
      <c r="C7" s="2" t="s">
        <v>150</v>
      </c>
      <c r="D7" s="4">
        <v>350000</v>
      </c>
      <c r="E7" s="5">
        <v>242</v>
      </c>
      <c r="F7" s="6">
        <f t="shared" si="0"/>
        <v>84700000</v>
      </c>
    </row>
    <row r="8" spans="1:10" x14ac:dyDescent="0.45">
      <c r="A8" s="2" t="s">
        <v>151</v>
      </c>
      <c r="B8" s="2" t="s">
        <v>148</v>
      </c>
      <c r="C8" s="2" t="s">
        <v>152</v>
      </c>
      <c r="D8" s="4">
        <v>410000</v>
      </c>
      <c r="E8" s="5">
        <v>98</v>
      </c>
      <c r="F8" s="6">
        <f t="shared" si="0"/>
        <v>40180000</v>
      </c>
    </row>
    <row r="9" spans="1:10" x14ac:dyDescent="0.45">
      <c r="A9" s="2" t="s">
        <v>153</v>
      </c>
      <c r="B9" s="2" t="s">
        <v>154</v>
      </c>
      <c r="C9" s="2" t="s">
        <v>155</v>
      </c>
      <c r="D9" s="4">
        <v>470000</v>
      </c>
      <c r="E9" s="5">
        <v>141</v>
      </c>
      <c r="F9" s="6">
        <f t="shared" si="0"/>
        <v>66270000</v>
      </c>
    </row>
    <row r="10" spans="1:10" x14ac:dyDescent="0.45">
      <c r="A10" s="2" t="s">
        <v>156</v>
      </c>
      <c r="B10" s="2" t="s">
        <v>154</v>
      </c>
      <c r="C10" s="2" t="s">
        <v>157</v>
      </c>
      <c r="D10" s="4">
        <v>570000</v>
      </c>
      <c r="E10" s="5">
        <v>118</v>
      </c>
      <c r="F10" s="6">
        <f t="shared" si="0"/>
        <v>67260000</v>
      </c>
    </row>
    <row r="11" spans="1:10" x14ac:dyDescent="0.45">
      <c r="A11" s="2" t="s">
        <v>158</v>
      </c>
      <c r="B11" s="2" t="s">
        <v>154</v>
      </c>
      <c r="C11" s="2" t="s">
        <v>157</v>
      </c>
      <c r="D11" s="4">
        <v>550000</v>
      </c>
      <c r="E11" s="5">
        <v>132</v>
      </c>
      <c r="F11" s="6">
        <f t="shared" si="0"/>
        <v>72600000</v>
      </c>
    </row>
    <row r="12" spans="1:10" x14ac:dyDescent="0.45">
      <c r="A12" s="10"/>
      <c r="B12" s="10"/>
      <c r="C12" s="10"/>
      <c r="D12" s="10"/>
      <c r="E12" s="10"/>
      <c r="F12" s="10"/>
    </row>
    <row r="13" spans="1:10" x14ac:dyDescent="0.45">
      <c r="A13" s="10" t="s">
        <v>159</v>
      </c>
      <c r="B13" s="10"/>
      <c r="C13" s="10"/>
      <c r="D13" s="10"/>
      <c r="E13" s="10"/>
      <c r="F13" s="10"/>
    </row>
    <row r="14" spans="1:10" x14ac:dyDescent="0.45">
      <c r="A14" s="1" t="s">
        <v>160</v>
      </c>
      <c r="B14" s="1" t="s">
        <v>135</v>
      </c>
      <c r="C14" s="1" t="s">
        <v>131</v>
      </c>
      <c r="D14" s="1" t="s">
        <v>132</v>
      </c>
      <c r="E14" s="1" t="s">
        <v>133</v>
      </c>
      <c r="F14" s="1" t="s">
        <v>134</v>
      </c>
    </row>
    <row r="15" spans="1:10" x14ac:dyDescent="0.45">
      <c r="A15" s="2" t="s">
        <v>161</v>
      </c>
      <c r="B15" s="2" t="s">
        <v>139</v>
      </c>
      <c r="C15" s="2" t="s">
        <v>150</v>
      </c>
      <c r="D15" s="4">
        <v>1950000</v>
      </c>
      <c r="E15" s="5">
        <v>28</v>
      </c>
      <c r="F15" s="6">
        <f t="shared" ref="F15:F23" si="1">D15*E15</f>
        <v>54600000</v>
      </c>
    </row>
    <row r="16" spans="1:10" x14ac:dyDescent="0.45">
      <c r="A16" s="2" t="s">
        <v>162</v>
      </c>
      <c r="B16" s="2" t="s">
        <v>139</v>
      </c>
      <c r="C16" s="2" t="s">
        <v>143</v>
      </c>
      <c r="D16" s="4">
        <v>1250000</v>
      </c>
      <c r="E16" s="5">
        <v>52</v>
      </c>
      <c r="F16" s="6">
        <f t="shared" si="1"/>
        <v>65000000</v>
      </c>
    </row>
    <row r="17" spans="1:6" x14ac:dyDescent="0.45">
      <c r="A17" s="2" t="s">
        <v>163</v>
      </c>
      <c r="B17" s="2" t="s">
        <v>139</v>
      </c>
      <c r="C17" s="2" t="s">
        <v>150</v>
      </c>
      <c r="D17" s="4">
        <v>2450000</v>
      </c>
      <c r="E17" s="5">
        <v>15</v>
      </c>
      <c r="F17" s="6">
        <f t="shared" si="1"/>
        <v>36750000</v>
      </c>
    </row>
    <row r="18" spans="1:6" x14ac:dyDescent="0.45">
      <c r="A18" s="2" t="s">
        <v>164</v>
      </c>
      <c r="B18" s="2" t="s">
        <v>148</v>
      </c>
      <c r="C18" s="2" t="s">
        <v>150</v>
      </c>
      <c r="D18" s="4">
        <v>430000</v>
      </c>
      <c r="E18" s="5">
        <v>145</v>
      </c>
      <c r="F18" s="6">
        <f t="shared" si="1"/>
        <v>62350000</v>
      </c>
    </row>
    <row r="19" spans="1:6" x14ac:dyDescent="0.45">
      <c r="A19" s="2" t="s">
        <v>165</v>
      </c>
      <c r="B19" s="2" t="s">
        <v>148</v>
      </c>
      <c r="C19" s="2" t="s">
        <v>143</v>
      </c>
      <c r="D19" s="4">
        <v>380000</v>
      </c>
      <c r="E19" s="5">
        <v>152</v>
      </c>
      <c r="F19" s="6">
        <f t="shared" si="1"/>
        <v>57760000</v>
      </c>
    </row>
    <row r="20" spans="1:6" x14ac:dyDescent="0.45">
      <c r="A20" s="2" t="s">
        <v>166</v>
      </c>
      <c r="B20" s="2" t="s">
        <v>148</v>
      </c>
      <c r="C20" s="2" t="s">
        <v>152</v>
      </c>
      <c r="D20" s="4">
        <v>490000</v>
      </c>
      <c r="E20" s="5">
        <v>89</v>
      </c>
      <c r="F20" s="6">
        <f t="shared" si="1"/>
        <v>43610000</v>
      </c>
    </row>
    <row r="21" spans="1:6" x14ac:dyDescent="0.45">
      <c r="A21" s="2" t="s">
        <v>167</v>
      </c>
      <c r="B21" s="2" t="s">
        <v>154</v>
      </c>
      <c r="C21" s="2" t="s">
        <v>155</v>
      </c>
      <c r="D21" s="4">
        <v>550000</v>
      </c>
      <c r="E21" s="5">
        <v>87</v>
      </c>
      <c r="F21" s="6">
        <f t="shared" si="1"/>
        <v>47850000</v>
      </c>
    </row>
    <row r="22" spans="1:6" x14ac:dyDescent="0.45">
      <c r="A22" s="2" t="s">
        <v>168</v>
      </c>
      <c r="B22" s="2" t="s">
        <v>154</v>
      </c>
      <c r="C22" s="2" t="s">
        <v>155</v>
      </c>
      <c r="D22" s="4">
        <v>480000</v>
      </c>
      <c r="E22" s="5">
        <v>134</v>
      </c>
      <c r="F22" s="6">
        <f t="shared" si="1"/>
        <v>64320000</v>
      </c>
    </row>
    <row r="23" spans="1:6" x14ac:dyDescent="0.45">
      <c r="A23" s="2" t="s">
        <v>169</v>
      </c>
      <c r="B23" s="2" t="s">
        <v>154</v>
      </c>
      <c r="C23" s="2" t="s">
        <v>157</v>
      </c>
      <c r="D23" s="4">
        <v>610000</v>
      </c>
      <c r="E23" s="5">
        <v>102</v>
      </c>
      <c r="F23" s="6">
        <f t="shared" si="1"/>
        <v>62220000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/>
  </sheetViews>
  <sheetFormatPr defaultRowHeight="17" x14ac:dyDescent="0.45"/>
  <cols>
    <col min="1" max="1" width="11.83203125" customWidth="1"/>
    <col min="2" max="3" width="11.75" customWidth="1"/>
  </cols>
  <sheetData>
    <row r="1" spans="1:3" x14ac:dyDescent="0.45">
      <c r="A1" t="s">
        <v>174</v>
      </c>
    </row>
    <row r="2" spans="1:3" x14ac:dyDescent="0.45">
      <c r="A2" s="12" t="s">
        <v>80</v>
      </c>
      <c r="B2" s="12" t="s">
        <v>90</v>
      </c>
      <c r="C2" s="12" t="s">
        <v>91</v>
      </c>
    </row>
    <row r="3" spans="1:3" x14ac:dyDescent="0.45">
      <c r="A3" s="8" t="s">
        <v>92</v>
      </c>
      <c r="B3" s="8">
        <v>351</v>
      </c>
      <c r="C3" s="8">
        <v>221</v>
      </c>
    </row>
    <row r="4" spans="1:3" x14ac:dyDescent="0.45">
      <c r="A4" s="8" t="s">
        <v>93</v>
      </c>
      <c r="B4" s="8">
        <v>280</v>
      </c>
      <c r="C4" s="8">
        <v>85</v>
      </c>
    </row>
    <row r="5" spans="1:3" x14ac:dyDescent="0.45">
      <c r="A5" s="8" t="s">
        <v>94</v>
      </c>
      <c r="B5" s="8">
        <v>53</v>
      </c>
      <c r="C5" s="8">
        <v>15</v>
      </c>
    </row>
    <row r="6" spans="1:3" x14ac:dyDescent="0.45">
      <c r="A6" s="8" t="s">
        <v>95</v>
      </c>
      <c r="B6" s="8">
        <v>334</v>
      </c>
      <c r="C6" s="8">
        <v>210</v>
      </c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G22"/>
  <sheetViews>
    <sheetView workbookViewId="0"/>
  </sheetViews>
  <sheetFormatPr defaultRowHeight="17" x14ac:dyDescent="0.45"/>
  <cols>
    <col min="1" max="1" width="2.6640625" customWidth="1"/>
    <col min="2" max="2" width="12.4140625" bestFit="1" customWidth="1"/>
  </cols>
  <sheetData>
    <row r="1" spans="2:7" x14ac:dyDescent="0.45">
      <c r="B1" t="s">
        <v>170</v>
      </c>
    </row>
    <row r="2" spans="2:7" x14ac:dyDescent="0.45">
      <c r="B2" s="2" t="s">
        <v>171</v>
      </c>
      <c r="C2" s="2" t="s">
        <v>172</v>
      </c>
      <c r="D2" s="2" t="s">
        <v>104</v>
      </c>
      <c r="E2" s="2" t="s">
        <v>105</v>
      </c>
      <c r="F2" s="2" t="s">
        <v>106</v>
      </c>
      <c r="G2" s="2" t="s">
        <v>107</v>
      </c>
    </row>
    <row r="3" spans="2:7" x14ac:dyDescent="0.45">
      <c r="B3" s="2" t="s">
        <v>108</v>
      </c>
      <c r="C3" s="25">
        <v>37500</v>
      </c>
      <c r="D3" s="25">
        <v>67500</v>
      </c>
      <c r="E3" s="25">
        <v>42000</v>
      </c>
      <c r="F3" s="25">
        <v>28500</v>
      </c>
      <c r="G3" s="25">
        <v>24000</v>
      </c>
    </row>
    <row r="4" spans="2:7" x14ac:dyDescent="0.45">
      <c r="B4" s="2" t="s">
        <v>109</v>
      </c>
      <c r="C4" s="25">
        <v>57000</v>
      </c>
      <c r="D4" s="25">
        <v>48000</v>
      </c>
      <c r="E4" s="25">
        <v>67500</v>
      </c>
      <c r="F4" s="25">
        <v>37500</v>
      </c>
      <c r="G4" s="25">
        <v>49500</v>
      </c>
    </row>
    <row r="5" spans="2:7" x14ac:dyDescent="0.45">
      <c r="B5" s="2" t="s">
        <v>110</v>
      </c>
      <c r="C5" s="25">
        <v>30000</v>
      </c>
      <c r="D5" s="25">
        <v>73500</v>
      </c>
      <c r="E5" s="25">
        <v>34500</v>
      </c>
      <c r="F5" s="25">
        <v>21000</v>
      </c>
      <c r="G5" s="25">
        <v>16500</v>
      </c>
    </row>
    <row r="6" spans="2:7" x14ac:dyDescent="0.45">
      <c r="B6" s="2" t="s">
        <v>173</v>
      </c>
      <c r="C6" s="25">
        <v>-1</v>
      </c>
      <c r="D6" s="25">
        <v>60000</v>
      </c>
      <c r="E6" s="25">
        <v>75000</v>
      </c>
      <c r="F6" s="25">
        <v>15000</v>
      </c>
      <c r="G6" s="25">
        <v>13500</v>
      </c>
    </row>
    <row r="7" spans="2:7" x14ac:dyDescent="0.45">
      <c r="B7" s="2" t="s">
        <v>111</v>
      </c>
      <c r="C7" s="25">
        <v>52500</v>
      </c>
      <c r="D7" s="25">
        <v>0</v>
      </c>
      <c r="E7" s="25">
        <v>25500</v>
      </c>
      <c r="F7" s="25">
        <v>28500</v>
      </c>
      <c r="G7" s="25">
        <v>0</v>
      </c>
    </row>
    <row r="8" spans="2:7" x14ac:dyDescent="0.45">
      <c r="B8" s="2" t="s">
        <v>112</v>
      </c>
      <c r="C8" s="25">
        <v>45000</v>
      </c>
      <c r="D8" s="25">
        <v>27000</v>
      </c>
      <c r="E8" s="25">
        <v>-1</v>
      </c>
      <c r="F8" s="25">
        <v>21000</v>
      </c>
      <c r="G8" s="25">
        <v>16500</v>
      </c>
    </row>
    <row r="9" spans="2:7" x14ac:dyDescent="0.45">
      <c r="B9" s="2" t="s">
        <v>113</v>
      </c>
      <c r="C9" s="25">
        <v>0</v>
      </c>
      <c r="D9" s="25">
        <v>57000</v>
      </c>
      <c r="E9" s="25">
        <v>31500</v>
      </c>
      <c r="F9" s="25">
        <v>15000</v>
      </c>
      <c r="G9" s="25">
        <v>13500</v>
      </c>
    </row>
    <row r="10" spans="2:7" x14ac:dyDescent="0.45">
      <c r="B10" s="2" t="s">
        <v>114</v>
      </c>
      <c r="C10" s="25">
        <v>30000</v>
      </c>
      <c r="D10" s="25">
        <v>58500</v>
      </c>
      <c r="E10" s="25">
        <v>34500</v>
      </c>
      <c r="F10" s="25">
        <v>19500</v>
      </c>
      <c r="G10" s="25">
        <v>-1</v>
      </c>
    </row>
    <row r="11" spans="2:7" x14ac:dyDescent="0.45">
      <c r="B11" s="2" t="s">
        <v>115</v>
      </c>
      <c r="C11" s="25">
        <v>33000</v>
      </c>
      <c r="D11" s="25">
        <v>55500</v>
      </c>
      <c r="E11" s="25">
        <v>37500</v>
      </c>
      <c r="F11" s="25">
        <v>0</v>
      </c>
      <c r="G11" s="25">
        <v>19500</v>
      </c>
    </row>
    <row r="12" spans="2:7" x14ac:dyDescent="0.45">
      <c r="B12" s="2" t="s">
        <v>116</v>
      </c>
      <c r="C12" s="25">
        <v>24000</v>
      </c>
      <c r="D12" s="25">
        <v>67500</v>
      </c>
      <c r="E12" s="25">
        <v>3000</v>
      </c>
      <c r="F12" s="25">
        <v>1500</v>
      </c>
      <c r="G12" s="25">
        <v>7500</v>
      </c>
    </row>
    <row r="13" spans="2:7" x14ac:dyDescent="0.45">
      <c r="B13" s="2" t="s">
        <v>117</v>
      </c>
      <c r="C13" s="25">
        <v>28500</v>
      </c>
      <c r="D13" s="25">
        <v>-1</v>
      </c>
      <c r="E13" s="25">
        <v>33000</v>
      </c>
      <c r="F13" s="25">
        <v>16500</v>
      </c>
      <c r="G13" s="25">
        <v>0</v>
      </c>
    </row>
    <row r="14" spans="2:7" x14ac:dyDescent="0.45">
      <c r="B14" s="2" t="s">
        <v>118</v>
      </c>
      <c r="C14" s="25">
        <v>30000</v>
      </c>
      <c r="D14" s="25">
        <v>13500</v>
      </c>
      <c r="E14" s="25">
        <v>34500</v>
      </c>
      <c r="F14" s="25">
        <v>7500</v>
      </c>
      <c r="G14" s="25">
        <v>16500</v>
      </c>
    </row>
    <row r="15" spans="2:7" x14ac:dyDescent="0.45">
      <c r="B15" s="2" t="s">
        <v>119</v>
      </c>
      <c r="C15" s="25">
        <v>37500</v>
      </c>
      <c r="D15" s="25">
        <v>46500</v>
      </c>
      <c r="E15" s="25">
        <v>42000</v>
      </c>
      <c r="F15" s="25">
        <v>25500</v>
      </c>
      <c r="G15" s="25">
        <v>24000</v>
      </c>
    </row>
    <row r="16" spans="2:7" x14ac:dyDescent="0.45">
      <c r="B16" s="2" t="s">
        <v>120</v>
      </c>
      <c r="C16" s="25">
        <v>34500</v>
      </c>
      <c r="D16" s="25">
        <v>75000</v>
      </c>
      <c r="E16" s="25">
        <v>39000</v>
      </c>
      <c r="F16" s="25">
        <v>25500</v>
      </c>
      <c r="G16" s="25">
        <v>21000</v>
      </c>
    </row>
    <row r="17" spans="2:7" x14ac:dyDescent="0.45">
      <c r="B17" s="2" t="s">
        <v>121</v>
      </c>
      <c r="C17" s="25">
        <v>36000</v>
      </c>
      <c r="D17" s="25">
        <v>18000</v>
      </c>
      <c r="E17" s="25">
        <v>40500</v>
      </c>
      <c r="F17" s="25">
        <v>30000</v>
      </c>
      <c r="G17" s="25">
        <v>15000</v>
      </c>
    </row>
    <row r="18" spans="2:7" x14ac:dyDescent="0.45">
      <c r="B18" s="2" t="s">
        <v>122</v>
      </c>
      <c r="C18" s="25">
        <v>27000</v>
      </c>
      <c r="D18" s="25">
        <v>24000</v>
      </c>
      <c r="E18" s="25">
        <v>0</v>
      </c>
      <c r="F18" s="25">
        <v>13500</v>
      </c>
      <c r="G18" s="25">
        <v>13500</v>
      </c>
    </row>
    <row r="19" spans="2:7" x14ac:dyDescent="0.45">
      <c r="B19" s="2" t="s">
        <v>123</v>
      </c>
      <c r="C19" s="25">
        <v>36000</v>
      </c>
      <c r="D19" s="25">
        <v>18000</v>
      </c>
      <c r="E19" s="25">
        <v>40500</v>
      </c>
      <c r="F19" s="25">
        <v>-1</v>
      </c>
      <c r="G19" s="25">
        <v>0</v>
      </c>
    </row>
    <row r="20" spans="2:7" x14ac:dyDescent="0.45">
      <c r="B20" s="2" t="s">
        <v>124</v>
      </c>
      <c r="C20" s="25">
        <v>46500</v>
      </c>
      <c r="D20" s="25">
        <v>67500</v>
      </c>
      <c r="E20" s="25">
        <v>28500</v>
      </c>
      <c r="F20" s="25">
        <v>31500</v>
      </c>
      <c r="G20" s="25">
        <v>18000</v>
      </c>
    </row>
    <row r="21" spans="2:7" x14ac:dyDescent="0.45">
      <c r="B21" s="2" t="s">
        <v>125</v>
      </c>
      <c r="C21" s="25">
        <v>45000</v>
      </c>
      <c r="D21" s="25">
        <v>-1</v>
      </c>
      <c r="E21" s="25">
        <v>24000</v>
      </c>
      <c r="F21" s="25">
        <v>27000</v>
      </c>
      <c r="G21" s="25">
        <v>28500</v>
      </c>
    </row>
    <row r="22" spans="2:7" x14ac:dyDescent="0.45">
      <c r="B22" s="2" t="s">
        <v>126</v>
      </c>
      <c r="C22" s="25">
        <v>0</v>
      </c>
      <c r="D22" s="25">
        <v>19500</v>
      </c>
      <c r="E22" s="25">
        <v>28500</v>
      </c>
      <c r="F22" s="25">
        <v>13500</v>
      </c>
      <c r="G22" s="25">
        <v>10500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F20"/>
  <sheetViews>
    <sheetView workbookViewId="0"/>
  </sheetViews>
  <sheetFormatPr defaultRowHeight="17" x14ac:dyDescent="0.45"/>
  <cols>
    <col min="2" max="2" width="13.6640625" customWidth="1"/>
    <col min="3" max="3" width="12.25" customWidth="1"/>
    <col min="4" max="4" width="13.1640625" customWidth="1"/>
    <col min="6" max="6" width="13.33203125" customWidth="1"/>
  </cols>
  <sheetData>
    <row r="3" spans="1:6" x14ac:dyDescent="0.45">
      <c r="A3" s="10" t="s">
        <v>96</v>
      </c>
      <c r="B3" s="10"/>
      <c r="C3" s="10"/>
      <c r="D3" s="10"/>
    </row>
    <row r="4" spans="1:6" x14ac:dyDescent="0.45">
      <c r="A4" s="12" t="s">
        <v>97</v>
      </c>
      <c r="B4" s="12" t="s">
        <v>98</v>
      </c>
      <c r="C4" s="12" t="s">
        <v>99</v>
      </c>
      <c r="D4" s="12" t="s">
        <v>100</v>
      </c>
      <c r="F4" s="12" t="s">
        <v>98</v>
      </c>
    </row>
    <row r="5" spans="1:6" x14ac:dyDescent="0.45">
      <c r="A5" s="8" t="s">
        <v>101</v>
      </c>
      <c r="B5" s="8" t="s">
        <v>93</v>
      </c>
      <c r="C5" s="8">
        <v>5</v>
      </c>
      <c r="D5" s="8" t="s">
        <v>102</v>
      </c>
      <c r="F5" s="8" t="s">
        <v>92</v>
      </c>
    </row>
    <row r="6" spans="1:6" x14ac:dyDescent="0.45">
      <c r="A6" s="8"/>
      <c r="B6" s="8"/>
      <c r="C6" s="8"/>
      <c r="D6" s="8"/>
      <c r="F6" s="8" t="s">
        <v>93</v>
      </c>
    </row>
    <row r="7" spans="1:6" x14ac:dyDescent="0.45">
      <c r="A7" s="8"/>
      <c r="B7" s="8"/>
      <c r="C7" s="8"/>
      <c r="D7" s="8"/>
      <c r="F7" s="8" t="s">
        <v>94</v>
      </c>
    </row>
    <row r="8" spans="1:6" x14ac:dyDescent="0.45">
      <c r="A8" s="8"/>
      <c r="B8" s="8"/>
      <c r="C8" s="8"/>
      <c r="D8" s="8"/>
      <c r="F8" s="8" t="s">
        <v>95</v>
      </c>
    </row>
    <row r="9" spans="1:6" x14ac:dyDescent="0.45">
      <c r="A9" s="8"/>
      <c r="B9" s="8"/>
      <c r="C9" s="8"/>
      <c r="D9" s="8"/>
    </row>
    <row r="10" spans="1:6" x14ac:dyDescent="0.45">
      <c r="A10" s="8"/>
      <c r="B10" s="8"/>
      <c r="C10" s="8"/>
      <c r="D10" s="8"/>
    </row>
    <row r="11" spans="1:6" x14ac:dyDescent="0.45">
      <c r="A11" s="8"/>
      <c r="B11" s="8"/>
      <c r="C11" s="8"/>
      <c r="D11" s="8"/>
    </row>
    <row r="12" spans="1:6" x14ac:dyDescent="0.45">
      <c r="A12" s="8"/>
      <c r="B12" s="8"/>
      <c r="C12" s="8"/>
      <c r="D12" s="8"/>
    </row>
    <row r="13" spans="1:6" x14ac:dyDescent="0.45">
      <c r="A13" s="8"/>
      <c r="B13" s="8"/>
      <c r="C13" s="8"/>
      <c r="D13" s="8"/>
    </row>
    <row r="14" spans="1:6" x14ac:dyDescent="0.45">
      <c r="A14" s="8"/>
      <c r="B14" s="8"/>
      <c r="C14" s="8"/>
      <c r="D14" s="8"/>
    </row>
    <row r="15" spans="1:6" x14ac:dyDescent="0.45">
      <c r="A15" s="8"/>
      <c r="B15" s="8"/>
      <c r="C15" s="8"/>
      <c r="D15" s="8"/>
    </row>
    <row r="16" spans="1:6" x14ac:dyDescent="0.45">
      <c r="A16" s="8"/>
      <c r="B16" s="8"/>
      <c r="C16" s="8"/>
      <c r="D16" s="8"/>
    </row>
    <row r="17" spans="1:4" x14ac:dyDescent="0.45">
      <c r="A17" s="8"/>
      <c r="B17" s="8"/>
      <c r="C17" s="8"/>
      <c r="D17" s="8"/>
    </row>
    <row r="18" spans="1:4" x14ac:dyDescent="0.45">
      <c r="A18" s="8"/>
      <c r="B18" s="8"/>
      <c r="C18" s="8"/>
      <c r="D18" s="8"/>
    </row>
    <row r="19" spans="1:4" x14ac:dyDescent="0.45">
      <c r="A19" s="8"/>
      <c r="B19" s="8"/>
      <c r="C19" s="8"/>
      <c r="D19" s="8"/>
    </row>
    <row r="20" spans="1:4" x14ac:dyDescent="0.45">
      <c r="A20" s="8"/>
      <c r="B20" s="8"/>
      <c r="C20" s="8"/>
      <c r="D20" s="8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등록">
          <controlPr defaultSize="0" autoLine="0" r:id="rId4">
            <anchor moveWithCells="1">
              <from>
                <xdr:col>2</xdr:col>
                <xdr:colOff>863600</xdr:colOff>
                <xdr:row>0</xdr:row>
                <xdr:rowOff>152400</xdr:rowOff>
              </from>
              <to>
                <xdr:col>3</xdr:col>
                <xdr:colOff>996950</xdr:colOff>
                <xdr:row>2</xdr:row>
                <xdr:rowOff>63500</xdr:rowOff>
              </to>
            </anchor>
          </controlPr>
        </control>
      </mc:Choice>
      <mc:Fallback>
        <control shapeId="2049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2020-06-15T01:30:00Z</dcterms:created>
  <dcterms:modified xsi:type="dcterms:W3CDTF">2022-07-09T14:28:05Z</dcterms:modified>
</cp:coreProperties>
</file>