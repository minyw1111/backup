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"/>
    </mc:Choice>
  </mc:AlternateContent>
  <bookViews>
    <workbookView xWindow="0" yWindow="0" windowWidth="25600" windowHeight="12170" tabRatio="879"/>
  </bookViews>
  <sheets>
    <sheet name="기본작업-1" sheetId="8" r:id="rId1"/>
    <sheet name="기본작업-2" sheetId="2" r:id="rId2"/>
    <sheet name="계산작업" sheetId="3" r:id="rId3"/>
    <sheet name="분석작업-1" sheetId="9" r:id="rId4"/>
    <sheet name="분석작업-2" sheetId="5" r:id="rId5"/>
    <sheet name="기타작업-1" sheetId="6" r:id="rId6"/>
    <sheet name="기타작업-2" sheetId="4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</calcChain>
</file>

<file path=xl/sharedStrings.xml><?xml version="1.0" encoding="utf-8"?>
<sst xmlns="http://schemas.openxmlformats.org/spreadsheetml/2006/main" count="547" uniqueCount="186">
  <si>
    <t>제품코드</t>
    <phoneticPr fontId="1" type="noConversion"/>
  </si>
  <si>
    <t>제품명</t>
    <phoneticPr fontId="1" type="noConversion"/>
  </si>
  <si>
    <t>구분</t>
  </si>
  <si>
    <t>브랜드이름</t>
  </si>
  <si>
    <t>권장소비자가격</t>
  </si>
  <si>
    <t>제조일자</t>
  </si>
  <si>
    <t>보존기간(개월)</t>
    <phoneticPr fontId="1" type="noConversion"/>
  </si>
  <si>
    <t>판매수량</t>
  </si>
  <si>
    <t>JK2051GC</t>
    <phoneticPr fontId="1" type="noConversion"/>
  </si>
  <si>
    <t>류마큐</t>
    <phoneticPr fontId="1" type="noConversion"/>
  </si>
  <si>
    <t>건강보조제</t>
  </si>
  <si>
    <t>정관정</t>
    <phoneticPr fontId="1" type="noConversion"/>
  </si>
  <si>
    <t>PM4051AR</t>
    <phoneticPr fontId="1" type="noConversion"/>
  </si>
  <si>
    <t>아로니아</t>
  </si>
  <si>
    <t>건강보조제</t>
    <phoneticPr fontId="1" type="noConversion"/>
  </si>
  <si>
    <t>풀모원</t>
  </si>
  <si>
    <t>JK1071GT</t>
    <phoneticPr fontId="1" type="noConversion"/>
  </si>
  <si>
    <t>인삼차</t>
  </si>
  <si>
    <t>기호식품</t>
  </si>
  <si>
    <t>정관정</t>
  </si>
  <si>
    <t>JK1081RG</t>
    <phoneticPr fontId="1" type="noConversion"/>
  </si>
  <si>
    <t>홍삼액</t>
  </si>
  <si>
    <t>홍삼제품</t>
  </si>
  <si>
    <t>PM1091KV</t>
    <phoneticPr fontId="1" type="noConversion"/>
  </si>
  <si>
    <t>어린이종합비타민</t>
  </si>
  <si>
    <t>키즈제품</t>
  </si>
  <si>
    <t>풀모원</t>
    <phoneticPr fontId="1" type="noConversion"/>
  </si>
  <si>
    <t>SN1071SB</t>
    <phoneticPr fontId="1" type="noConversion"/>
  </si>
  <si>
    <t>상어연골</t>
  </si>
  <si>
    <t>기호식품</t>
    <phoneticPr fontId="1" type="noConversion"/>
  </si>
  <si>
    <t>세노비야</t>
  </si>
  <si>
    <t>PM4061BB</t>
    <phoneticPr fontId="1" type="noConversion"/>
  </si>
  <si>
    <t>블루베리</t>
  </si>
  <si>
    <t>기능성식품</t>
  </si>
  <si>
    <t>PM2071GS</t>
    <phoneticPr fontId="1" type="noConversion"/>
  </si>
  <si>
    <t>가시오가피 농축액</t>
  </si>
  <si>
    <t>PM1081RJ</t>
    <phoneticPr fontId="1" type="noConversion"/>
  </si>
  <si>
    <t>홍삼절편</t>
  </si>
  <si>
    <t>풀모원</t>
    <phoneticPr fontId="1" type="noConversion"/>
  </si>
  <si>
    <t>JD3091TT</t>
    <phoneticPr fontId="1" type="noConversion"/>
  </si>
  <si>
    <t>튼튼정</t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</si>
  <si>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</si>
  <si>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</si>
  <si>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</si>
  <si>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</si>
  <si>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</si>
  <si>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</si>
  <si>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</si>
  <si>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</si>
  <si>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</si>
  <si>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</si>
  <si>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리프리놀</t>
  </si>
  <si>
    <t>기능성식품</t>
    <phoneticPr fontId="1" type="noConversion"/>
  </si>
  <si>
    <t>SN2051VC</t>
    <phoneticPr fontId="1" type="noConversion"/>
  </si>
  <si>
    <t>비타민C</t>
  </si>
  <si>
    <t>PM4061AB</t>
    <phoneticPr fontId="1" type="noConversion"/>
  </si>
  <si>
    <t>아사히베리</t>
  </si>
  <si>
    <t>JD1061PC</t>
    <phoneticPr fontId="1" type="noConversion"/>
  </si>
  <si>
    <t>폴리코사놀</t>
  </si>
  <si>
    <t>종곤당</t>
    <phoneticPr fontId="1" type="noConversion"/>
  </si>
  <si>
    <t>PM4071HG</t>
    <phoneticPr fontId="1" type="noConversion"/>
  </si>
  <si>
    <t>헛개나무 농축액</t>
  </si>
  <si>
    <t>JK4071MJ</t>
    <phoneticPr fontId="1" type="noConversion"/>
  </si>
  <si>
    <t>오미자차</t>
  </si>
  <si>
    <t>종곤당</t>
  </si>
  <si>
    <t>JD4071YJ</t>
    <phoneticPr fontId="1" type="noConversion"/>
  </si>
  <si>
    <t>영지버섯 농축액</t>
  </si>
  <si>
    <t>JK4081RC</t>
    <phoneticPr fontId="1" type="noConversion"/>
  </si>
  <si>
    <t>홍삼캔디</t>
  </si>
  <si>
    <t>JK1061RT</t>
    <phoneticPr fontId="1" type="noConversion"/>
  </si>
  <si>
    <t>홍삼환</t>
  </si>
  <si>
    <t>SN1091KZ</t>
    <phoneticPr fontId="1" type="noConversion"/>
  </si>
  <si>
    <t>키즈징크</t>
  </si>
  <si>
    <t>JK2091KG</t>
    <phoneticPr fontId="1" type="noConversion"/>
  </si>
  <si>
    <t>홍삼장군</t>
    <phoneticPr fontId="1" type="noConversion"/>
  </si>
  <si>
    <t>정관정</t>
    <phoneticPr fontId="1" type="noConversion"/>
  </si>
  <si>
    <t>JD1051OM</t>
    <phoneticPr fontId="1" type="noConversion"/>
  </si>
  <si>
    <t>오메가</t>
  </si>
  <si>
    <t>[표1]</t>
    <phoneticPr fontId="1" type="noConversion"/>
  </si>
  <si>
    <t>기준일</t>
    <phoneticPr fontId="1" type="noConversion"/>
  </si>
  <si>
    <t>[표2] 할인율</t>
    <phoneticPr fontId="1" type="noConversion"/>
  </si>
  <si>
    <t>제품명</t>
    <phoneticPr fontId="1" type="noConversion"/>
  </si>
  <si>
    <t>보존기간(개월)</t>
    <phoneticPr fontId="1" type="noConversion"/>
  </si>
  <si>
    <t>할인판매금액</t>
  </si>
  <si>
    <t>비고</t>
    <phoneticPr fontId="1" type="noConversion"/>
  </si>
  <si>
    <t>남은기간</t>
    <phoneticPr fontId="1" type="noConversion"/>
  </si>
  <si>
    <t>할인율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</si>
  <si>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</si>
  <si>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</si>
  <si>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</si>
  <si>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</si>
  <si>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</si>
  <si>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</si>
  <si>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</si>
  <si>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</si>
  <si>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</si>
  <si>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</si>
  <si>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</si>
  <si>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</si>
  <si>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</si>
  <si>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</si>
  <si>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</si>
  <si>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</si>
  <si>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</si>
  <si>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</si>
  <si>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</si>
  <si>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</si>
  <si>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</si>
  <si>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</si>
  <si>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</si>
  <si>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</si>
  <si>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</si>
  <si>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</si>
  <si>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</si>
  <si>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</si>
  <si>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</si>
  <si>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</si>
  <si>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</si>
  <si>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</si>
  <si>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</si>
  <si>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[표3] 구분별, 브랜드이름별 판매수량 합계</t>
    <phoneticPr fontId="1" type="noConversion"/>
  </si>
  <si>
    <t>[표4] 구분별 최다 판매 제품명과 판매수량</t>
    <phoneticPr fontId="1" type="noConversion"/>
  </si>
  <si>
    <t>[표5] 1일 섭취횟수 비율</t>
    <phoneticPr fontId="1" type="noConversion"/>
  </si>
  <si>
    <t>구분</t>
    <phoneticPr fontId="1" type="noConversion"/>
  </si>
  <si>
    <t>판매수량</t>
    <phoneticPr fontId="1" type="noConversion"/>
  </si>
  <si>
    <t>코드</t>
    <phoneticPr fontId="1" type="noConversion"/>
  </si>
  <si>
    <t>섭취횟수</t>
    <phoneticPr fontId="1" type="noConversion"/>
  </si>
  <si>
    <t>비율</t>
    <phoneticPr fontId="1" type="noConversion"/>
  </si>
  <si>
    <t>1일 1회</t>
    <phoneticPr fontId="1" type="noConversion"/>
  </si>
  <si>
    <t xml:space="preserve">1일 2회 </t>
    <phoneticPr fontId="1" type="noConversion"/>
  </si>
  <si>
    <t xml:space="preserve">1일 3회 </t>
    <phoneticPr fontId="1" type="noConversion"/>
  </si>
  <si>
    <t xml:space="preserve">1일 1회 ~ 3회 </t>
    <phoneticPr fontId="1" type="noConversion"/>
  </si>
  <si>
    <t>제품명</t>
  </si>
  <si>
    <t>유통기한(개월)</t>
  </si>
  <si>
    <t>글루코사민</t>
  </si>
  <si>
    <t>종군당</t>
  </si>
  <si>
    <t>어린이오메가</t>
  </si>
  <si>
    <t>제품코드</t>
    <phoneticPr fontId="1" type="noConversion"/>
  </si>
  <si>
    <t>제품명</t>
    <phoneticPr fontId="1" type="noConversion"/>
  </si>
  <si>
    <t>보존기간(개월)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</si>
  <si>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</si>
  <si>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</si>
  <si>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</si>
  <si>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</si>
  <si>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</si>
  <si>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</si>
  <si>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</si>
  <si>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</si>
  <si>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풀모원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</si>
  <si>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</si>
  <si>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</si>
  <si>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</si>
  <si>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PM2071GS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</si>
  <si>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</si>
  <si>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</si>
  <si>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</si>
  <si>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</si>
  <si>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</si>
  <si>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</si>
  <si>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</si>
  <si>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</si>
  <si>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</si>
  <si>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</si>
  <si>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</si>
  <si>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</si>
  <si>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SN2051VC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</si>
  <si>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</si>
  <si>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</si>
  <si>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</si>
  <si>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</si>
  <si>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</si>
  <si>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</si>
  <si>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JK1061RT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</si>
  <si>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</si>
  <si>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</si>
  <si>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</si>
  <si>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</si>
  <si>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[표1]</t>
    <phoneticPr fontId="1" type="noConversion"/>
  </si>
  <si>
    <t>구분</t>
    <phoneticPr fontId="1" type="noConversion"/>
  </si>
  <si>
    <t>판매수량</t>
    <phoneticPr fontId="1" type="noConversion"/>
  </si>
  <si>
    <t>판매비율</t>
    <phoneticPr fontId="1" type="noConversion"/>
  </si>
  <si>
    <t>제품명</t>
    <phoneticPr fontId="1" type="noConversion"/>
  </si>
  <si>
    <t>판매가격</t>
    <phoneticPr fontId="1" type="noConversion"/>
  </si>
  <si>
    <t>보존기간(개월)</t>
    <phoneticPr fontId="1" type="noConversion"/>
  </si>
  <si>
    <t>1일 섭취횟수</t>
    <phoneticPr fontId="1" type="noConversion"/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</si>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</sst>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14" fontId="3" fillId="0" borderId="1" xfId="0" applyNumberFormat="1" applyFont="1" applyFill="1" applyBorder="1">
      <alignment vertical="center"/>
    </xf>
    <xf numFmtId="14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" xfId="2" applyFont="1" applyBorder="1">
      <alignment vertical="center"/>
    </xf>
    <xf numFmtId="0" fontId="4" fillId="0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158</c:v>
                </c:pt>
                <c:pt idx="1">
                  <c:v>100</c:v>
                </c:pt>
                <c:pt idx="2">
                  <c:v>250</c:v>
                </c:pt>
                <c:pt idx="3">
                  <c:v>350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C-48FE-B229-830805883808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판매비율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'기타작업-1'!$D$3:$D$7</c:f>
              <c:numCache>
                <c:formatCode>0%</c:formatCode>
                <c:ptCount val="5"/>
                <c:pt idx="0">
                  <c:v>0.16155419222903886</c:v>
                </c:pt>
                <c:pt idx="1">
                  <c:v>0.10224948875255624</c:v>
                </c:pt>
                <c:pt idx="2">
                  <c:v>0.2556237218813906</c:v>
                </c:pt>
                <c:pt idx="3">
                  <c:v>0.35787321063394684</c:v>
                </c:pt>
                <c:pt idx="4">
                  <c:v>0.12269938650306748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DC-48FE-B229-83080588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45105136"/>
        <c:axId val="1645101808"/>
      </c:barChart>
      <c:catAx>
        <c:axId val="164510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1808"/>
        <c:crosses val="autoZero"/>
        <c:auto val="1"/>
        <c:lblAlgn val="ctr"/>
        <c:lblOffset val="100"/>
        <c:noMultiLvlLbl val="0"/>
      </c:catAx>
      <c:valAx>
        <c:axId val="16451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70" name="cmd판매등록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H26"/>
  <sheetViews>
    <sheetView tabSelected="1"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3.582031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44478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44201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44264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44291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44285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44540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44478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44448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44416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44384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41</v>
      </c>
      <c r="E13" s="3">
        <v>180000</v>
      </c>
      <c r="F13" s="4">
        <v>44317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44</v>
      </c>
      <c r="D14" s="2" t="s">
        <v>49</v>
      </c>
      <c r="E14" s="3">
        <v>45000</v>
      </c>
      <c r="F14" s="4">
        <v>44349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44353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44322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44290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41</v>
      </c>
      <c r="E18" s="3">
        <v>70000</v>
      </c>
      <c r="F18" s="4">
        <v>44258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44229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44558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44530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44500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44469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44439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11</v>
      </c>
      <c r="E25" s="3">
        <v>43000</v>
      </c>
      <c r="F25" s="4">
        <v>44408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44377</v>
      </c>
      <c r="G26" s="2">
        <v>18</v>
      </c>
      <c r="H26" s="2">
        <v>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26"/>
  <sheetViews>
    <sheetView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3.582031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44478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44201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44264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44291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44285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44540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44478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44448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38</v>
      </c>
      <c r="E11" s="3">
        <v>80000</v>
      </c>
      <c r="F11" s="4">
        <v>44416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44384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45</v>
      </c>
      <c r="E13" s="3">
        <v>180000</v>
      </c>
      <c r="F13" s="4">
        <v>44317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48</v>
      </c>
      <c r="D14" s="2" t="s">
        <v>49</v>
      </c>
      <c r="E14" s="3">
        <v>45000</v>
      </c>
      <c r="F14" s="4">
        <v>44349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44353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44322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44290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59</v>
      </c>
      <c r="E18" s="3">
        <v>70000</v>
      </c>
      <c r="F18" s="4">
        <v>44258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44229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44558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44530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44500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44469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44439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75</v>
      </c>
      <c r="E25" s="3">
        <v>43000</v>
      </c>
      <c r="F25" s="4">
        <v>44408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44377</v>
      </c>
      <c r="G26" s="2">
        <v>18</v>
      </c>
      <c r="H26" s="2"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4"/>
  <sheetViews>
    <sheetView workbookViewId="0"/>
  </sheetViews>
  <sheetFormatPr defaultRowHeight="17"/>
  <cols>
    <col min="1" max="1" width="11.58203125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4.25" customWidth="1"/>
    <col min="8" max="8" width="12.33203125" bestFit="1" customWidth="1"/>
    <col min="9" max="9" width="9.6640625" customWidth="1"/>
    <col min="10" max="10" width="11.33203125" customWidth="1"/>
    <col min="12" max="12" width="13.83203125" bestFit="1" customWidth="1"/>
  </cols>
  <sheetData>
    <row r="1" spans="1:13">
      <c r="A1" t="s">
        <v>78</v>
      </c>
      <c r="I1" t="s">
        <v>79</v>
      </c>
      <c r="J1" s="5">
        <v>44560</v>
      </c>
      <c r="L1" t="s">
        <v>80</v>
      </c>
    </row>
    <row r="2" spans="1:13">
      <c r="A2" s="1" t="s">
        <v>0</v>
      </c>
      <c r="B2" s="1" t="s">
        <v>81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82</v>
      </c>
      <c r="H2" s="6" t="s">
        <v>83</v>
      </c>
      <c r="I2" s="1" t="s">
        <v>7</v>
      </c>
      <c r="J2" s="6" t="s">
        <v>84</v>
      </c>
      <c r="L2" s="7" t="s">
        <v>85</v>
      </c>
      <c r="M2" s="7" t="s">
        <v>86</v>
      </c>
    </row>
    <row r="3" spans="1:13">
      <c r="A3" s="2" t="s">
        <v>87</v>
      </c>
      <c r="B3" s="2" t="s">
        <v>88</v>
      </c>
      <c r="C3" s="2" t="s">
        <v>10</v>
      </c>
      <c r="D3" s="2" t="s">
        <v>89</v>
      </c>
      <c r="E3" s="3">
        <v>27000</v>
      </c>
      <c r="F3" s="4">
        <v>44478</v>
      </c>
      <c r="G3" s="2">
        <v>24</v>
      </c>
      <c r="H3" s="3"/>
      <c r="I3" s="2">
        <v>10</v>
      </c>
      <c r="J3" s="1"/>
      <c r="L3" s="8">
        <v>1</v>
      </c>
      <c r="M3" s="9">
        <v>0.5</v>
      </c>
    </row>
    <row r="4" spans="1:13">
      <c r="A4" s="2" t="s">
        <v>90</v>
      </c>
      <c r="B4" s="2" t="s">
        <v>13</v>
      </c>
      <c r="C4" s="2" t="s">
        <v>91</v>
      </c>
      <c r="D4" s="2" t="s">
        <v>15</v>
      </c>
      <c r="E4" s="3">
        <v>30000</v>
      </c>
      <c r="F4" s="4">
        <v>44201</v>
      </c>
      <c r="G4" s="2">
        <v>18</v>
      </c>
      <c r="H4" s="3"/>
      <c r="I4" s="2">
        <v>15</v>
      </c>
      <c r="J4" s="1"/>
      <c r="L4" s="8">
        <v>7</v>
      </c>
      <c r="M4" s="9">
        <v>0.35</v>
      </c>
    </row>
    <row r="5" spans="1:13">
      <c r="A5" s="2" t="s">
        <v>92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44264</v>
      </c>
      <c r="G5" s="2">
        <v>36</v>
      </c>
      <c r="H5" s="3"/>
      <c r="I5" s="2">
        <v>9</v>
      </c>
      <c r="J5" s="1"/>
      <c r="L5" s="8">
        <v>12</v>
      </c>
      <c r="M5" s="9">
        <v>0.2</v>
      </c>
    </row>
    <row r="6" spans="1:13">
      <c r="A6" s="2" t="s">
        <v>93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44291</v>
      </c>
      <c r="G6" s="2">
        <v>24</v>
      </c>
      <c r="H6" s="3"/>
      <c r="I6" s="2">
        <v>25</v>
      </c>
      <c r="J6" s="1"/>
      <c r="L6" s="8">
        <v>24</v>
      </c>
      <c r="M6" s="9">
        <v>0.1</v>
      </c>
    </row>
    <row r="7" spans="1:13">
      <c r="A7" s="2" t="s">
        <v>94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44285</v>
      </c>
      <c r="G7" s="2">
        <v>12</v>
      </c>
      <c r="H7" s="3"/>
      <c r="I7" s="2">
        <v>12</v>
      </c>
      <c r="J7" s="1"/>
    </row>
    <row r="8" spans="1:13">
      <c r="A8" s="2" t="s">
        <v>95</v>
      </c>
      <c r="B8" s="2" t="s">
        <v>28</v>
      </c>
      <c r="C8" s="2" t="s">
        <v>96</v>
      </c>
      <c r="D8" s="2" t="s">
        <v>30</v>
      </c>
      <c r="E8" s="3">
        <v>65000</v>
      </c>
      <c r="F8" s="4">
        <v>44540</v>
      </c>
      <c r="G8" s="2">
        <v>12</v>
      </c>
      <c r="H8" s="3"/>
      <c r="I8" s="2">
        <v>8</v>
      </c>
      <c r="J8" s="1"/>
    </row>
    <row r="9" spans="1:13">
      <c r="A9" s="2" t="s">
        <v>97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44478</v>
      </c>
      <c r="G9" s="2">
        <v>12</v>
      </c>
      <c r="H9" s="3"/>
      <c r="I9" s="2">
        <v>11</v>
      </c>
      <c r="J9" s="1"/>
    </row>
    <row r="10" spans="1:13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44448</v>
      </c>
      <c r="G10" s="2">
        <v>12</v>
      </c>
      <c r="H10" s="3"/>
      <c r="I10" s="2">
        <v>14</v>
      </c>
      <c r="J10" s="1"/>
    </row>
    <row r="11" spans="1:13">
      <c r="A11" s="2" t="s">
        <v>98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44416</v>
      </c>
      <c r="G11" s="2">
        <v>24</v>
      </c>
      <c r="H11" s="3"/>
      <c r="I11" s="2">
        <v>20</v>
      </c>
      <c r="J11" s="1"/>
    </row>
    <row r="12" spans="1:13">
      <c r="A12" s="2" t="s">
        <v>99</v>
      </c>
      <c r="B12" s="2" t="s">
        <v>40</v>
      </c>
      <c r="C12" s="2" t="s">
        <v>25</v>
      </c>
      <c r="D12" s="2" t="s">
        <v>100</v>
      </c>
      <c r="E12" s="3">
        <v>40000</v>
      </c>
      <c r="F12" s="4">
        <v>44384</v>
      </c>
      <c r="G12" s="2">
        <v>18</v>
      </c>
      <c r="H12" s="3"/>
      <c r="I12" s="2">
        <v>17</v>
      </c>
      <c r="J12" s="1"/>
    </row>
    <row r="13" spans="1:13">
      <c r="A13" s="2" t="s">
        <v>101</v>
      </c>
      <c r="B13" s="2" t="s">
        <v>102</v>
      </c>
      <c r="C13" s="2" t="s">
        <v>103</v>
      </c>
      <c r="D13" s="2" t="s">
        <v>100</v>
      </c>
      <c r="E13" s="3">
        <v>180000</v>
      </c>
      <c r="F13" s="4">
        <v>44317</v>
      </c>
      <c r="G13" s="2">
        <v>12</v>
      </c>
      <c r="H13" s="3"/>
      <c r="I13" s="2">
        <v>10</v>
      </c>
      <c r="J13" s="1"/>
    </row>
    <row r="14" spans="1:13">
      <c r="A14" s="2" t="s">
        <v>104</v>
      </c>
      <c r="B14" s="2" t="s">
        <v>105</v>
      </c>
      <c r="C14" s="2" t="s">
        <v>106</v>
      </c>
      <c r="D14" s="2" t="s">
        <v>107</v>
      </c>
      <c r="E14" s="3">
        <v>45000</v>
      </c>
      <c r="F14" s="4">
        <v>44349</v>
      </c>
      <c r="G14" s="2">
        <v>12</v>
      </c>
      <c r="H14" s="3"/>
      <c r="I14" s="2">
        <v>8</v>
      </c>
      <c r="J14" s="1"/>
    </row>
    <row r="15" spans="1:13">
      <c r="A15" s="2" t="s">
        <v>108</v>
      </c>
      <c r="B15" s="2" t="s">
        <v>51</v>
      </c>
      <c r="C15" s="2" t="s">
        <v>109</v>
      </c>
      <c r="D15" s="2" t="s">
        <v>30</v>
      </c>
      <c r="E15" s="3">
        <v>50000</v>
      </c>
      <c r="F15" s="4">
        <v>44353</v>
      </c>
      <c r="G15" s="2">
        <v>18</v>
      </c>
      <c r="H15" s="3"/>
      <c r="I15" s="2">
        <v>7</v>
      </c>
      <c r="J15" s="1"/>
    </row>
    <row r="16" spans="1:13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44322</v>
      </c>
      <c r="G16" s="2">
        <v>24</v>
      </c>
      <c r="H16" s="3"/>
      <c r="I16" s="2">
        <v>30</v>
      </c>
      <c r="J16" s="1"/>
    </row>
    <row r="17" spans="1:13">
      <c r="A17" s="2" t="s">
        <v>110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44290</v>
      </c>
      <c r="G17" s="2">
        <v>12</v>
      </c>
      <c r="H17" s="3"/>
      <c r="I17" s="2">
        <v>20</v>
      </c>
      <c r="J17" s="1"/>
    </row>
    <row r="18" spans="1:13">
      <c r="A18" s="2" t="s">
        <v>111</v>
      </c>
      <c r="B18" s="2" t="s">
        <v>58</v>
      </c>
      <c r="C18" s="2" t="s">
        <v>33</v>
      </c>
      <c r="D18" s="2" t="s">
        <v>100</v>
      </c>
      <c r="E18" s="3">
        <v>70000</v>
      </c>
      <c r="F18" s="4">
        <v>44258</v>
      </c>
      <c r="G18" s="2">
        <v>12</v>
      </c>
      <c r="H18" s="3"/>
      <c r="I18" s="2">
        <v>10</v>
      </c>
      <c r="J18" s="1"/>
    </row>
    <row r="19" spans="1:13">
      <c r="A19" s="2" t="s">
        <v>112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44229</v>
      </c>
      <c r="G19" s="2">
        <v>12</v>
      </c>
      <c r="H19" s="3"/>
      <c r="I19" s="2">
        <v>9</v>
      </c>
      <c r="J19" s="1"/>
    </row>
    <row r="20" spans="1:13">
      <c r="A20" s="2" t="s">
        <v>113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44558</v>
      </c>
      <c r="G20" s="2">
        <v>12</v>
      </c>
      <c r="H20" s="3"/>
      <c r="I20" s="2">
        <v>8</v>
      </c>
      <c r="J20" s="1"/>
    </row>
    <row r="21" spans="1:13">
      <c r="A21" s="2" t="s">
        <v>114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44530</v>
      </c>
      <c r="G21" s="2">
        <v>12</v>
      </c>
      <c r="H21" s="3"/>
      <c r="I21" s="2">
        <v>15</v>
      </c>
      <c r="J21" s="1"/>
    </row>
    <row r="22" spans="1:13">
      <c r="A22" s="2" t="s">
        <v>115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44500</v>
      </c>
      <c r="G22" s="2">
        <v>24</v>
      </c>
      <c r="H22" s="3"/>
      <c r="I22" s="2">
        <v>20</v>
      </c>
      <c r="J22" s="1"/>
    </row>
    <row r="23" spans="1:13">
      <c r="A23" s="2" t="s">
        <v>69</v>
      </c>
      <c r="B23" s="2" t="s">
        <v>70</v>
      </c>
      <c r="C23" s="2" t="s">
        <v>109</v>
      </c>
      <c r="D23" s="2" t="s">
        <v>19</v>
      </c>
      <c r="E23" s="3">
        <v>50000</v>
      </c>
      <c r="F23" s="4">
        <v>44469</v>
      </c>
      <c r="G23" s="2">
        <v>12</v>
      </c>
      <c r="H23" s="3"/>
      <c r="I23" s="2">
        <v>18</v>
      </c>
      <c r="J23" s="1"/>
    </row>
    <row r="24" spans="1:13">
      <c r="A24" s="2" t="s">
        <v>116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44439</v>
      </c>
      <c r="G24" s="2">
        <v>12</v>
      </c>
      <c r="H24" s="3"/>
      <c r="I24" s="2">
        <v>16</v>
      </c>
      <c r="J24" s="1"/>
    </row>
    <row r="25" spans="1:13">
      <c r="A25" s="2" t="s">
        <v>117</v>
      </c>
      <c r="B25" s="2" t="s">
        <v>118</v>
      </c>
      <c r="C25" s="2" t="s">
        <v>25</v>
      </c>
      <c r="D25" s="2" t="s">
        <v>11</v>
      </c>
      <c r="E25" s="3">
        <v>43000</v>
      </c>
      <c r="F25" s="4">
        <v>44408</v>
      </c>
      <c r="G25" s="2">
        <v>18</v>
      </c>
      <c r="H25" s="3"/>
      <c r="I25" s="2">
        <v>21</v>
      </c>
      <c r="J25" s="1"/>
    </row>
    <row r="26" spans="1:13">
      <c r="A26" s="2" t="s">
        <v>119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44377</v>
      </c>
      <c r="G26" s="2">
        <v>18</v>
      </c>
      <c r="H26" s="3"/>
      <c r="I26" s="2">
        <v>18</v>
      </c>
      <c r="J26" s="1"/>
    </row>
    <row r="28" spans="1:13">
      <c r="A28" s="10" t="s">
        <v>120</v>
      </c>
      <c r="G28" t="s">
        <v>121</v>
      </c>
      <c r="K28" t="s">
        <v>122</v>
      </c>
    </row>
    <row r="29" spans="1:13">
      <c r="A29" s="1" t="s">
        <v>123</v>
      </c>
      <c r="B29" s="6" t="s">
        <v>15</v>
      </c>
      <c r="C29" s="6" t="s">
        <v>19</v>
      </c>
      <c r="D29" s="6" t="s">
        <v>30</v>
      </c>
      <c r="E29" s="6" t="s">
        <v>64</v>
      </c>
      <c r="G29" s="1" t="s">
        <v>123</v>
      </c>
      <c r="H29" s="6" t="s">
        <v>81</v>
      </c>
      <c r="I29" s="6" t="s">
        <v>124</v>
      </c>
      <c r="K29" s="7" t="s">
        <v>125</v>
      </c>
      <c r="L29" s="11" t="s">
        <v>126</v>
      </c>
      <c r="M29" s="12" t="s">
        <v>127</v>
      </c>
    </row>
    <row r="30" spans="1:13">
      <c r="A30" s="1" t="s">
        <v>10</v>
      </c>
      <c r="B30" s="7"/>
      <c r="C30" s="7"/>
      <c r="D30" s="7"/>
      <c r="E30" s="7"/>
      <c r="G30" s="1" t="s">
        <v>10</v>
      </c>
      <c r="H30" s="7"/>
      <c r="I30" s="7"/>
      <c r="J30" s="13"/>
      <c r="K30" s="7">
        <v>10</v>
      </c>
      <c r="L30" s="8" t="s">
        <v>128</v>
      </c>
      <c r="M30" s="14"/>
    </row>
    <row r="31" spans="1:13">
      <c r="A31" s="1" t="s">
        <v>33</v>
      </c>
      <c r="B31" s="7"/>
      <c r="C31" s="7"/>
      <c r="D31" s="7"/>
      <c r="E31" s="7"/>
      <c r="G31" s="1" t="s">
        <v>33</v>
      </c>
      <c r="H31" s="7"/>
      <c r="I31" s="7"/>
      <c r="J31" s="13"/>
      <c r="K31" s="7">
        <v>20</v>
      </c>
      <c r="L31" s="8" t="s">
        <v>129</v>
      </c>
      <c r="M31" s="14"/>
    </row>
    <row r="32" spans="1:13">
      <c r="A32" s="1" t="s">
        <v>18</v>
      </c>
      <c r="B32" s="7"/>
      <c r="C32" s="7"/>
      <c r="D32" s="7"/>
      <c r="E32" s="7"/>
      <c r="G32" s="1" t="s">
        <v>18</v>
      </c>
      <c r="H32" s="7"/>
      <c r="I32" s="7"/>
      <c r="J32" s="13"/>
      <c r="K32" s="7">
        <v>30</v>
      </c>
      <c r="L32" s="8" t="s">
        <v>130</v>
      </c>
      <c r="M32" s="14"/>
    </row>
    <row r="33" spans="1:13">
      <c r="A33" s="1" t="s">
        <v>22</v>
      </c>
      <c r="B33" s="7"/>
      <c r="C33" s="7"/>
      <c r="D33" s="7"/>
      <c r="E33" s="7"/>
      <c r="G33" s="1" t="s">
        <v>22</v>
      </c>
      <c r="H33" s="7"/>
      <c r="I33" s="7"/>
      <c r="J33" s="13"/>
      <c r="K33" s="7">
        <v>40</v>
      </c>
      <c r="L33" s="8" t="s">
        <v>131</v>
      </c>
      <c r="M33" s="14"/>
    </row>
    <row r="34" spans="1:13">
      <c r="A34" s="1" t="s">
        <v>25</v>
      </c>
      <c r="B34" s="7"/>
      <c r="C34" s="7"/>
      <c r="D34" s="7"/>
      <c r="E34" s="7"/>
      <c r="G34" s="1" t="s">
        <v>25</v>
      </c>
      <c r="H34" s="7"/>
      <c r="I34" s="7"/>
      <c r="J34" s="1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workbookViewId="0"/>
  </sheetViews>
  <sheetFormatPr defaultRowHeight="17"/>
  <cols>
    <col min="1" max="1" width="17" bestFit="1" customWidth="1"/>
    <col min="2" max="2" width="10.4140625" bestFit="1" customWidth="1"/>
    <col min="3" max="3" width="10.58203125" bestFit="1" customWidth="1"/>
    <col min="4" max="4" width="14.5" bestFit="1" customWidth="1"/>
    <col min="5" max="5" width="10.75" bestFit="1" customWidth="1"/>
    <col min="6" max="6" width="13.9140625" bestFit="1" customWidth="1"/>
    <col min="7" max="7" width="12.5" bestFit="1" customWidth="1"/>
  </cols>
  <sheetData>
    <row r="1" spans="1:8">
      <c r="A1" t="s">
        <v>185</v>
      </c>
    </row>
    <row r="2" spans="1:8">
      <c r="A2" s="15" t="s">
        <v>132</v>
      </c>
      <c r="B2" s="15" t="s">
        <v>2</v>
      </c>
      <c r="C2" s="15" t="s">
        <v>3</v>
      </c>
      <c r="D2" s="15" t="s">
        <v>4</v>
      </c>
      <c r="E2" s="15" t="s">
        <v>5</v>
      </c>
      <c r="F2" s="15" t="s">
        <v>133</v>
      </c>
      <c r="G2" s="15" t="s">
        <v>83</v>
      </c>
      <c r="H2" s="15" t="s">
        <v>7</v>
      </c>
    </row>
    <row r="3" spans="1:8">
      <c r="A3" s="2" t="s">
        <v>134</v>
      </c>
      <c r="B3" s="1" t="s">
        <v>10</v>
      </c>
      <c r="C3" s="1" t="s">
        <v>135</v>
      </c>
      <c r="D3" s="3">
        <v>27000</v>
      </c>
      <c r="E3" s="4">
        <v>44478</v>
      </c>
      <c r="F3" s="2">
        <v>24</v>
      </c>
      <c r="G3" s="3">
        <v>25000</v>
      </c>
      <c r="H3" s="2">
        <v>10</v>
      </c>
    </row>
    <row r="4" spans="1:8">
      <c r="A4" s="2" t="s">
        <v>13</v>
      </c>
      <c r="B4" s="1" t="s">
        <v>33</v>
      </c>
      <c r="C4" s="1" t="s">
        <v>15</v>
      </c>
      <c r="D4" s="3">
        <v>30000</v>
      </c>
      <c r="E4" s="4">
        <v>44201</v>
      </c>
      <c r="F4" s="2">
        <v>18</v>
      </c>
      <c r="G4" s="3">
        <v>27000</v>
      </c>
      <c r="H4" s="2">
        <v>15</v>
      </c>
    </row>
    <row r="5" spans="1:8">
      <c r="A5" s="2" t="s">
        <v>17</v>
      </c>
      <c r="B5" s="1" t="s">
        <v>18</v>
      </c>
      <c r="C5" s="1" t="s">
        <v>19</v>
      </c>
      <c r="D5" s="3">
        <v>50000</v>
      </c>
      <c r="E5" s="4">
        <v>44264</v>
      </c>
      <c r="F5" s="2">
        <v>24</v>
      </c>
      <c r="G5" s="3">
        <v>47000</v>
      </c>
      <c r="H5" s="2">
        <v>9</v>
      </c>
    </row>
    <row r="6" spans="1:8">
      <c r="A6" s="2" t="s">
        <v>21</v>
      </c>
      <c r="B6" s="1" t="s">
        <v>22</v>
      </c>
      <c r="C6" s="1" t="s">
        <v>19</v>
      </c>
      <c r="D6" s="3">
        <v>200000</v>
      </c>
      <c r="E6" s="4">
        <v>44291</v>
      </c>
      <c r="F6" s="2">
        <v>24</v>
      </c>
      <c r="G6" s="3">
        <v>185000</v>
      </c>
      <c r="H6" s="2">
        <v>25</v>
      </c>
    </row>
    <row r="7" spans="1:8">
      <c r="A7" s="2" t="s">
        <v>24</v>
      </c>
      <c r="B7" s="1" t="s">
        <v>25</v>
      </c>
      <c r="C7" s="1" t="s">
        <v>30</v>
      </c>
      <c r="D7" s="3">
        <v>35000</v>
      </c>
      <c r="E7" s="4">
        <v>44285</v>
      </c>
      <c r="F7" s="2">
        <v>12</v>
      </c>
      <c r="G7" s="3">
        <v>32000</v>
      </c>
      <c r="H7" s="2">
        <v>12</v>
      </c>
    </row>
    <row r="8" spans="1:8">
      <c r="A8" s="2" t="s">
        <v>28</v>
      </c>
      <c r="B8" s="1" t="s">
        <v>10</v>
      </c>
      <c r="C8" s="1" t="s">
        <v>30</v>
      </c>
      <c r="D8" s="3">
        <v>65000</v>
      </c>
      <c r="E8" s="4">
        <v>44540</v>
      </c>
      <c r="F8" s="2">
        <v>12</v>
      </c>
      <c r="G8" s="3">
        <v>61000</v>
      </c>
      <c r="H8" s="2">
        <v>8</v>
      </c>
    </row>
    <row r="9" spans="1:8">
      <c r="A9" s="2" t="s">
        <v>32</v>
      </c>
      <c r="B9" s="1" t="s">
        <v>33</v>
      </c>
      <c r="C9" s="1" t="s">
        <v>15</v>
      </c>
      <c r="D9" s="3">
        <v>100000</v>
      </c>
      <c r="E9" s="4">
        <v>44478</v>
      </c>
      <c r="F9" s="2">
        <v>12</v>
      </c>
      <c r="G9" s="3">
        <v>95000</v>
      </c>
      <c r="H9" s="2">
        <v>11</v>
      </c>
    </row>
    <row r="10" spans="1:8">
      <c r="A10" s="2" t="s">
        <v>35</v>
      </c>
      <c r="B10" s="1" t="s">
        <v>18</v>
      </c>
      <c r="C10" s="1" t="s">
        <v>15</v>
      </c>
      <c r="D10" s="3">
        <v>150000</v>
      </c>
      <c r="E10" s="4">
        <v>44448</v>
      </c>
      <c r="F10" s="2">
        <v>12</v>
      </c>
      <c r="G10" s="3">
        <v>141000</v>
      </c>
      <c r="H10" s="2">
        <v>14</v>
      </c>
    </row>
    <row r="11" spans="1:8">
      <c r="A11" s="2" t="s">
        <v>37</v>
      </c>
      <c r="B11" s="1" t="s">
        <v>22</v>
      </c>
      <c r="C11" s="1" t="s">
        <v>19</v>
      </c>
      <c r="D11" s="3">
        <v>80000</v>
      </c>
      <c r="E11" s="4">
        <v>44416</v>
      </c>
      <c r="F11" s="2">
        <v>24</v>
      </c>
      <c r="G11" s="3">
        <v>76000</v>
      </c>
      <c r="H11" s="2">
        <v>20</v>
      </c>
    </row>
    <row r="12" spans="1:8">
      <c r="A12" s="2" t="s">
        <v>40</v>
      </c>
      <c r="B12" s="1" t="s">
        <v>25</v>
      </c>
      <c r="C12" s="1" t="s">
        <v>135</v>
      </c>
      <c r="D12" s="3">
        <v>40000</v>
      </c>
      <c r="E12" s="4">
        <v>44384</v>
      </c>
      <c r="F12" s="2">
        <v>18</v>
      </c>
      <c r="G12" s="3">
        <v>34000</v>
      </c>
      <c r="H12" s="2">
        <v>17</v>
      </c>
    </row>
    <row r="13" spans="1:8">
      <c r="A13" s="2" t="s">
        <v>51</v>
      </c>
      <c r="B13" s="1" t="s">
        <v>10</v>
      </c>
      <c r="C13" s="1" t="s">
        <v>30</v>
      </c>
      <c r="D13" s="3">
        <v>50000</v>
      </c>
      <c r="E13" s="4">
        <v>44353</v>
      </c>
      <c r="F13" s="2">
        <v>18</v>
      </c>
      <c r="G13" s="3">
        <v>47000</v>
      </c>
      <c r="H13" s="2">
        <v>7</v>
      </c>
    </row>
    <row r="14" spans="1:8">
      <c r="A14" s="2" t="s">
        <v>54</v>
      </c>
      <c r="B14" s="1" t="s">
        <v>10</v>
      </c>
      <c r="C14" s="1" t="s">
        <v>30</v>
      </c>
      <c r="D14" s="3">
        <v>38000</v>
      </c>
      <c r="E14" s="4">
        <v>44322</v>
      </c>
      <c r="F14" s="2">
        <v>24</v>
      </c>
      <c r="G14" s="3">
        <v>32000</v>
      </c>
      <c r="H14" s="2">
        <v>30</v>
      </c>
    </row>
    <row r="15" spans="1:8">
      <c r="A15" s="2" t="s">
        <v>56</v>
      </c>
      <c r="B15" s="1" t="s">
        <v>33</v>
      </c>
      <c r="C15" s="1" t="s">
        <v>15</v>
      </c>
      <c r="D15" s="3">
        <v>120000</v>
      </c>
      <c r="E15" s="4">
        <v>44290</v>
      </c>
      <c r="F15" s="2">
        <v>12</v>
      </c>
      <c r="G15" s="3">
        <v>115000</v>
      </c>
      <c r="H15" s="2">
        <v>12</v>
      </c>
    </row>
    <row r="16" spans="1:8">
      <c r="A16" s="2" t="s">
        <v>58</v>
      </c>
      <c r="B16" s="1" t="s">
        <v>33</v>
      </c>
      <c r="C16" s="1" t="s">
        <v>30</v>
      </c>
      <c r="D16" s="3">
        <v>70000</v>
      </c>
      <c r="E16" s="4">
        <v>44258</v>
      </c>
      <c r="F16" s="2">
        <v>12</v>
      </c>
      <c r="G16" s="3">
        <v>65000</v>
      </c>
      <c r="H16" s="2">
        <v>10</v>
      </c>
    </row>
    <row r="17" spans="1:8">
      <c r="A17" s="2" t="s">
        <v>61</v>
      </c>
      <c r="B17" s="1" t="s">
        <v>18</v>
      </c>
      <c r="C17" s="1" t="s">
        <v>15</v>
      </c>
      <c r="D17" s="3">
        <v>170000</v>
      </c>
      <c r="E17" s="4">
        <v>44229</v>
      </c>
      <c r="F17" s="2">
        <v>12</v>
      </c>
      <c r="G17" s="3">
        <v>160000</v>
      </c>
      <c r="H17" s="2">
        <v>9</v>
      </c>
    </row>
    <row r="18" spans="1:8">
      <c r="A18" s="2" t="s">
        <v>63</v>
      </c>
      <c r="B18" s="1" t="s">
        <v>18</v>
      </c>
      <c r="C18" s="1" t="s">
        <v>64</v>
      </c>
      <c r="D18" s="3">
        <v>64000</v>
      </c>
      <c r="E18" s="4">
        <v>44558</v>
      </c>
      <c r="F18" s="2">
        <v>12</v>
      </c>
      <c r="G18" s="3">
        <v>61000</v>
      </c>
      <c r="H18" s="2">
        <v>8</v>
      </c>
    </row>
    <row r="19" spans="1:8">
      <c r="A19" s="2" t="s">
        <v>66</v>
      </c>
      <c r="B19" s="1" t="s">
        <v>18</v>
      </c>
      <c r="C19" s="1" t="s">
        <v>64</v>
      </c>
      <c r="D19" s="3">
        <v>250000</v>
      </c>
      <c r="E19" s="4">
        <v>44530</v>
      </c>
      <c r="F19" s="2">
        <v>12</v>
      </c>
      <c r="G19" s="3">
        <v>242000</v>
      </c>
      <c r="H19" s="2">
        <v>15</v>
      </c>
    </row>
    <row r="20" spans="1:8">
      <c r="A20" s="2" t="s">
        <v>68</v>
      </c>
      <c r="B20" s="1" t="s">
        <v>22</v>
      </c>
      <c r="C20" s="1" t="s">
        <v>19</v>
      </c>
      <c r="D20" s="3">
        <v>30000</v>
      </c>
      <c r="E20" s="4">
        <v>44500</v>
      </c>
      <c r="F20" s="2">
        <v>24</v>
      </c>
      <c r="G20" s="3">
        <v>28000</v>
      </c>
      <c r="H20" s="2">
        <v>20</v>
      </c>
    </row>
    <row r="21" spans="1:8">
      <c r="A21" s="2" t="s">
        <v>70</v>
      </c>
      <c r="B21" s="1" t="s">
        <v>22</v>
      </c>
      <c r="C21" s="1" t="s">
        <v>19</v>
      </c>
      <c r="D21" s="3">
        <v>50000</v>
      </c>
      <c r="E21" s="4">
        <v>44469</v>
      </c>
      <c r="F21" s="2">
        <v>12</v>
      </c>
      <c r="G21" s="3">
        <v>46000</v>
      </c>
      <c r="H21" s="2">
        <v>18</v>
      </c>
    </row>
    <row r="22" spans="1:8">
      <c r="A22" s="2" t="s">
        <v>72</v>
      </c>
      <c r="B22" s="1" t="s">
        <v>25</v>
      </c>
      <c r="C22" s="1" t="s">
        <v>30</v>
      </c>
      <c r="D22" s="3">
        <v>35000</v>
      </c>
      <c r="E22" s="4">
        <v>44439</v>
      </c>
      <c r="F22" s="2">
        <v>12</v>
      </c>
      <c r="G22" s="3">
        <v>31000</v>
      </c>
      <c r="H22" s="2">
        <v>16</v>
      </c>
    </row>
    <row r="23" spans="1:8">
      <c r="A23" s="2" t="s">
        <v>136</v>
      </c>
      <c r="B23" s="1" t="s">
        <v>25</v>
      </c>
      <c r="C23" s="1" t="s">
        <v>30</v>
      </c>
      <c r="D23" s="3">
        <v>43000</v>
      </c>
      <c r="E23" s="4">
        <v>44408</v>
      </c>
      <c r="F23" s="2">
        <v>18</v>
      </c>
      <c r="G23" s="3">
        <v>39000</v>
      </c>
      <c r="H23" s="2">
        <v>17</v>
      </c>
    </row>
    <row r="24" spans="1:8">
      <c r="A24" s="2" t="s">
        <v>77</v>
      </c>
      <c r="B24" s="1" t="s">
        <v>10</v>
      </c>
      <c r="C24" s="1" t="s">
        <v>64</v>
      </c>
      <c r="D24" s="3">
        <v>55000</v>
      </c>
      <c r="E24" s="4">
        <v>44377</v>
      </c>
      <c r="F24" s="2">
        <v>18</v>
      </c>
      <c r="G24" s="3">
        <v>51000</v>
      </c>
      <c r="H24" s="2">
        <v>18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D7"/>
  <sheetViews>
    <sheetView workbookViewId="0"/>
  </sheetViews>
  <sheetFormatPr defaultRowHeight="17"/>
  <cols>
    <col min="2" max="2" width="10.4140625" bestFit="1" customWidth="1"/>
  </cols>
  <sheetData>
    <row r="1" spans="2:4">
      <c r="B1" t="s">
        <v>177</v>
      </c>
    </row>
    <row r="2" spans="2:4">
      <c r="B2" s="1" t="s">
        <v>178</v>
      </c>
      <c r="C2" s="7" t="s">
        <v>179</v>
      </c>
      <c r="D2" s="7" t="s">
        <v>180</v>
      </c>
    </row>
    <row r="3" spans="2:4">
      <c r="B3" s="1" t="s">
        <v>10</v>
      </c>
      <c r="C3" s="8">
        <v>158</v>
      </c>
      <c r="D3" s="14">
        <f>C3/SUM($C$3:$C$7)</f>
        <v>0.16155419222903886</v>
      </c>
    </row>
    <row r="4" spans="2:4">
      <c r="B4" s="1" t="s">
        <v>33</v>
      </c>
      <c r="C4" s="8">
        <v>100</v>
      </c>
      <c r="D4" s="14">
        <f t="shared" ref="D4:D7" si="0">C4/SUM($C$3:$C$7)</f>
        <v>0.10224948875255624</v>
      </c>
    </row>
    <row r="5" spans="2:4">
      <c r="B5" s="1" t="s">
        <v>18</v>
      </c>
      <c r="C5" s="8">
        <v>250</v>
      </c>
      <c r="D5" s="14">
        <f t="shared" si="0"/>
        <v>0.2556237218813906</v>
      </c>
    </row>
    <row r="6" spans="2:4">
      <c r="B6" s="1" t="s">
        <v>22</v>
      </c>
      <c r="C6" s="8">
        <v>350</v>
      </c>
      <c r="D6" s="14">
        <f t="shared" si="0"/>
        <v>0.35787321063394684</v>
      </c>
    </row>
    <row r="7" spans="2:4">
      <c r="B7" s="1" t="s">
        <v>25</v>
      </c>
      <c r="C7" s="8">
        <v>120</v>
      </c>
      <c r="D7" s="14">
        <f t="shared" si="0"/>
        <v>0.12269938650306748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H29"/>
  <sheetViews>
    <sheetView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3.58203125" bestFit="1" customWidth="1"/>
    <col min="8" max="8" width="8.5" bestFit="1" customWidth="1"/>
  </cols>
  <sheetData>
    <row r="5" spans="1:8">
      <c r="A5" s="1" t="s">
        <v>137</v>
      </c>
      <c r="B5" s="1" t="s">
        <v>138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139</v>
      </c>
      <c r="H5" s="1" t="s">
        <v>7</v>
      </c>
    </row>
    <row r="6" spans="1:8">
      <c r="A6" s="2" t="s">
        <v>140</v>
      </c>
      <c r="B6" s="2" t="s">
        <v>141</v>
      </c>
      <c r="C6" s="2" t="s">
        <v>10</v>
      </c>
      <c r="D6" s="2" t="s">
        <v>142</v>
      </c>
      <c r="E6" s="3">
        <v>27000</v>
      </c>
      <c r="F6" s="4">
        <v>44478</v>
      </c>
      <c r="G6" s="2">
        <v>24</v>
      </c>
      <c r="H6" s="2">
        <v>10</v>
      </c>
    </row>
    <row r="7" spans="1:8">
      <c r="A7" s="2" t="s">
        <v>143</v>
      </c>
      <c r="B7" s="2" t="s">
        <v>13</v>
      </c>
      <c r="C7" s="2" t="s">
        <v>144</v>
      </c>
      <c r="D7" s="2" t="s">
        <v>15</v>
      </c>
      <c r="E7" s="3">
        <v>30000</v>
      </c>
      <c r="F7" s="4">
        <v>44201</v>
      </c>
      <c r="G7" s="2">
        <v>18</v>
      </c>
      <c r="H7" s="2">
        <v>15</v>
      </c>
    </row>
    <row r="8" spans="1:8">
      <c r="A8" s="2" t="s">
        <v>145</v>
      </c>
      <c r="B8" s="2" t="s">
        <v>17</v>
      </c>
      <c r="C8" s="2" t="s">
        <v>18</v>
      </c>
      <c r="D8" s="2" t="s">
        <v>19</v>
      </c>
      <c r="E8" s="3">
        <v>50000</v>
      </c>
      <c r="F8" s="4">
        <v>44264</v>
      </c>
      <c r="G8" s="2">
        <v>36</v>
      </c>
      <c r="H8" s="2">
        <v>9</v>
      </c>
    </row>
    <row r="9" spans="1:8">
      <c r="A9" s="2" t="s">
        <v>146</v>
      </c>
      <c r="B9" s="2" t="s">
        <v>21</v>
      </c>
      <c r="C9" s="2" t="s">
        <v>22</v>
      </c>
      <c r="D9" s="2" t="s">
        <v>19</v>
      </c>
      <c r="E9" s="3">
        <v>200000</v>
      </c>
      <c r="F9" s="4">
        <v>44291</v>
      </c>
      <c r="G9" s="2">
        <v>24</v>
      </c>
      <c r="H9" s="2">
        <v>25</v>
      </c>
    </row>
    <row r="10" spans="1:8">
      <c r="A10" s="2" t="s">
        <v>147</v>
      </c>
      <c r="B10" s="2" t="s">
        <v>24</v>
      </c>
      <c r="C10" s="2" t="s">
        <v>25</v>
      </c>
      <c r="D10" s="2" t="s">
        <v>148</v>
      </c>
      <c r="E10" s="3">
        <v>35000</v>
      </c>
      <c r="F10" s="4">
        <v>44285</v>
      </c>
      <c r="G10" s="2">
        <v>12</v>
      </c>
      <c r="H10" s="2">
        <v>12</v>
      </c>
    </row>
    <row r="11" spans="1:8">
      <c r="A11" s="2" t="s">
        <v>149</v>
      </c>
      <c r="B11" s="2" t="s">
        <v>28</v>
      </c>
      <c r="C11" s="2" t="s">
        <v>150</v>
      </c>
      <c r="D11" s="2" t="s">
        <v>30</v>
      </c>
      <c r="E11" s="3">
        <v>65000</v>
      </c>
      <c r="F11" s="4">
        <v>44540</v>
      </c>
      <c r="G11" s="2">
        <v>12</v>
      </c>
      <c r="H11" s="2">
        <v>8</v>
      </c>
    </row>
    <row r="12" spans="1:8">
      <c r="A12" s="2" t="s">
        <v>151</v>
      </c>
      <c r="B12" s="2" t="s">
        <v>32</v>
      </c>
      <c r="C12" s="2" t="s">
        <v>33</v>
      </c>
      <c r="D12" s="2" t="s">
        <v>15</v>
      </c>
      <c r="E12" s="3">
        <v>100000</v>
      </c>
      <c r="F12" s="4">
        <v>44478</v>
      </c>
      <c r="G12" s="2">
        <v>12</v>
      </c>
      <c r="H12" s="2">
        <v>11</v>
      </c>
    </row>
    <row r="13" spans="1:8">
      <c r="A13" s="2" t="s">
        <v>152</v>
      </c>
      <c r="B13" s="2" t="s">
        <v>35</v>
      </c>
      <c r="C13" s="2" t="s">
        <v>18</v>
      </c>
      <c r="D13" s="2" t="s">
        <v>15</v>
      </c>
      <c r="E13" s="3">
        <v>150000</v>
      </c>
      <c r="F13" s="4">
        <v>44448</v>
      </c>
      <c r="G13" s="2">
        <v>12</v>
      </c>
      <c r="H13" s="2">
        <v>14</v>
      </c>
    </row>
    <row r="14" spans="1:8">
      <c r="A14" s="2" t="s">
        <v>153</v>
      </c>
      <c r="B14" s="2" t="s">
        <v>37</v>
      </c>
      <c r="C14" s="2" t="s">
        <v>22</v>
      </c>
      <c r="D14" s="2" t="s">
        <v>148</v>
      </c>
      <c r="E14" s="3">
        <v>80000</v>
      </c>
      <c r="F14" s="4">
        <v>44416</v>
      </c>
      <c r="G14" s="2">
        <v>24</v>
      </c>
      <c r="H14" s="2">
        <v>20</v>
      </c>
    </row>
    <row r="15" spans="1:8">
      <c r="A15" s="2" t="s">
        <v>154</v>
      </c>
      <c r="B15" s="2" t="s">
        <v>40</v>
      </c>
      <c r="C15" s="2" t="s">
        <v>25</v>
      </c>
      <c r="D15" s="2" t="s">
        <v>155</v>
      </c>
      <c r="E15" s="3">
        <v>40000</v>
      </c>
      <c r="F15" s="4">
        <v>44384</v>
      </c>
      <c r="G15" s="2">
        <v>18</v>
      </c>
      <c r="H15" s="2">
        <v>17</v>
      </c>
    </row>
    <row r="16" spans="1:8">
      <c r="A16" s="2" t="s">
        <v>156</v>
      </c>
      <c r="B16" s="2" t="s">
        <v>157</v>
      </c>
      <c r="C16" s="2" t="s">
        <v>158</v>
      </c>
      <c r="D16" s="2" t="s">
        <v>159</v>
      </c>
      <c r="E16" s="3">
        <v>180000</v>
      </c>
      <c r="F16" s="4">
        <v>44317</v>
      </c>
      <c r="G16" s="2">
        <v>12</v>
      </c>
      <c r="H16" s="2">
        <v>10</v>
      </c>
    </row>
    <row r="17" spans="1:8">
      <c r="A17" s="2" t="s">
        <v>160</v>
      </c>
      <c r="B17" s="2" t="s">
        <v>161</v>
      </c>
      <c r="C17" s="2" t="s">
        <v>158</v>
      </c>
      <c r="D17" s="2" t="s">
        <v>162</v>
      </c>
      <c r="E17" s="3">
        <v>45000</v>
      </c>
      <c r="F17" s="4">
        <v>44349</v>
      </c>
      <c r="G17" s="2">
        <v>12</v>
      </c>
      <c r="H17" s="2">
        <v>8</v>
      </c>
    </row>
    <row r="18" spans="1:8">
      <c r="A18" s="2" t="s">
        <v>163</v>
      </c>
      <c r="B18" s="2" t="s">
        <v>51</v>
      </c>
      <c r="C18" s="2" t="s">
        <v>164</v>
      </c>
      <c r="D18" s="2" t="s">
        <v>30</v>
      </c>
      <c r="E18" s="3">
        <v>50000</v>
      </c>
      <c r="F18" s="4">
        <v>44353</v>
      </c>
      <c r="G18" s="2">
        <v>18</v>
      </c>
      <c r="H18" s="2">
        <v>7</v>
      </c>
    </row>
    <row r="19" spans="1:8">
      <c r="A19" s="2" t="s">
        <v>165</v>
      </c>
      <c r="B19" s="2" t="s">
        <v>54</v>
      </c>
      <c r="C19" s="2" t="s">
        <v>10</v>
      </c>
      <c r="D19" s="2" t="s">
        <v>30</v>
      </c>
      <c r="E19" s="3">
        <v>38000</v>
      </c>
      <c r="F19" s="4">
        <v>44322</v>
      </c>
      <c r="G19" s="2">
        <v>24</v>
      </c>
      <c r="H19" s="2">
        <v>30</v>
      </c>
    </row>
    <row r="20" spans="1:8">
      <c r="A20" s="2" t="s">
        <v>166</v>
      </c>
      <c r="B20" s="2" t="s">
        <v>56</v>
      </c>
      <c r="C20" s="2" t="s">
        <v>33</v>
      </c>
      <c r="D20" s="2" t="s">
        <v>15</v>
      </c>
      <c r="E20" s="3">
        <v>120000</v>
      </c>
      <c r="F20" s="4">
        <v>44290</v>
      </c>
      <c r="G20" s="2">
        <v>12</v>
      </c>
      <c r="H20" s="2">
        <v>20</v>
      </c>
    </row>
    <row r="21" spans="1:8">
      <c r="A21" s="2" t="s">
        <v>167</v>
      </c>
      <c r="B21" s="2" t="s">
        <v>58</v>
      </c>
      <c r="C21" s="2" t="s">
        <v>33</v>
      </c>
      <c r="D21" s="2" t="s">
        <v>155</v>
      </c>
      <c r="E21" s="3">
        <v>70000</v>
      </c>
      <c r="F21" s="4">
        <v>44258</v>
      </c>
      <c r="G21" s="2">
        <v>12</v>
      </c>
      <c r="H21" s="2">
        <v>10</v>
      </c>
    </row>
    <row r="22" spans="1:8">
      <c r="A22" s="2" t="s">
        <v>168</v>
      </c>
      <c r="B22" s="2" t="s">
        <v>61</v>
      </c>
      <c r="C22" s="2" t="s">
        <v>18</v>
      </c>
      <c r="D22" s="2" t="s">
        <v>15</v>
      </c>
      <c r="E22" s="3">
        <v>170000</v>
      </c>
      <c r="F22" s="4">
        <v>44229</v>
      </c>
      <c r="G22" s="2">
        <v>12</v>
      </c>
      <c r="H22" s="2">
        <v>9</v>
      </c>
    </row>
    <row r="23" spans="1:8">
      <c r="A23" s="2" t="s">
        <v>169</v>
      </c>
      <c r="B23" s="2" t="s">
        <v>63</v>
      </c>
      <c r="C23" s="2" t="s">
        <v>18</v>
      </c>
      <c r="D23" s="2" t="s">
        <v>64</v>
      </c>
      <c r="E23" s="3">
        <v>64000</v>
      </c>
      <c r="F23" s="4">
        <v>44558</v>
      </c>
      <c r="G23" s="2">
        <v>12</v>
      </c>
      <c r="H23" s="2">
        <v>8</v>
      </c>
    </row>
    <row r="24" spans="1:8">
      <c r="A24" s="2" t="s">
        <v>170</v>
      </c>
      <c r="B24" s="2" t="s">
        <v>66</v>
      </c>
      <c r="C24" s="2" t="s">
        <v>18</v>
      </c>
      <c r="D24" s="2" t="s">
        <v>64</v>
      </c>
      <c r="E24" s="3">
        <v>250000</v>
      </c>
      <c r="F24" s="4">
        <v>44530</v>
      </c>
      <c r="G24" s="2">
        <v>12</v>
      </c>
      <c r="H24" s="2">
        <v>15</v>
      </c>
    </row>
    <row r="25" spans="1:8">
      <c r="A25" s="2" t="s">
        <v>171</v>
      </c>
      <c r="B25" s="2" t="s">
        <v>68</v>
      </c>
      <c r="C25" s="2" t="s">
        <v>22</v>
      </c>
      <c r="D25" s="2" t="s">
        <v>19</v>
      </c>
      <c r="E25" s="3">
        <v>30000</v>
      </c>
      <c r="F25" s="4">
        <v>44500</v>
      </c>
      <c r="G25" s="2">
        <v>24</v>
      </c>
      <c r="H25" s="2">
        <v>20</v>
      </c>
    </row>
    <row r="26" spans="1:8">
      <c r="A26" s="2" t="s">
        <v>172</v>
      </c>
      <c r="B26" s="2" t="s">
        <v>70</v>
      </c>
      <c r="C26" s="2" t="s">
        <v>164</v>
      </c>
      <c r="D26" s="2" t="s">
        <v>19</v>
      </c>
      <c r="E26" s="3">
        <v>50000</v>
      </c>
      <c r="F26" s="4">
        <v>44469</v>
      </c>
      <c r="G26" s="2">
        <v>12</v>
      </c>
      <c r="H26" s="2">
        <v>18</v>
      </c>
    </row>
    <row r="27" spans="1:8">
      <c r="A27" s="2" t="s">
        <v>173</v>
      </c>
      <c r="B27" s="2" t="s">
        <v>72</v>
      </c>
      <c r="C27" s="2" t="s">
        <v>25</v>
      </c>
      <c r="D27" s="2" t="s">
        <v>30</v>
      </c>
      <c r="E27" s="3">
        <v>35000</v>
      </c>
      <c r="F27" s="4">
        <v>44439</v>
      </c>
      <c r="G27" s="2">
        <v>12</v>
      </c>
      <c r="H27" s="2">
        <v>16</v>
      </c>
    </row>
    <row r="28" spans="1:8">
      <c r="A28" s="2" t="s">
        <v>174</v>
      </c>
      <c r="B28" s="2" t="s">
        <v>175</v>
      </c>
      <c r="C28" s="2" t="s">
        <v>25</v>
      </c>
      <c r="D28" s="2" t="s">
        <v>142</v>
      </c>
      <c r="E28" s="3">
        <v>43000</v>
      </c>
      <c r="F28" s="4">
        <v>44408</v>
      </c>
      <c r="G28" s="2">
        <v>18</v>
      </c>
      <c r="H28" s="2">
        <v>21</v>
      </c>
    </row>
    <row r="29" spans="1:8">
      <c r="A29" s="2" t="s">
        <v>176</v>
      </c>
      <c r="B29" s="2" t="s">
        <v>77</v>
      </c>
      <c r="C29" s="2" t="s">
        <v>10</v>
      </c>
      <c r="D29" s="2" t="s">
        <v>64</v>
      </c>
      <c r="E29" s="3">
        <v>55000</v>
      </c>
      <c r="F29" s="4">
        <v>44377</v>
      </c>
      <c r="G29" s="2">
        <v>18</v>
      </c>
      <c r="H29" s="2">
        <v>18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0"/>
  <sheetViews>
    <sheetView workbookViewId="0"/>
  </sheetViews>
  <sheetFormatPr defaultRowHeight="17"/>
  <cols>
    <col min="6" max="6" width="13.58203125" bestFit="1" customWidth="1"/>
    <col min="7" max="7" width="12.1640625" bestFit="1" customWidth="1"/>
    <col min="10" max="10" width="10.4140625" bestFit="1" customWidth="1"/>
  </cols>
  <sheetData>
    <row r="2" spans="1:10">
      <c r="A2" s="1" t="s">
        <v>2</v>
      </c>
      <c r="B2" s="1" t="s">
        <v>181</v>
      </c>
      <c r="C2" s="1" t="s">
        <v>5</v>
      </c>
      <c r="D2" s="1" t="s">
        <v>182</v>
      </c>
      <c r="E2" s="1" t="s">
        <v>7</v>
      </c>
      <c r="F2" s="1" t="s">
        <v>183</v>
      </c>
      <c r="G2" s="1" t="s">
        <v>184</v>
      </c>
    </row>
    <row r="6" spans="1:10">
      <c r="J6" s="1" t="s">
        <v>10</v>
      </c>
    </row>
    <row r="7" spans="1:10">
      <c r="J7" s="1" t="s">
        <v>33</v>
      </c>
    </row>
    <row r="8" spans="1:10">
      <c r="J8" s="1" t="s">
        <v>18</v>
      </c>
    </row>
    <row r="9" spans="1:10">
      <c r="J9" s="1" t="s">
        <v>22</v>
      </c>
    </row>
    <row r="10" spans="1:10">
      <c r="J10" s="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md판매등록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70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2022-07-15T11:56:05Z</dcterms:modified>
</cp:coreProperties>
</file>