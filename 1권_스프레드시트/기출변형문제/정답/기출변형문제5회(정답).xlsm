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정답\"/>
    </mc:Choice>
  </mc:AlternateContent>
  <bookViews>
    <workbookView xWindow="0" yWindow="0" windowWidth="25600" windowHeight="12170" tabRatio="890"/>
  </bookViews>
  <sheets>
    <sheet name="기본작업1" sheetId="2" r:id="rId1"/>
    <sheet name="기본작업2" sheetId="10" r:id="rId2"/>
    <sheet name="계산작업" sheetId="3" r:id="rId3"/>
    <sheet name="분석작업1" sheetId="8" r:id="rId4"/>
    <sheet name="분석작업2" sheetId="9" r:id="rId5"/>
    <sheet name="기타작업1" sheetId="6" r:id="rId6"/>
    <sheet name="기타작업2" sheetId="11" r:id="rId7"/>
    <sheet name="기타작업3" sheetId="7" r:id="rId8"/>
  </sheets>
  <functionGroups builtInGroupCount="18"/>
  <definedNames>
    <definedName name="_xlnm._FilterDatabase" localSheetId="0" hidden="1">기본작업1!$A$1:$J$24</definedName>
    <definedName name="_xlnm._FilterDatabase" localSheetId="1" hidden="1">기본작업2!$B$2:$K$25</definedName>
    <definedName name="_xlnm._FilterDatabase" localSheetId="4" hidden="1">분석작업2!$A$2:$G$39</definedName>
    <definedName name="_xlnm.Criteria" localSheetId="0">기본작업1!$A$26:$A$27</definedName>
    <definedName name="_xlnm.Criteria" localSheetId="1">기본작업2!#REF!</definedName>
    <definedName name="_xlnm.Extract" localSheetId="0">기본작업1!$A$30:$C$30</definedName>
    <definedName name="_xlnm.Extract" localSheetId="1">기본작업2!#REF!</definedName>
    <definedName name="_xlnm.Print_Area" localSheetId="1">기본작업2!$B$2:$K$25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2" l="1"/>
  <c r="F17" i="11" l="1"/>
  <c r="F16" i="11"/>
  <c r="F15" i="11"/>
  <c r="F14" i="11"/>
  <c r="F13" i="11"/>
  <c r="F12" i="11"/>
  <c r="F11" i="11"/>
  <c r="F10" i="11"/>
  <c r="F9" i="11"/>
  <c r="F8" i="11"/>
  <c r="F7" i="11"/>
  <c r="I25" i="10" l="1"/>
  <c r="K25" i="10" s="1"/>
  <c r="I24" i="10"/>
  <c r="K24" i="10" s="1"/>
  <c r="I23" i="10"/>
  <c r="K23" i="10" s="1"/>
  <c r="I22" i="10"/>
  <c r="K22" i="10" s="1"/>
  <c r="I21" i="10"/>
  <c r="K21" i="10" s="1"/>
  <c r="I20" i="10"/>
  <c r="K20" i="10" s="1"/>
  <c r="I19" i="10"/>
  <c r="K19" i="10" s="1"/>
  <c r="I18" i="10"/>
  <c r="K18" i="10" s="1"/>
  <c r="I17" i="10"/>
  <c r="K17" i="10" s="1"/>
  <c r="I16" i="10"/>
  <c r="K16" i="10" s="1"/>
  <c r="I15" i="10"/>
  <c r="K15" i="10" s="1"/>
  <c r="I14" i="10"/>
  <c r="K14" i="10" s="1"/>
  <c r="I13" i="10"/>
  <c r="K13" i="10" s="1"/>
  <c r="I12" i="10"/>
  <c r="K12" i="10" s="1"/>
  <c r="I11" i="10"/>
  <c r="K11" i="10" s="1"/>
  <c r="I10" i="10"/>
  <c r="K10" i="10" s="1"/>
  <c r="I9" i="10"/>
  <c r="K9" i="10" s="1"/>
  <c r="I8" i="10"/>
  <c r="K8" i="10" s="1"/>
  <c r="I7" i="10"/>
  <c r="K7" i="10" s="1"/>
  <c r="I6" i="10"/>
  <c r="K6" i="10" s="1"/>
  <c r="I5" i="10"/>
  <c r="K5" i="10" s="1"/>
  <c r="I4" i="10"/>
  <c r="K4" i="10" s="1"/>
  <c r="I3" i="10"/>
  <c r="K3" i="10" l="1"/>
  <c r="L22" i="3" a="1"/>
  <c r="L22" i="3" s="1"/>
  <c r="M22" i="3" a="1"/>
  <c r="M22" i="3" s="1"/>
  <c r="L23" i="3" a="1"/>
  <c r="L23" i="3"/>
  <c r="M23" i="3" a="1"/>
  <c r="M23" i="3" s="1"/>
  <c r="L24" i="3" a="1"/>
  <c r="L24" i="3" s="1"/>
  <c r="M24" i="3" a="1"/>
  <c r="M24" i="3" s="1"/>
  <c r="L25" i="3" a="1"/>
  <c r="L25" i="3" s="1"/>
  <c r="M25" i="3" a="1"/>
  <c r="M25" i="3" s="1"/>
  <c r="K23" i="3" a="1"/>
  <c r="K23" i="3" s="1"/>
  <c r="K24" i="3" a="1"/>
  <c r="K24" i="3" s="1"/>
  <c r="K25" i="3" a="1"/>
  <c r="K25" i="3" s="1"/>
  <c r="K22" i="3" a="1"/>
  <c r="K22" i="3" s="1"/>
  <c r="J16" i="3" a="1"/>
  <c r="J16" i="3" s="1"/>
  <c r="H20" i="3"/>
  <c r="H11" i="3"/>
  <c r="H14" i="3"/>
  <c r="H12" i="3"/>
  <c r="H28" i="3"/>
  <c r="H24" i="3"/>
  <c r="H25" i="3"/>
  <c r="H4" i="3"/>
  <c r="H9" i="3"/>
  <c r="H3" i="3"/>
  <c r="H8" i="3"/>
  <c r="H7" i="3"/>
  <c r="H10" i="3"/>
  <c r="H15" i="3"/>
  <c r="H17" i="3"/>
  <c r="H6" i="3"/>
  <c r="H19" i="3"/>
  <c r="H26" i="3"/>
  <c r="H21" i="3"/>
  <c r="H27" i="3"/>
  <c r="H23" i="3"/>
  <c r="H5" i="3"/>
  <c r="H13" i="3"/>
  <c r="H22" i="3"/>
  <c r="H18" i="3"/>
  <c r="H16" i="3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" i="3"/>
  <c r="H24" i="2" l="1"/>
  <c r="J24" i="2" s="1"/>
  <c r="H23" i="2"/>
  <c r="J23" i="2" s="1"/>
  <c r="H22" i="2"/>
  <c r="J22" i="2" s="1"/>
  <c r="H21" i="2"/>
  <c r="J21" i="2" s="1"/>
  <c r="H20" i="2"/>
  <c r="J20" i="2" s="1"/>
  <c r="H19" i="2"/>
  <c r="J19" i="2" s="1"/>
  <c r="H18" i="2"/>
  <c r="J18" i="2" s="1"/>
  <c r="H17" i="2"/>
  <c r="J17" i="2" s="1"/>
  <c r="H16" i="2"/>
  <c r="J16" i="2" s="1"/>
  <c r="H15" i="2"/>
  <c r="J15" i="2" s="1"/>
  <c r="H14" i="2"/>
  <c r="J14" i="2" s="1"/>
  <c r="H13" i="2"/>
  <c r="J13" i="2" s="1"/>
  <c r="H12" i="2"/>
  <c r="J12" i="2" s="1"/>
  <c r="H11" i="2"/>
  <c r="J11" i="2" s="1"/>
  <c r="H10" i="2"/>
  <c r="J10" i="2" s="1"/>
  <c r="H9" i="2"/>
  <c r="J9" i="2" s="1"/>
  <c r="H8" i="2"/>
  <c r="J8" i="2" s="1"/>
  <c r="H7" i="2"/>
  <c r="J7" i="2" s="1"/>
  <c r="H6" i="2"/>
  <c r="J6" i="2" s="1"/>
  <c r="H5" i="2"/>
  <c r="J5" i="2" s="1"/>
  <c r="H4" i="2"/>
  <c r="J4" i="2" s="1"/>
  <c r="H3" i="2"/>
  <c r="J3" i="2" s="1"/>
  <c r="H2" i="2"/>
  <c r="J2" i="2" l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자전거매장관리.accdb;DefaultDir=E:\영진(2021년)\1급\excel\스프레드시트(파일) - 최종\모의고사;DriverId=25;FIL=MS Access;MaxBufferSize=2048;PageTimeout=5;" command="SELECT 자전거매장관리.자전거명, 자전거매장관리.판매일자, 자전거매장관리.단가, 자전거매장관리.매출액, 자전거매장관리.이익금_x000d__x000a_FROM 자전거매장관리 자전거매장관리"/>
  </connection>
</connections>
</file>

<file path=xl/sharedStrings.xml><?xml version="1.0" encoding="utf-8"?>
<sst xmlns="http://schemas.openxmlformats.org/spreadsheetml/2006/main" count="368" uniqueCount="159">
  <si>
    <t>제품코드</t>
    <phoneticPr fontId="3" type="noConversion"/>
  </si>
  <si>
    <t>회사명</t>
    <phoneticPr fontId="3" type="noConversion"/>
  </si>
  <si>
    <t>자전거명</t>
    <phoneticPr fontId="3" type="noConversion"/>
  </si>
  <si>
    <t>입고일자</t>
  </si>
  <si>
    <t>판매일자</t>
  </si>
  <si>
    <t>단가</t>
  </si>
  <si>
    <t>수량</t>
  </si>
  <si>
    <t>매출액</t>
  </si>
  <si>
    <t>이익율</t>
  </si>
  <si>
    <t>이익금</t>
  </si>
  <si>
    <t>K-04</t>
  </si>
  <si>
    <t>코렉스</t>
    <phoneticPr fontId="3" type="noConversion"/>
  </si>
  <si>
    <t>엘로우콘</t>
    <phoneticPr fontId="3" type="noConversion"/>
  </si>
  <si>
    <t>K-01</t>
  </si>
  <si>
    <t>삼천리</t>
    <phoneticPr fontId="3" type="noConversion"/>
  </si>
  <si>
    <t>스파크</t>
    <phoneticPr fontId="3" type="noConversion"/>
  </si>
  <si>
    <t>K-02</t>
  </si>
  <si>
    <t>하운드</t>
    <phoneticPr fontId="3" type="noConversion"/>
  </si>
  <si>
    <t>K-07</t>
  </si>
  <si>
    <t>삼천리</t>
    <phoneticPr fontId="3" type="noConversion"/>
  </si>
  <si>
    <t>하로</t>
    <phoneticPr fontId="3" type="noConversion"/>
  </si>
  <si>
    <t>하운드700</t>
    <phoneticPr fontId="3" type="noConversion"/>
  </si>
  <si>
    <t>K-03</t>
  </si>
  <si>
    <t>포인트</t>
    <phoneticPr fontId="3" type="noConversion"/>
  </si>
  <si>
    <t>참좋은레저</t>
    <phoneticPr fontId="3" type="noConversion"/>
  </si>
  <si>
    <t>스파크DX</t>
    <phoneticPr fontId="3" type="noConversion"/>
  </si>
  <si>
    <t>접이식</t>
    <phoneticPr fontId="3" type="noConversion"/>
  </si>
  <si>
    <t>붐붐</t>
    <phoneticPr fontId="3" type="noConversion"/>
  </si>
  <si>
    <t>아이콘</t>
    <phoneticPr fontId="3" type="noConversion"/>
  </si>
  <si>
    <t>아이콘</t>
    <phoneticPr fontId="3" type="noConversion"/>
  </si>
  <si>
    <t>환타지아</t>
    <phoneticPr fontId="3" type="noConversion"/>
  </si>
  <si>
    <t>블랙캣</t>
    <phoneticPr fontId="3" type="noConversion"/>
  </si>
  <si>
    <t>임펙트</t>
    <phoneticPr fontId="3" type="noConversion"/>
  </si>
  <si>
    <t>르보아</t>
    <phoneticPr fontId="3" type="noConversion"/>
  </si>
  <si>
    <t>트로이</t>
    <phoneticPr fontId="3" type="noConversion"/>
  </si>
  <si>
    <t>인피자</t>
    <phoneticPr fontId="3" type="noConversion"/>
  </si>
  <si>
    <t>그린머신</t>
    <phoneticPr fontId="3" type="noConversion"/>
  </si>
  <si>
    <t>골드DX</t>
    <phoneticPr fontId="3" type="noConversion"/>
  </si>
  <si>
    <t>레온</t>
    <phoneticPr fontId="3" type="noConversion"/>
  </si>
  <si>
    <t>메리다</t>
    <phoneticPr fontId="3" type="noConversion"/>
  </si>
  <si>
    <t>Z-03</t>
  </si>
  <si>
    <t>FG-120</t>
    <phoneticPr fontId="3" type="noConversion"/>
  </si>
  <si>
    <t>Z-04</t>
  </si>
  <si>
    <t>포르테</t>
    <phoneticPr fontId="3" type="noConversion"/>
  </si>
  <si>
    <t>상품코드</t>
    <phoneticPr fontId="3" type="noConversion"/>
  </si>
  <si>
    <t>자전거명</t>
    <phoneticPr fontId="3" type="noConversion"/>
  </si>
  <si>
    <t>회사명</t>
    <phoneticPr fontId="3" type="noConversion"/>
  </si>
  <si>
    <t>매출액</t>
    <phoneticPr fontId="3" type="noConversion"/>
  </si>
  <si>
    <t>이익금</t>
    <phoneticPr fontId="3" type="noConversion"/>
  </si>
  <si>
    <t>비고</t>
    <phoneticPr fontId="3" type="noConversion"/>
  </si>
  <si>
    <t>[표1] 자전거별 단가</t>
    <phoneticPr fontId="3" type="noConversion"/>
  </si>
  <si>
    <t>하운드</t>
    <phoneticPr fontId="3" type="noConversion"/>
  </si>
  <si>
    <t>자전거명</t>
    <phoneticPr fontId="3" type="noConversion"/>
  </si>
  <si>
    <t>단가</t>
    <phoneticPr fontId="3" type="noConversion"/>
  </si>
  <si>
    <t>엘로우콘</t>
    <phoneticPr fontId="3" type="noConversion"/>
  </si>
  <si>
    <t>코렉스</t>
    <phoneticPr fontId="8" type="noConversion"/>
  </si>
  <si>
    <t>스파크</t>
    <phoneticPr fontId="3" type="noConversion"/>
  </si>
  <si>
    <t>참좋은레저</t>
    <phoneticPr fontId="3" type="noConversion"/>
  </si>
  <si>
    <t>스파크</t>
    <phoneticPr fontId="3" type="noConversion"/>
  </si>
  <si>
    <t>하로</t>
    <phoneticPr fontId="3" type="noConversion"/>
  </si>
  <si>
    <t>Z-07</t>
  </si>
  <si>
    <t>삼천리</t>
    <phoneticPr fontId="3" type="noConversion"/>
  </si>
  <si>
    <t>하로</t>
    <phoneticPr fontId="3" type="noConversion"/>
  </si>
  <si>
    <t>Z-08</t>
  </si>
  <si>
    <t>하운드</t>
    <phoneticPr fontId="3" type="noConversion"/>
  </si>
  <si>
    <t>하운드700</t>
    <phoneticPr fontId="3" type="noConversion"/>
  </si>
  <si>
    <t>포인트</t>
    <phoneticPr fontId="3" type="noConversion"/>
  </si>
  <si>
    <t>18세</t>
  </si>
  <si>
    <t>스파크DX</t>
    <phoneticPr fontId="3" type="noConversion"/>
  </si>
  <si>
    <t>코렉스</t>
    <phoneticPr fontId="8" type="noConversion"/>
  </si>
  <si>
    <t>[표2] 6~7월 수량평균</t>
    <phoneticPr fontId="3" type="noConversion"/>
  </si>
  <si>
    <t>6~7월</t>
    <phoneticPr fontId="3" type="noConversion"/>
  </si>
  <si>
    <t>Z-01</t>
  </si>
  <si>
    <t>엘로우콘</t>
    <phoneticPr fontId="3" type="noConversion"/>
  </si>
  <si>
    <t>하운드700</t>
    <phoneticPr fontId="3" type="noConversion"/>
  </si>
  <si>
    <t>[표3] 자전거명별 회사별 건수</t>
    <phoneticPr fontId="3" type="noConversion"/>
  </si>
  <si>
    <t>코렉스</t>
    <phoneticPr fontId="3" type="noConversion"/>
  </si>
  <si>
    <t>자전거명</t>
  </si>
  <si>
    <t>하운드</t>
  </si>
  <si>
    <t>하로</t>
  </si>
  <si>
    <t>하운드700</t>
  </si>
  <si>
    <t>포인트</t>
  </si>
  <si>
    <t>스파크DX</t>
  </si>
  <si>
    <t>붐붐</t>
  </si>
  <si>
    <t>환타지아</t>
  </si>
  <si>
    <t>블랙캣</t>
  </si>
  <si>
    <t>임펙트</t>
  </si>
  <si>
    <t>르보아</t>
  </si>
  <si>
    <t>인피자</t>
  </si>
  <si>
    <t>관광지방문객보고통계</t>
  </si>
  <si>
    <t>지역별</t>
  </si>
  <si>
    <t>무료방문객수</t>
    <phoneticPr fontId="3" type="noConversion"/>
  </si>
  <si>
    <t>유료내국인방문객수</t>
    <phoneticPr fontId="3" type="noConversion"/>
  </si>
  <si>
    <t>총방문객수</t>
    <phoneticPr fontId="3" type="noConversion"/>
  </si>
  <si>
    <t>전라북도</t>
  </si>
  <si>
    <t>경상북도</t>
  </si>
  <si>
    <t>경상남도</t>
  </si>
  <si>
    <t>충청북도</t>
  </si>
  <si>
    <t>충청남도</t>
  </si>
  <si>
    <t>자전거판매대장</t>
    <phoneticPr fontId="3" type="noConversion"/>
  </si>
  <si>
    <t>회사명</t>
    <phoneticPr fontId="3" type="noConversion"/>
  </si>
  <si>
    <t>판매액</t>
    <phoneticPr fontId="3" type="noConversion"/>
  </si>
  <si>
    <t>구분</t>
    <phoneticPr fontId="3" type="noConversion"/>
  </si>
  <si>
    <t>할인액</t>
    <phoneticPr fontId="3" type="noConversion"/>
  </si>
  <si>
    <t>자전거명</t>
    <phoneticPr fontId="3" type="noConversion"/>
  </si>
  <si>
    <t>(모두)</t>
  </si>
  <si>
    <t>총합계</t>
  </si>
  <si>
    <t>0-999999</t>
  </si>
  <si>
    <t>1000000-1999999</t>
  </si>
  <si>
    <t>2000000-2999999</t>
  </si>
  <si>
    <t>4000000-4999999</t>
  </si>
  <si>
    <t>5000000-6000000</t>
  </si>
  <si>
    <t>자전거수</t>
  </si>
  <si>
    <t>엘로우콘</t>
  </si>
  <si>
    <t>스파크</t>
  </si>
  <si>
    <t>접이식</t>
  </si>
  <si>
    <t>아이콘</t>
  </si>
  <si>
    <t>트로이</t>
  </si>
  <si>
    <t>그린머신</t>
  </si>
  <si>
    <t>골드DX</t>
  </si>
  <si>
    <t>레온</t>
  </si>
  <si>
    <t>메리다</t>
  </si>
  <si>
    <t>FG-120</t>
  </si>
  <si>
    <t>포르테</t>
  </si>
  <si>
    <t>크롤버</t>
  </si>
  <si>
    <t>미니GS</t>
  </si>
  <si>
    <t>싸이런스</t>
  </si>
  <si>
    <t>토비</t>
  </si>
  <si>
    <t>보헤미안</t>
  </si>
  <si>
    <t>레츠고</t>
  </si>
  <si>
    <t>비바체</t>
  </si>
  <si>
    <t>스타일</t>
  </si>
  <si>
    <t>사브</t>
  </si>
  <si>
    <t>레이오</t>
  </si>
  <si>
    <t>시보레</t>
  </si>
  <si>
    <t>스피드라인</t>
  </si>
  <si>
    <t>미라지</t>
  </si>
  <si>
    <t>피크닉</t>
  </si>
  <si>
    <t>스트로베리</t>
  </si>
  <si>
    <t>단가</t>
    <phoneticPr fontId="1" type="noConversion"/>
  </si>
  <si>
    <t>이익금</t>
    <phoneticPr fontId="1" type="noConversion"/>
  </si>
  <si>
    <t>[표1]</t>
    <phoneticPr fontId="1" type="noConversion"/>
  </si>
  <si>
    <t>종목명</t>
    <phoneticPr fontId="1" type="noConversion"/>
  </si>
  <si>
    <t>보유량</t>
    <phoneticPr fontId="1" type="noConversion"/>
  </si>
  <si>
    <t>매입가</t>
    <phoneticPr fontId="1" type="noConversion"/>
  </si>
  <si>
    <t>현재가</t>
    <phoneticPr fontId="3" type="noConversion"/>
  </si>
  <si>
    <t>수익률(%)</t>
    <phoneticPr fontId="1" type="noConversion"/>
  </si>
  <si>
    <t>SK하이닉스</t>
    <phoneticPr fontId="1" type="noConversion"/>
  </si>
  <si>
    <t>현대차</t>
    <phoneticPr fontId="1" type="noConversion"/>
  </si>
  <si>
    <t>호텔신라</t>
    <phoneticPr fontId="1" type="noConversion"/>
  </si>
  <si>
    <t>삼성전기</t>
    <phoneticPr fontId="1" type="noConversion"/>
  </si>
  <si>
    <t>삼성SDI</t>
    <phoneticPr fontId="1" type="noConversion"/>
  </si>
  <si>
    <t>NAVER</t>
    <phoneticPr fontId="1" type="noConversion"/>
  </si>
  <si>
    <t>카카오</t>
    <phoneticPr fontId="1" type="noConversion"/>
  </si>
  <si>
    <t>LG전자</t>
    <phoneticPr fontId="1" type="noConversion"/>
  </si>
  <si>
    <t>셀트리온</t>
    <phoneticPr fontId="1" type="noConversion"/>
  </si>
  <si>
    <t>삼성전자</t>
    <phoneticPr fontId="1" type="noConversion"/>
  </si>
  <si>
    <t>일양약품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</si>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</sst>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#&quot;월&quot;"/>
    <numFmt numFmtId="177" formatCode="#,##0_ "/>
    <numFmt numFmtId="178" formatCode="[Blue]0.0;[Red]0.0;&quot;◆&quot;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indexed="5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b/>
      <sz val="11"/>
      <color indexed="9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12"/>
      <color indexed="9"/>
      <name val="맑은 고딕"/>
      <family val="2"/>
      <charset val="129"/>
      <scheme val="minor"/>
    </font>
    <font>
      <sz val="10"/>
      <name val="Arial"/>
      <family val="2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10" fillId="0" borderId="0">
      <alignment vertical="center"/>
    </xf>
    <xf numFmtId="0" fontId="17" fillId="0" borderId="0"/>
  </cellStyleXfs>
  <cellXfs count="63">
    <xf numFmtId="0" fontId="0" fillId="0" borderId="0" xfId="0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horizontal="center" vertical="center" wrapText="1"/>
    </xf>
    <xf numFmtId="9" fontId="5" fillId="0" borderId="1" xfId="2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1" xfId="0" applyNumberFormat="1" applyFont="1" applyBorder="1" applyAlignment="1">
      <alignment horizontal="center" vertical="center"/>
    </xf>
    <xf numFmtId="0" fontId="7" fillId="0" borderId="1" xfId="0" quotePrefix="1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1" xfId="0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41" fontId="6" fillId="0" borderId="1" xfId="1" quotePrefix="1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1" xfId="0" quotePrefix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3" applyFont="1" applyFill="1" applyBorder="1" applyAlignment="1">
      <alignment vertical="center" wrapText="1"/>
    </xf>
    <xf numFmtId="0" fontId="6" fillId="0" borderId="0" xfId="0" applyNumberFormat="1" applyFont="1" applyBorder="1" applyAlignment="1">
      <alignment vertical="center"/>
    </xf>
    <xf numFmtId="41" fontId="6" fillId="0" borderId="0" xfId="1" applyFont="1" applyBorder="1" applyAlignment="1">
      <alignment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2" fillId="0" borderId="0" xfId="0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41" fontId="9" fillId="0" borderId="1" xfId="1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NumberFormat="1" applyFont="1" applyBorder="1" applyAlignment="1">
      <alignment vertical="center"/>
    </xf>
    <xf numFmtId="0" fontId="9" fillId="0" borderId="1" xfId="0" applyNumberFormat="1" applyFont="1" applyFill="1" applyBorder="1" applyAlignment="1">
      <alignment vertical="center"/>
    </xf>
    <xf numFmtId="0" fontId="9" fillId="0" borderId="1" xfId="0" quotePrefix="1" applyNumberFormat="1" applyFont="1" applyBorder="1" applyAlignment="1">
      <alignment vertical="center"/>
    </xf>
    <xf numFmtId="0" fontId="5" fillId="0" borderId="0" xfId="3" applyFont="1" applyFill="1" applyBorder="1" applyAlignment="1">
      <alignment horizontal="center" vertical="center" wrapText="1"/>
    </xf>
    <xf numFmtId="41" fontId="5" fillId="0" borderId="1" xfId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3" xfId="0" pivotButton="1" applyBorder="1">
      <alignment vertical="center"/>
    </xf>
    <xf numFmtId="0" fontId="0" fillId="0" borderId="3" xfId="0" applyBorder="1">
      <alignment vertical="center"/>
    </xf>
    <xf numFmtId="0" fontId="14" fillId="4" borderId="0" xfId="0" applyFont="1" applyFill="1" applyBorder="1">
      <alignment vertical="center"/>
    </xf>
    <xf numFmtId="0" fontId="15" fillId="0" borderId="2" xfId="0" applyNumberFormat="1" applyFont="1" applyBorder="1">
      <alignment vertical="center"/>
    </xf>
    <xf numFmtId="177" fontId="15" fillId="0" borderId="2" xfId="0" applyNumberFormat="1" applyFont="1" applyBorder="1">
      <alignment vertical="center"/>
    </xf>
    <xf numFmtId="0" fontId="14" fillId="4" borderId="0" xfId="0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16" fillId="4" borderId="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9" fontId="6" fillId="0" borderId="1" xfId="2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6" fillId="0" borderId="1" xfId="1" applyNumberFormat="1" applyFont="1" applyFill="1" applyBorder="1" applyAlignment="1">
      <alignment horizontal="center" vertical="center"/>
    </xf>
    <xf numFmtId="0" fontId="7" fillId="0" borderId="1" xfId="5" applyFont="1" applyBorder="1" applyAlignment="1">
      <alignment horizontal="center" vertical="center"/>
    </xf>
    <xf numFmtId="0" fontId="18" fillId="0" borderId="1" xfId="5" applyFont="1" applyBorder="1" applyAlignment="1">
      <alignment horizontal="center" vertical="center" wrapText="1"/>
    </xf>
    <xf numFmtId="41" fontId="18" fillId="0" borderId="1" xfId="1" applyFont="1" applyBorder="1" applyAlignment="1">
      <alignment horizontal="center" vertical="center" wrapText="1"/>
    </xf>
    <xf numFmtId="0" fontId="6" fillId="0" borderId="1" xfId="5" applyFont="1" applyBorder="1" applyAlignment="1">
      <alignment horizontal="center" vertical="center"/>
    </xf>
    <xf numFmtId="0" fontId="19" fillId="0" borderId="1" xfId="5" applyFont="1" applyBorder="1" applyAlignment="1">
      <alignment horizontal="center" wrapText="1"/>
    </xf>
    <xf numFmtId="41" fontId="19" fillId="0" borderId="1" xfId="1" applyFont="1" applyBorder="1" applyAlignment="1">
      <alignment horizontal="center" wrapText="1"/>
    </xf>
    <xf numFmtId="178" fontId="19" fillId="0" borderId="1" xfId="5" applyNumberFormat="1" applyFont="1" applyBorder="1" applyAlignment="1">
      <alignment horizontal="center" wrapText="1"/>
    </xf>
    <xf numFmtId="0" fontId="6" fillId="0" borderId="0" xfId="0" applyFont="1" applyBorder="1" applyAlignment="1">
      <alignment horizontal="left" vertical="center"/>
    </xf>
    <xf numFmtId="49" fontId="11" fillId="0" borderId="0" xfId="4" applyNumberFormat="1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 2" xfId="5"/>
    <cellStyle name="표준_Sheet1" xfId="3"/>
    <cellStyle name="표준_기타작업1" xfId="4"/>
  </cellStyles>
  <dxfs count="3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r>
              <a:rPr lang="ko-KR" altLang="en-US" sz="1600" b="1">
                <a:latin typeface="돋움" panose="020B0600000101010101" pitchFamily="50" charset="-127"/>
                <a:ea typeface="돋움" panose="020B0600000101010101" pitchFamily="50" charset="-127"/>
              </a:rPr>
              <a:t>지역별 방문객 보고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무료방문객수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기타작업1!$A$4:$A$8</c:f>
              <c:strCache>
                <c:ptCount val="5"/>
                <c:pt idx="0">
                  <c:v>전라북도</c:v>
                </c:pt>
                <c:pt idx="1">
                  <c:v>경상북도</c:v>
                </c:pt>
                <c:pt idx="2">
                  <c:v>경상남도</c:v>
                </c:pt>
                <c:pt idx="3">
                  <c:v>충청북도</c:v>
                </c:pt>
                <c:pt idx="4">
                  <c:v>충청남도</c:v>
                </c:pt>
              </c:strCache>
            </c:strRef>
          </c:cat>
          <c:val>
            <c:numRef>
              <c:f>기타작업1!$B$4:$B$8</c:f>
              <c:numCache>
                <c:formatCode>_(* #,##0_);_(* \(#,##0\);_(* "-"_);_(@_)</c:formatCode>
                <c:ptCount val="5"/>
                <c:pt idx="0">
                  <c:v>37200</c:v>
                </c:pt>
                <c:pt idx="1">
                  <c:v>332601</c:v>
                </c:pt>
                <c:pt idx="2">
                  <c:v>202235</c:v>
                </c:pt>
                <c:pt idx="3">
                  <c:v>733539</c:v>
                </c:pt>
                <c:pt idx="4">
                  <c:v>209384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D-4815-BFDF-600A93771042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48814112"/>
        <c:axId val="1048814528"/>
      </c:lineChart>
      <c:lineChart>
        <c:grouping val="standard"/>
        <c:varyColors val="0"/>
        <c:ser>
          <c:idx val="1"/>
          <c:order val="1"/>
          <c:tx>
            <c:strRef>
              <c:f>기타작업1!$C$3</c:f>
              <c:strCache>
                <c:ptCount val="1"/>
                <c:pt idx="0">
                  <c:v>유료내국인방문객수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기타작업1!$A$4:$A$8</c:f>
              <c:strCache>
                <c:ptCount val="5"/>
                <c:pt idx="0">
                  <c:v>전라북도</c:v>
                </c:pt>
                <c:pt idx="1">
                  <c:v>경상북도</c:v>
                </c:pt>
                <c:pt idx="2">
                  <c:v>경상남도</c:v>
                </c:pt>
                <c:pt idx="3">
                  <c:v>충청북도</c:v>
                </c:pt>
                <c:pt idx="4">
                  <c:v>충청남도</c:v>
                </c:pt>
              </c:strCache>
            </c:strRef>
          </c:cat>
          <c:val>
            <c:numRef>
              <c:f>기타작업1!$C$4:$C$8</c:f>
              <c:numCache>
                <c:formatCode>_(* #,##0_);_(* \(#,##0\);_(* "-"_);_(@_)</c:formatCode>
                <c:ptCount val="5"/>
                <c:pt idx="0">
                  <c:v>33145</c:v>
                </c:pt>
                <c:pt idx="1">
                  <c:v>78432</c:v>
                </c:pt>
                <c:pt idx="2">
                  <c:v>104205</c:v>
                </c:pt>
                <c:pt idx="3">
                  <c:v>115372</c:v>
                </c:pt>
                <c:pt idx="4">
                  <c:v>257351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D-4815-BFDF-600A93771042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22017632"/>
        <c:axId val="622015968"/>
      </c:lineChart>
      <c:catAx>
        <c:axId val="104881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8814528"/>
        <c:crosses val="autoZero"/>
        <c:auto val="1"/>
        <c:lblAlgn val="ctr"/>
        <c:lblOffset val="100"/>
        <c:noMultiLvlLbl val="0"/>
      </c:catAx>
      <c:valAx>
        <c:axId val="1048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8814112"/>
        <c:crosses val="autoZero"/>
        <c:crossBetween val="between"/>
      </c:valAx>
      <c:valAx>
        <c:axId val="62201596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2017632"/>
        <c:crosses val="max"/>
        <c:crossBetween val="between"/>
        <c:majorUnit val="100000"/>
      </c:valAx>
      <c:catAx>
        <c:axId val="62201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2015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19050</xdr:rowOff>
        </xdr:from>
        <xdr:to>
          <xdr:col>9</xdr:col>
          <xdr:colOff>241300</xdr:colOff>
          <xdr:row>3</xdr:row>
          <xdr:rowOff>152400</xdr:rowOff>
        </xdr:to>
        <xdr:sp macro="" textlink="">
          <xdr:nvSpPr>
            <xdr:cNvPr id="7169" name="자전거구입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5.607063310184" createdVersion="6" refreshedVersion="6" minRefreshableVersion="3" recordCount="38">
  <cacheSource type="external" connectionId="1"/>
  <cacheFields count="5">
    <cacheField name="자전거명" numFmtId="0" sqlType="-9">
      <sharedItems/>
    </cacheField>
    <cacheField name="판매일자" numFmtId="0" sqlType="11">
      <sharedItems containsSemiMixedTypes="0" containsNonDate="0" containsDate="1" containsString="0" minDate="2021-01-02T00:00:00" maxDate="2021-11-26T00:00:00" count="29">
        <d v="2021-06-02T00:00:00"/>
        <d v="2021-06-09T00:00:00"/>
        <d v="2021-05-08T00:00:00"/>
        <d v="2021-02-03T00:00:00"/>
        <d v="2021-02-01T00:00:00"/>
        <d v="2021-03-04T00:00:00"/>
        <d v="2021-01-09T00:00:00"/>
        <d v="2021-02-05T00:00:00"/>
        <d v="2021-01-08T00:00:00"/>
        <d v="2021-01-02T00:00:00"/>
        <d v="2021-03-05T00:00:00"/>
        <d v="2021-07-15T00:00:00"/>
        <d v="2021-07-11T00:00:00"/>
        <d v="2021-04-05T00:00:00"/>
        <d v="2021-05-03T00:00:00"/>
        <d v="2021-04-07T00:00:00"/>
        <d v="2021-02-12T00:00:00"/>
        <d v="2021-07-08T00:00:00"/>
        <d v="2021-05-11T00:00:00"/>
        <d v="2021-05-19T00:00:00"/>
        <d v="2021-08-07T00:00:00"/>
        <d v="2021-03-24T00:00:00"/>
        <d v="2021-06-07T00:00:00"/>
        <d v="2021-11-25T00:00:00"/>
        <d v="2021-08-11T00:00:00"/>
        <d v="2021-08-08T00:00:00"/>
        <d v="2021-03-02T00:00:00"/>
        <d v="2021-08-14T00:00:00"/>
        <d v="2021-09-02T00:00:00"/>
      </sharedItems>
    </cacheField>
    <cacheField name="단가" numFmtId="0" sqlType="8">
      <sharedItems containsSemiMixedTypes="0" containsString="0" containsNumber="1" containsInteger="1" minValue="108500" maxValue="284750" count="18">
        <n v="267500"/>
        <n v="111278"/>
        <n v="108500"/>
        <n v="114500"/>
        <n v="211278"/>
        <n v="134750"/>
        <n v="214500"/>
        <n v="284750"/>
        <n v="234750"/>
        <n v="117500"/>
        <n v="258500"/>
        <n v="217500"/>
        <n v="222500"/>
        <n v="263580"/>
        <n v="122500"/>
        <n v="113580"/>
        <n v="213580"/>
        <n v="272500"/>
      </sharedItems>
    </cacheField>
    <cacheField name="매출액" numFmtId="0" sqlType="8">
      <sharedItems containsSemiMixedTypes="0" containsString="0" containsNumber="1" containsInteger="1" minValue="117500" maxValue="5695000" count="38">
        <n v="802500"/>
        <n v="445112"/>
        <n v="1953000"/>
        <n v="1717500"/>
        <n v="1690224"/>
        <n v="2021250"/>
        <n v="1669170"/>
        <n v="858000"/>
        <n v="5695000"/>
        <n v="343500"/>
        <n v="229000"/>
        <n v="1193500"/>
        <n v="1643250"/>
        <n v="1708500"/>
        <n v="2387000"/>
        <n v="117500"/>
        <n v="1224058"/>
        <n v="222556"/>
        <n v="5428500"/>
        <n v="1085000"/>
        <n v="870000"/>
        <n v="1078000"/>
        <n v="1872500"/>
        <n v="333834"/>
        <n v="1030500"/>
        <n v="4672500"/>
        <n v="1740000"/>
        <n v="1054320"/>
        <n v="1225000"/>
        <n v="122500"/>
        <n v="908640"/>
        <n v="1922220"/>
        <n v="976500"/>
        <n v="4632500"/>
        <n v="1362960"/>
        <n v="4460250"/>
        <n v="2562750"/>
        <n v="2392500"/>
      </sharedItems>
      <fieldGroup base="3">
        <rangePr autoStart="0" autoEnd="0" startNum="0" endNum="6000000" groupInterval="1000000"/>
        <groupItems count="8">
          <s v="&lt;0"/>
          <s v="0-999999"/>
          <s v="1000000-1999999"/>
          <s v="2000000-2999999"/>
          <s v="3000000-3999999"/>
          <s v="4000000-4999999"/>
          <s v="5000000-6000000"/>
          <s v="&gt;6000000"/>
        </groupItems>
      </fieldGroup>
    </cacheField>
    <cacheField name="이익금" numFmtId="0" sqlType="8">
      <sharedItems containsSemiMixedTypes="0" containsString="0" containsNumber="1" minValue="20825" maxValue="1869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s v="엘로우콘"/>
    <x v="0"/>
    <x v="0"/>
    <x v="0"/>
    <n v="160500"/>
  </r>
  <r>
    <s v="스파크"/>
    <x v="1"/>
    <x v="1"/>
    <x v="1"/>
    <n v="97924.64"/>
  </r>
  <r>
    <s v="하운드"/>
    <x v="2"/>
    <x v="2"/>
    <x v="2"/>
    <n v="585900"/>
  </r>
  <r>
    <s v="하로"/>
    <x v="3"/>
    <x v="3"/>
    <x v="3"/>
    <n v="343500"/>
  </r>
  <r>
    <s v="하운드700"/>
    <x v="4"/>
    <x v="4"/>
    <x v="4"/>
    <n v="388751.52"/>
  </r>
  <r>
    <s v="포인트"/>
    <x v="5"/>
    <x v="5"/>
    <x v="5"/>
    <n v="343612.5"/>
  </r>
  <r>
    <s v="스파크DX"/>
    <x v="6"/>
    <x v="1"/>
    <x v="6"/>
    <n v="534134.4"/>
  </r>
  <r>
    <s v="접이식"/>
    <x v="7"/>
    <x v="6"/>
    <x v="7"/>
    <n v="171600"/>
  </r>
  <r>
    <s v="붐붐"/>
    <x v="7"/>
    <x v="7"/>
    <x v="8"/>
    <n v="740350"/>
  </r>
  <r>
    <s v="아이콘"/>
    <x v="8"/>
    <x v="3"/>
    <x v="9"/>
    <n v="68700"/>
  </r>
  <r>
    <s v="아이콘"/>
    <x v="9"/>
    <x v="3"/>
    <x v="10"/>
    <n v="45800"/>
  </r>
  <r>
    <s v="환타지아"/>
    <x v="10"/>
    <x v="2"/>
    <x v="11"/>
    <n v="417725"/>
  </r>
  <r>
    <s v="블랙캣"/>
    <x v="11"/>
    <x v="8"/>
    <x v="12"/>
    <n v="246487.5"/>
  </r>
  <r>
    <s v="임펙트"/>
    <x v="12"/>
    <x v="7"/>
    <x v="13"/>
    <n v="290445"/>
  </r>
  <r>
    <s v="르보아"/>
    <x v="13"/>
    <x v="2"/>
    <x v="14"/>
    <n v="596750"/>
  </r>
  <r>
    <s v="트로이"/>
    <x v="14"/>
    <x v="9"/>
    <x v="15"/>
    <n v="35250"/>
  </r>
  <r>
    <s v="인피자"/>
    <x v="15"/>
    <x v="1"/>
    <x v="16"/>
    <n v="342736.24000000005"/>
  </r>
  <r>
    <s v="그린머신"/>
    <x v="16"/>
    <x v="1"/>
    <x v="17"/>
    <n v="22255.600000000002"/>
  </r>
  <r>
    <s v="골드DX"/>
    <x v="1"/>
    <x v="10"/>
    <x v="18"/>
    <n v="1628550"/>
  </r>
  <r>
    <s v="레온"/>
    <x v="17"/>
    <x v="2"/>
    <x v="19"/>
    <n v="217000"/>
  </r>
  <r>
    <s v="메리다"/>
    <x v="18"/>
    <x v="11"/>
    <x v="20"/>
    <n v="261000"/>
  </r>
  <r>
    <s v="FG-120"/>
    <x v="17"/>
    <x v="5"/>
    <x v="21"/>
    <n v="215600"/>
  </r>
  <r>
    <s v="포르테"/>
    <x v="1"/>
    <x v="0"/>
    <x v="22"/>
    <n v="374500"/>
  </r>
  <r>
    <s v="크롤버"/>
    <x v="13"/>
    <x v="1"/>
    <x v="23"/>
    <n v="50075.1"/>
  </r>
  <r>
    <s v="미니GS"/>
    <x v="5"/>
    <x v="3"/>
    <x v="24"/>
    <n v="206100"/>
  </r>
  <r>
    <s v="싸이런스"/>
    <x v="19"/>
    <x v="12"/>
    <x v="25"/>
    <n v="1869000"/>
  </r>
  <r>
    <s v="토비"/>
    <x v="20"/>
    <x v="11"/>
    <x v="26"/>
    <n v="522000"/>
  </r>
  <r>
    <s v="보헤미안"/>
    <x v="21"/>
    <x v="13"/>
    <x v="27"/>
    <n v="52716"/>
  </r>
  <r>
    <s v="레츠고"/>
    <x v="17"/>
    <x v="14"/>
    <x v="28"/>
    <n v="306250"/>
  </r>
  <r>
    <s v="비바체"/>
    <x v="22"/>
    <x v="14"/>
    <x v="29"/>
    <n v="20825"/>
  </r>
  <r>
    <s v="스타일"/>
    <x v="23"/>
    <x v="15"/>
    <x v="30"/>
    <n v="63604.800000000003"/>
  </r>
  <r>
    <s v="사브"/>
    <x v="24"/>
    <x v="16"/>
    <x v="31"/>
    <n v="57666.6"/>
  </r>
  <r>
    <s v="레이오"/>
    <x v="25"/>
    <x v="2"/>
    <x v="32"/>
    <n v="244125"/>
  </r>
  <r>
    <s v="시보레"/>
    <x v="26"/>
    <x v="17"/>
    <x v="33"/>
    <n v="463250"/>
  </r>
  <r>
    <s v="스피드라인"/>
    <x v="27"/>
    <x v="15"/>
    <x v="34"/>
    <n v="163555.19999999998"/>
  </r>
  <r>
    <s v="미라지"/>
    <x v="9"/>
    <x v="8"/>
    <x v="35"/>
    <n v="490627.5"/>
  </r>
  <r>
    <s v="피크닉"/>
    <x v="12"/>
    <x v="7"/>
    <x v="36"/>
    <n v="768825"/>
  </r>
  <r>
    <s v="스트로베리"/>
    <x v="28"/>
    <x v="11"/>
    <x v="37"/>
    <n v="16747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utoFormatId="4096" applyNumberFormats="1" applyBorderFormats="1" applyFontFormats="1" applyPatternFormats="1" applyAlignmentFormats="1" applyWidthHeightFormats="1" dataCaption="값" updatedVersion="6" minRefreshableVersion="3" useAutoFormatting="1" itemPrintTitles="1" createdVersion="6" indent="0" compact="0" compactData="0" multipleFieldFilters="0" fieldListSortAscending="1">
  <location ref="B4:E10" firstHeaderRow="0" firstDataRow="1" firstDataCol="1" rowPageCount="1" colPageCount="1"/>
  <pivotFields count="5">
    <pivotField dataField="1" compact="0" showAll="0"/>
    <pivotField axis="axisPage" compact="0" showAll="0">
      <items count="30">
        <item x="9"/>
        <item x="8"/>
        <item x="6"/>
        <item x="4"/>
        <item x="3"/>
        <item x="7"/>
        <item x="16"/>
        <item x="26"/>
        <item x="5"/>
        <item x="10"/>
        <item x="21"/>
        <item x="13"/>
        <item x="15"/>
        <item x="14"/>
        <item x="2"/>
        <item x="18"/>
        <item x="19"/>
        <item x="0"/>
        <item x="22"/>
        <item x="1"/>
        <item x="17"/>
        <item x="12"/>
        <item x="11"/>
        <item x="20"/>
        <item x="25"/>
        <item x="24"/>
        <item x="27"/>
        <item x="28"/>
        <item x="23"/>
        <item t="default"/>
      </items>
    </pivotField>
    <pivotField dataField="1" compact="0" showAll="0"/>
    <pivotField axis="axisRow"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compact="0" showAll="0"/>
  </pivotFields>
  <rowFields count="1">
    <field x="3"/>
  </rowFields>
  <rowItems count="6"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자전거수" fld="0" subtotal="count" baseField="3" baseItem="1"/>
    <dataField name="합계 : 단가" fld="2" baseField="3" baseItem="1" numFmtId="177"/>
    <dataField name="합계 : 이익금" fld="4" baseField="3" baseItem="1" numFmtId="17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2"/>
  <sheetViews>
    <sheetView tabSelected="1" workbookViewId="0"/>
  </sheetViews>
  <sheetFormatPr defaultRowHeight="17"/>
  <cols>
    <col min="1" max="1" width="12.58203125" bestFit="1" customWidth="1"/>
    <col min="2" max="2" width="12.9140625" customWidth="1"/>
    <col min="3" max="3" width="13.75" customWidth="1"/>
    <col min="4" max="4" width="12.75" customWidth="1"/>
    <col min="5" max="5" width="13.58203125" customWidth="1"/>
    <col min="6" max="6" width="10.25" customWidth="1"/>
    <col min="7" max="7" width="6.58203125" customWidth="1"/>
    <col min="8" max="8" width="11.75" customWidth="1"/>
    <col min="9" max="9" width="8.08203125" customWidth="1"/>
    <col min="10" max="10" width="11.58203125" customWidth="1"/>
  </cols>
  <sheetData>
    <row r="1" spans="1:10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9</v>
      </c>
    </row>
    <row r="2" spans="1:10">
      <c r="A2" s="4" t="s">
        <v>10</v>
      </c>
      <c r="B2" s="4" t="s">
        <v>11</v>
      </c>
      <c r="C2" s="4" t="s">
        <v>12</v>
      </c>
      <c r="D2" s="5">
        <v>44472</v>
      </c>
      <c r="E2" s="5">
        <v>44714</v>
      </c>
      <c r="F2" s="6">
        <v>267500</v>
      </c>
      <c r="G2" s="6">
        <v>3</v>
      </c>
      <c r="H2" s="6">
        <f>F2*G2</f>
        <v>802500</v>
      </c>
      <c r="I2" s="7">
        <v>0.2</v>
      </c>
      <c r="J2" s="36">
        <f>H2*I2</f>
        <v>160500</v>
      </c>
    </row>
    <row r="3" spans="1:10">
      <c r="A3" s="4" t="s">
        <v>13</v>
      </c>
      <c r="B3" s="4" t="s">
        <v>14</v>
      </c>
      <c r="C3" s="4" t="s">
        <v>15</v>
      </c>
      <c r="D3" s="5">
        <v>44450</v>
      </c>
      <c r="E3" s="5">
        <v>44721</v>
      </c>
      <c r="F3" s="6">
        <v>111278</v>
      </c>
      <c r="G3" s="6">
        <v>4</v>
      </c>
      <c r="H3" s="6">
        <f t="shared" ref="H3:H24" si="0">F3*G3</f>
        <v>445112</v>
      </c>
      <c r="I3" s="7">
        <v>0.22</v>
      </c>
      <c r="J3" s="36">
        <f t="shared" ref="J3:J24" si="1">H3*I3</f>
        <v>97924.64</v>
      </c>
    </row>
    <row r="4" spans="1:10">
      <c r="A4" s="4" t="s">
        <v>16</v>
      </c>
      <c r="B4" s="4" t="s">
        <v>14</v>
      </c>
      <c r="C4" s="4" t="s">
        <v>17</v>
      </c>
      <c r="D4" s="5">
        <v>44452</v>
      </c>
      <c r="E4" s="5">
        <v>44689</v>
      </c>
      <c r="F4" s="6">
        <v>108500</v>
      </c>
      <c r="G4" s="6">
        <v>18</v>
      </c>
      <c r="H4" s="6">
        <f t="shared" si="0"/>
        <v>1953000</v>
      </c>
      <c r="I4" s="7">
        <v>0.3</v>
      </c>
      <c r="J4" s="36">
        <f t="shared" si="1"/>
        <v>585900</v>
      </c>
    </row>
    <row r="5" spans="1:10">
      <c r="A5" s="4" t="s">
        <v>18</v>
      </c>
      <c r="B5" s="4" t="s">
        <v>19</v>
      </c>
      <c r="C5" s="4" t="s">
        <v>20</v>
      </c>
      <c r="D5" s="5">
        <v>44453</v>
      </c>
      <c r="E5" s="5">
        <v>44595</v>
      </c>
      <c r="F5" s="6">
        <v>114500</v>
      </c>
      <c r="G5" s="6">
        <v>15</v>
      </c>
      <c r="H5" s="6">
        <f t="shared" si="0"/>
        <v>1717500</v>
      </c>
      <c r="I5" s="7">
        <v>0.2</v>
      </c>
      <c r="J5" s="36">
        <f t="shared" si="1"/>
        <v>343500</v>
      </c>
    </row>
    <row r="6" spans="1:10">
      <c r="A6" s="4" t="s">
        <v>13</v>
      </c>
      <c r="B6" s="4" t="s">
        <v>14</v>
      </c>
      <c r="C6" s="4" t="s">
        <v>21</v>
      </c>
      <c r="D6" s="5">
        <v>44463</v>
      </c>
      <c r="E6" s="5">
        <v>44593</v>
      </c>
      <c r="F6" s="6">
        <v>211278</v>
      </c>
      <c r="G6" s="6">
        <v>8</v>
      </c>
      <c r="H6" s="6">
        <f t="shared" si="0"/>
        <v>1690224</v>
      </c>
      <c r="I6" s="7">
        <v>0.23</v>
      </c>
      <c r="J6" s="36">
        <f t="shared" si="1"/>
        <v>388751.52</v>
      </c>
    </row>
    <row r="7" spans="1:10">
      <c r="A7" s="4" t="s">
        <v>22</v>
      </c>
      <c r="B7" s="4" t="s">
        <v>11</v>
      </c>
      <c r="C7" s="4" t="s">
        <v>23</v>
      </c>
      <c r="D7" s="5">
        <v>44467</v>
      </c>
      <c r="E7" s="5">
        <v>44624</v>
      </c>
      <c r="F7" s="6">
        <v>134750</v>
      </c>
      <c r="G7" s="6">
        <v>15</v>
      </c>
      <c r="H7" s="6">
        <f t="shared" si="0"/>
        <v>2021250</v>
      </c>
      <c r="I7" s="7">
        <v>0.17</v>
      </c>
      <c r="J7" s="36">
        <f t="shared" si="1"/>
        <v>343612.5</v>
      </c>
    </row>
    <row r="8" spans="1:10">
      <c r="A8" s="4" t="s">
        <v>13</v>
      </c>
      <c r="B8" s="4" t="s">
        <v>24</v>
      </c>
      <c r="C8" s="4" t="s">
        <v>25</v>
      </c>
      <c r="D8" s="5">
        <v>44470</v>
      </c>
      <c r="E8" s="5">
        <v>44570</v>
      </c>
      <c r="F8" s="6">
        <v>111278</v>
      </c>
      <c r="G8" s="6">
        <v>15</v>
      </c>
      <c r="H8" s="6">
        <f t="shared" si="0"/>
        <v>1669170</v>
      </c>
      <c r="I8" s="7">
        <v>0.32</v>
      </c>
      <c r="J8" s="36">
        <f t="shared" si="1"/>
        <v>534134.4</v>
      </c>
    </row>
    <row r="9" spans="1:10">
      <c r="A9" s="4" t="s">
        <v>18</v>
      </c>
      <c r="B9" s="4" t="s">
        <v>24</v>
      </c>
      <c r="C9" s="4" t="s">
        <v>26</v>
      </c>
      <c r="D9" s="5">
        <v>44473</v>
      </c>
      <c r="E9" s="5">
        <v>44597</v>
      </c>
      <c r="F9" s="6">
        <v>214500</v>
      </c>
      <c r="G9" s="6">
        <v>4</v>
      </c>
      <c r="H9" s="6">
        <f t="shared" si="0"/>
        <v>858000</v>
      </c>
      <c r="I9" s="7">
        <v>0.2</v>
      </c>
      <c r="J9" s="36">
        <f t="shared" si="1"/>
        <v>171600</v>
      </c>
    </row>
    <row r="10" spans="1:10">
      <c r="A10" s="4" t="s">
        <v>22</v>
      </c>
      <c r="B10" s="4" t="s">
        <v>24</v>
      </c>
      <c r="C10" s="4" t="s">
        <v>27</v>
      </c>
      <c r="D10" s="5">
        <v>44455</v>
      </c>
      <c r="E10" s="5">
        <v>44597</v>
      </c>
      <c r="F10" s="6">
        <v>284750</v>
      </c>
      <c r="G10" s="6">
        <v>20</v>
      </c>
      <c r="H10" s="6">
        <f t="shared" si="0"/>
        <v>5695000</v>
      </c>
      <c r="I10" s="7">
        <v>0.13</v>
      </c>
      <c r="J10" s="36">
        <f t="shared" si="1"/>
        <v>740350</v>
      </c>
    </row>
    <row r="11" spans="1:10">
      <c r="A11" s="4" t="s">
        <v>18</v>
      </c>
      <c r="B11" s="4" t="s">
        <v>24</v>
      </c>
      <c r="C11" s="4" t="s">
        <v>28</v>
      </c>
      <c r="D11" s="5">
        <v>44469</v>
      </c>
      <c r="E11" s="5">
        <v>44569</v>
      </c>
      <c r="F11" s="6">
        <v>114500</v>
      </c>
      <c r="G11" s="6">
        <v>3</v>
      </c>
      <c r="H11" s="6">
        <f t="shared" si="0"/>
        <v>343500</v>
      </c>
      <c r="I11" s="7">
        <v>0.2</v>
      </c>
      <c r="J11" s="36">
        <f t="shared" si="1"/>
        <v>68700</v>
      </c>
    </row>
    <row r="12" spans="1:10">
      <c r="A12" s="4" t="s">
        <v>18</v>
      </c>
      <c r="B12" s="4" t="s">
        <v>11</v>
      </c>
      <c r="C12" s="4" t="s">
        <v>29</v>
      </c>
      <c r="D12" s="5">
        <v>44465</v>
      </c>
      <c r="E12" s="5">
        <v>44563</v>
      </c>
      <c r="F12" s="6">
        <v>114500</v>
      </c>
      <c r="G12" s="6">
        <v>2</v>
      </c>
      <c r="H12" s="6">
        <f t="shared" si="0"/>
        <v>229000</v>
      </c>
      <c r="I12" s="7">
        <v>0.2</v>
      </c>
      <c r="J12" s="36">
        <f t="shared" si="1"/>
        <v>45800</v>
      </c>
    </row>
    <row r="13" spans="1:10">
      <c r="A13" s="4" t="s">
        <v>16</v>
      </c>
      <c r="B13" s="4" t="s">
        <v>11</v>
      </c>
      <c r="C13" s="4" t="s">
        <v>30</v>
      </c>
      <c r="D13" s="5">
        <v>44460</v>
      </c>
      <c r="E13" s="5">
        <v>44625</v>
      </c>
      <c r="F13" s="6">
        <v>108500</v>
      </c>
      <c r="G13" s="6">
        <v>11</v>
      </c>
      <c r="H13" s="6">
        <f t="shared" si="0"/>
        <v>1193500</v>
      </c>
      <c r="I13" s="7">
        <v>0.35</v>
      </c>
      <c r="J13" s="36">
        <f t="shared" si="1"/>
        <v>417725</v>
      </c>
    </row>
    <row r="14" spans="1:10">
      <c r="A14" s="4" t="s">
        <v>22</v>
      </c>
      <c r="B14" s="4" t="s">
        <v>11</v>
      </c>
      <c r="C14" s="4" t="s">
        <v>31</v>
      </c>
      <c r="D14" s="5">
        <v>44456</v>
      </c>
      <c r="E14" s="5">
        <v>44757</v>
      </c>
      <c r="F14" s="6">
        <v>234750</v>
      </c>
      <c r="G14" s="6">
        <v>7</v>
      </c>
      <c r="H14" s="6">
        <f t="shared" si="0"/>
        <v>1643250</v>
      </c>
      <c r="I14" s="7">
        <v>0.15</v>
      </c>
      <c r="J14" s="36">
        <f t="shared" si="1"/>
        <v>246487.5</v>
      </c>
    </row>
    <row r="15" spans="1:10">
      <c r="A15" s="4" t="s">
        <v>22</v>
      </c>
      <c r="B15" s="4" t="s">
        <v>14</v>
      </c>
      <c r="C15" s="4" t="s">
        <v>32</v>
      </c>
      <c r="D15" s="5">
        <v>44459</v>
      </c>
      <c r="E15" s="5">
        <v>44753</v>
      </c>
      <c r="F15" s="6">
        <v>284750</v>
      </c>
      <c r="G15" s="6">
        <v>6</v>
      </c>
      <c r="H15" s="6">
        <f t="shared" si="0"/>
        <v>1708500</v>
      </c>
      <c r="I15" s="7">
        <v>0.17</v>
      </c>
      <c r="J15" s="36">
        <f t="shared" si="1"/>
        <v>290445</v>
      </c>
    </row>
    <row r="16" spans="1:10">
      <c r="A16" s="4" t="s">
        <v>16</v>
      </c>
      <c r="B16" s="4" t="s">
        <v>14</v>
      </c>
      <c r="C16" s="4" t="s">
        <v>33</v>
      </c>
      <c r="D16" s="5">
        <v>44451</v>
      </c>
      <c r="E16" s="5">
        <v>44656</v>
      </c>
      <c r="F16" s="6">
        <v>108500</v>
      </c>
      <c r="G16" s="6">
        <v>22</v>
      </c>
      <c r="H16" s="6">
        <f t="shared" si="0"/>
        <v>2387000</v>
      </c>
      <c r="I16" s="7">
        <v>0.25</v>
      </c>
      <c r="J16" s="36">
        <f t="shared" si="1"/>
        <v>596750</v>
      </c>
    </row>
    <row r="17" spans="1:10">
      <c r="A17" s="4" t="s">
        <v>10</v>
      </c>
      <c r="B17" s="4" t="s">
        <v>14</v>
      </c>
      <c r="C17" s="4" t="s">
        <v>34</v>
      </c>
      <c r="D17" s="5">
        <v>44462</v>
      </c>
      <c r="E17" s="5">
        <v>44684</v>
      </c>
      <c r="F17" s="6">
        <v>117500</v>
      </c>
      <c r="G17" s="6">
        <v>1</v>
      </c>
      <c r="H17" s="6">
        <f t="shared" si="0"/>
        <v>117500</v>
      </c>
      <c r="I17" s="7">
        <v>0.3</v>
      </c>
      <c r="J17" s="36">
        <f t="shared" si="1"/>
        <v>35250</v>
      </c>
    </row>
    <row r="18" spans="1:10">
      <c r="A18" s="4" t="s">
        <v>13</v>
      </c>
      <c r="B18" s="4" t="s">
        <v>14</v>
      </c>
      <c r="C18" s="4" t="s">
        <v>35</v>
      </c>
      <c r="D18" s="5">
        <v>44468</v>
      </c>
      <c r="E18" s="5">
        <v>44658</v>
      </c>
      <c r="F18" s="6">
        <v>111278</v>
      </c>
      <c r="G18" s="6">
        <v>11</v>
      </c>
      <c r="H18" s="6">
        <f t="shared" si="0"/>
        <v>1224058</v>
      </c>
      <c r="I18" s="7">
        <v>0.28000000000000003</v>
      </c>
      <c r="J18" s="36">
        <f t="shared" si="1"/>
        <v>342736.24000000005</v>
      </c>
    </row>
    <row r="19" spans="1:10">
      <c r="A19" s="4" t="s">
        <v>13</v>
      </c>
      <c r="B19" s="4" t="s">
        <v>11</v>
      </c>
      <c r="C19" s="4" t="s">
        <v>36</v>
      </c>
      <c r="D19" s="5">
        <v>44471</v>
      </c>
      <c r="E19" s="5">
        <v>44604</v>
      </c>
      <c r="F19" s="6">
        <v>111278</v>
      </c>
      <c r="G19" s="6">
        <v>2</v>
      </c>
      <c r="H19" s="6">
        <f t="shared" si="0"/>
        <v>222556</v>
      </c>
      <c r="I19" s="7">
        <v>0.1</v>
      </c>
      <c r="J19" s="36">
        <f t="shared" si="1"/>
        <v>22255.600000000002</v>
      </c>
    </row>
    <row r="20" spans="1:10">
      <c r="A20" s="4" t="s">
        <v>16</v>
      </c>
      <c r="B20" s="4" t="s">
        <v>24</v>
      </c>
      <c r="C20" s="4" t="s">
        <v>37</v>
      </c>
      <c r="D20" s="5">
        <v>44474</v>
      </c>
      <c r="E20" s="5">
        <v>44721</v>
      </c>
      <c r="F20" s="6">
        <v>258500</v>
      </c>
      <c r="G20" s="6">
        <v>21</v>
      </c>
      <c r="H20" s="6">
        <f t="shared" si="0"/>
        <v>5428500</v>
      </c>
      <c r="I20" s="7">
        <v>0.3</v>
      </c>
      <c r="J20" s="36">
        <f t="shared" si="1"/>
        <v>1628550</v>
      </c>
    </row>
    <row r="21" spans="1:10">
      <c r="A21" s="4" t="s">
        <v>16</v>
      </c>
      <c r="B21" s="4" t="s">
        <v>24</v>
      </c>
      <c r="C21" s="4" t="s">
        <v>38</v>
      </c>
      <c r="D21" s="5">
        <v>44477</v>
      </c>
      <c r="E21" s="5">
        <v>44750</v>
      </c>
      <c r="F21" s="6">
        <v>108500</v>
      </c>
      <c r="G21" s="6">
        <v>10</v>
      </c>
      <c r="H21" s="6">
        <f t="shared" si="0"/>
        <v>1085000</v>
      </c>
      <c r="I21" s="7">
        <v>0.2</v>
      </c>
      <c r="J21" s="36">
        <f t="shared" si="1"/>
        <v>217000</v>
      </c>
    </row>
    <row r="22" spans="1:10">
      <c r="A22" s="4" t="s">
        <v>10</v>
      </c>
      <c r="B22" s="4" t="s">
        <v>24</v>
      </c>
      <c r="C22" s="4" t="s">
        <v>39</v>
      </c>
      <c r="D22" s="5">
        <v>44478</v>
      </c>
      <c r="E22" s="5">
        <v>44692</v>
      </c>
      <c r="F22" s="6">
        <v>217500</v>
      </c>
      <c r="G22" s="6">
        <v>4</v>
      </c>
      <c r="H22" s="6">
        <f t="shared" si="0"/>
        <v>870000</v>
      </c>
      <c r="I22" s="7">
        <v>0.3</v>
      </c>
      <c r="J22" s="36">
        <f t="shared" si="1"/>
        <v>261000</v>
      </c>
    </row>
    <row r="23" spans="1:10">
      <c r="A23" s="4" t="s">
        <v>40</v>
      </c>
      <c r="B23" s="4" t="s">
        <v>24</v>
      </c>
      <c r="C23" s="4" t="s">
        <v>41</v>
      </c>
      <c r="D23" s="5">
        <v>44479</v>
      </c>
      <c r="E23" s="5">
        <v>44750</v>
      </c>
      <c r="F23" s="6">
        <v>134750</v>
      </c>
      <c r="G23" s="6">
        <v>8</v>
      </c>
      <c r="H23" s="6">
        <f t="shared" si="0"/>
        <v>1078000</v>
      </c>
      <c r="I23" s="7">
        <v>0.2</v>
      </c>
      <c r="J23" s="36">
        <f t="shared" si="1"/>
        <v>215600</v>
      </c>
    </row>
    <row r="24" spans="1:10">
      <c r="A24" s="4" t="s">
        <v>42</v>
      </c>
      <c r="B24" s="4" t="s">
        <v>11</v>
      </c>
      <c r="C24" s="4" t="s">
        <v>43</v>
      </c>
      <c r="D24" s="5">
        <v>44480</v>
      </c>
      <c r="E24" s="5">
        <v>44721</v>
      </c>
      <c r="F24" s="6">
        <v>267500</v>
      </c>
      <c r="G24" s="6">
        <v>7</v>
      </c>
      <c r="H24" s="6">
        <f t="shared" si="0"/>
        <v>1872500</v>
      </c>
      <c r="I24" s="7">
        <v>0.2</v>
      </c>
      <c r="J24" s="36">
        <f t="shared" si="1"/>
        <v>374500</v>
      </c>
    </row>
    <row r="26" spans="1:10">
      <c r="A26" s="35" t="s">
        <v>158</v>
      </c>
    </row>
    <row r="27" spans="1:10">
      <c r="A27" t="b">
        <f>OR(LARGE($H$2:$H$24,1)=H2,SMALL($H$2:$H$24,1)=H2)</f>
        <v>0</v>
      </c>
    </row>
    <row r="30" spans="1:10">
      <c r="A30" s="1" t="s">
        <v>1</v>
      </c>
      <c r="B30" s="1" t="s">
        <v>2</v>
      </c>
      <c r="C30" s="1" t="s">
        <v>7</v>
      </c>
    </row>
    <row r="31" spans="1:10">
      <c r="A31" s="4" t="s">
        <v>24</v>
      </c>
      <c r="B31" s="4" t="s">
        <v>27</v>
      </c>
      <c r="C31" s="6">
        <v>5695000</v>
      </c>
    </row>
    <row r="32" spans="1:10">
      <c r="A32" s="4" t="s">
        <v>14</v>
      </c>
      <c r="B32" s="4" t="s">
        <v>34</v>
      </c>
      <c r="C32" s="6">
        <v>117500</v>
      </c>
    </row>
  </sheetData>
  <phoneticPr fontId="1" type="noConversion"/>
  <conditionalFormatting sqref="A2:J24 A26">
    <cfRule type="expression" dxfId="2" priority="1">
      <formula>OR($I2&gt;20%,$J2&gt;=500000)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K25"/>
  <sheetViews>
    <sheetView view="pageBreakPreview" zoomScaleNormal="100" zoomScaleSheetLayoutView="100" workbookViewId="0"/>
  </sheetViews>
  <sheetFormatPr defaultRowHeight="17"/>
  <cols>
    <col min="2" max="2" width="12.58203125" bestFit="1" customWidth="1"/>
    <col min="3" max="3" width="12.9140625" customWidth="1"/>
    <col min="4" max="4" width="13.75" customWidth="1"/>
    <col min="5" max="5" width="12.75" customWidth="1"/>
    <col min="6" max="6" width="13.58203125" customWidth="1"/>
    <col min="7" max="7" width="10.25" customWidth="1"/>
    <col min="8" max="8" width="6.58203125" customWidth="1"/>
    <col min="9" max="9" width="11.75" customWidth="1"/>
    <col min="10" max="10" width="8.08203125" customWidth="1"/>
    <col min="11" max="11" width="11.58203125" customWidth="1"/>
  </cols>
  <sheetData>
    <row r="2" spans="2:11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3" t="s">
        <v>9</v>
      </c>
    </row>
    <row r="3" spans="2:11">
      <c r="B3" s="4" t="s">
        <v>10</v>
      </c>
      <c r="C3" s="4" t="s">
        <v>11</v>
      </c>
      <c r="D3" s="4" t="s">
        <v>12</v>
      </c>
      <c r="E3" s="5">
        <v>44472</v>
      </c>
      <c r="F3" s="5">
        <v>44714</v>
      </c>
      <c r="G3" s="6">
        <v>267500</v>
      </c>
      <c r="H3" s="6">
        <v>3</v>
      </c>
      <c r="I3" s="36">
        <f>G3*H3</f>
        <v>802500</v>
      </c>
      <c r="J3" s="7">
        <v>0.2</v>
      </c>
      <c r="K3" s="36">
        <f>I3*J3</f>
        <v>160500</v>
      </c>
    </row>
    <row r="4" spans="2:11">
      <c r="B4" s="4" t="s">
        <v>13</v>
      </c>
      <c r="C4" s="4" t="s">
        <v>14</v>
      </c>
      <c r="D4" s="4" t="s">
        <v>15</v>
      </c>
      <c r="E4" s="5">
        <v>44450</v>
      </c>
      <c r="F4" s="5">
        <v>44721</v>
      </c>
      <c r="G4" s="6">
        <v>111278</v>
      </c>
      <c r="H4" s="6">
        <v>4</v>
      </c>
      <c r="I4" s="36">
        <f t="shared" ref="I4:I25" si="0">G4*H4</f>
        <v>445112</v>
      </c>
      <c r="J4" s="7">
        <v>0.22</v>
      </c>
      <c r="K4" s="36">
        <f t="shared" ref="K4:K25" si="1">I4*J4</f>
        <v>97924.64</v>
      </c>
    </row>
    <row r="5" spans="2:11">
      <c r="B5" s="4" t="s">
        <v>16</v>
      </c>
      <c r="C5" s="4" t="s">
        <v>14</v>
      </c>
      <c r="D5" s="4" t="s">
        <v>17</v>
      </c>
      <c r="E5" s="5">
        <v>44452</v>
      </c>
      <c r="F5" s="5">
        <v>44689</v>
      </c>
      <c r="G5" s="6">
        <v>108500</v>
      </c>
      <c r="H5" s="6">
        <v>18</v>
      </c>
      <c r="I5" s="36">
        <f t="shared" si="0"/>
        <v>1953000</v>
      </c>
      <c r="J5" s="7">
        <v>0.3</v>
      </c>
      <c r="K5" s="36">
        <f t="shared" si="1"/>
        <v>585900</v>
      </c>
    </row>
    <row r="6" spans="2:11">
      <c r="B6" s="4" t="s">
        <v>18</v>
      </c>
      <c r="C6" s="4" t="s">
        <v>14</v>
      </c>
      <c r="D6" s="4" t="s">
        <v>20</v>
      </c>
      <c r="E6" s="5">
        <v>44453</v>
      </c>
      <c r="F6" s="5">
        <v>44595</v>
      </c>
      <c r="G6" s="6">
        <v>114500</v>
      </c>
      <c r="H6" s="6">
        <v>15</v>
      </c>
      <c r="I6" s="36">
        <f t="shared" si="0"/>
        <v>1717500</v>
      </c>
      <c r="J6" s="7">
        <v>0.2</v>
      </c>
      <c r="K6" s="36">
        <f t="shared" si="1"/>
        <v>343500</v>
      </c>
    </row>
    <row r="7" spans="2:11">
      <c r="B7" s="4" t="s">
        <v>13</v>
      </c>
      <c r="C7" s="4" t="s">
        <v>14</v>
      </c>
      <c r="D7" s="4" t="s">
        <v>21</v>
      </c>
      <c r="E7" s="5">
        <v>44463</v>
      </c>
      <c r="F7" s="5">
        <v>44593</v>
      </c>
      <c r="G7" s="6">
        <v>211278</v>
      </c>
      <c r="H7" s="6">
        <v>8</v>
      </c>
      <c r="I7" s="36">
        <f t="shared" si="0"/>
        <v>1690224</v>
      </c>
      <c r="J7" s="7">
        <v>0.23</v>
      </c>
      <c r="K7" s="36">
        <f t="shared" si="1"/>
        <v>388751.52</v>
      </c>
    </row>
    <row r="8" spans="2:11">
      <c r="B8" s="4" t="s">
        <v>22</v>
      </c>
      <c r="C8" s="4" t="s">
        <v>11</v>
      </c>
      <c r="D8" s="4" t="s">
        <v>23</v>
      </c>
      <c r="E8" s="5">
        <v>44467</v>
      </c>
      <c r="F8" s="5">
        <v>44624</v>
      </c>
      <c r="G8" s="6">
        <v>134750</v>
      </c>
      <c r="H8" s="6">
        <v>15</v>
      </c>
      <c r="I8" s="36">
        <f t="shared" si="0"/>
        <v>2021250</v>
      </c>
      <c r="J8" s="7">
        <v>0.17</v>
      </c>
      <c r="K8" s="36">
        <f t="shared" si="1"/>
        <v>343612.5</v>
      </c>
    </row>
    <row r="9" spans="2:11">
      <c r="B9" s="4" t="s">
        <v>13</v>
      </c>
      <c r="C9" s="4" t="s">
        <v>24</v>
      </c>
      <c r="D9" s="4" t="s">
        <v>25</v>
      </c>
      <c r="E9" s="5">
        <v>44470</v>
      </c>
      <c r="F9" s="5">
        <v>44570</v>
      </c>
      <c r="G9" s="6">
        <v>111278</v>
      </c>
      <c r="H9" s="6">
        <v>15</v>
      </c>
      <c r="I9" s="36">
        <f t="shared" si="0"/>
        <v>1669170</v>
      </c>
      <c r="J9" s="7">
        <v>0.32</v>
      </c>
      <c r="K9" s="36">
        <f t="shared" si="1"/>
        <v>534134.4</v>
      </c>
    </row>
    <row r="10" spans="2:11">
      <c r="B10" s="4" t="s">
        <v>18</v>
      </c>
      <c r="C10" s="4" t="s">
        <v>24</v>
      </c>
      <c r="D10" s="4" t="s">
        <v>26</v>
      </c>
      <c r="E10" s="5">
        <v>44473</v>
      </c>
      <c r="F10" s="5">
        <v>44597</v>
      </c>
      <c r="G10" s="6">
        <v>214500</v>
      </c>
      <c r="H10" s="6">
        <v>4</v>
      </c>
      <c r="I10" s="36">
        <f t="shared" si="0"/>
        <v>858000</v>
      </c>
      <c r="J10" s="7">
        <v>0.2</v>
      </c>
      <c r="K10" s="36">
        <f t="shared" si="1"/>
        <v>171600</v>
      </c>
    </row>
    <row r="11" spans="2:11">
      <c r="B11" s="4" t="s">
        <v>22</v>
      </c>
      <c r="C11" s="4" t="s">
        <v>24</v>
      </c>
      <c r="D11" s="4" t="s">
        <v>27</v>
      </c>
      <c r="E11" s="5">
        <v>44455</v>
      </c>
      <c r="F11" s="5">
        <v>44597</v>
      </c>
      <c r="G11" s="6">
        <v>284750</v>
      </c>
      <c r="H11" s="6">
        <v>20</v>
      </c>
      <c r="I11" s="36">
        <f t="shared" si="0"/>
        <v>5695000</v>
      </c>
      <c r="J11" s="7">
        <v>0.13</v>
      </c>
      <c r="K11" s="36">
        <f t="shared" si="1"/>
        <v>740350</v>
      </c>
    </row>
    <row r="12" spans="2:11">
      <c r="B12" s="4" t="s">
        <v>18</v>
      </c>
      <c r="C12" s="4" t="s">
        <v>24</v>
      </c>
      <c r="D12" s="4" t="s">
        <v>28</v>
      </c>
      <c r="E12" s="5">
        <v>44469</v>
      </c>
      <c r="F12" s="5">
        <v>44569</v>
      </c>
      <c r="G12" s="6">
        <v>114500</v>
      </c>
      <c r="H12" s="6">
        <v>3</v>
      </c>
      <c r="I12" s="36">
        <f t="shared" si="0"/>
        <v>343500</v>
      </c>
      <c r="J12" s="7">
        <v>0.2</v>
      </c>
      <c r="K12" s="36">
        <f t="shared" si="1"/>
        <v>68700</v>
      </c>
    </row>
    <row r="13" spans="2:11">
      <c r="B13" s="4" t="s">
        <v>18</v>
      </c>
      <c r="C13" s="4" t="s">
        <v>11</v>
      </c>
      <c r="D13" s="4" t="s">
        <v>28</v>
      </c>
      <c r="E13" s="5">
        <v>44465</v>
      </c>
      <c r="F13" s="5">
        <v>44563</v>
      </c>
      <c r="G13" s="6">
        <v>114500</v>
      </c>
      <c r="H13" s="6">
        <v>2</v>
      </c>
      <c r="I13" s="36">
        <f t="shared" si="0"/>
        <v>229000</v>
      </c>
      <c r="J13" s="7">
        <v>0.2</v>
      </c>
      <c r="K13" s="36">
        <f t="shared" si="1"/>
        <v>45800</v>
      </c>
    </row>
    <row r="14" spans="2:11">
      <c r="B14" s="4" t="s">
        <v>16</v>
      </c>
      <c r="C14" s="4" t="s">
        <v>11</v>
      </c>
      <c r="D14" s="4" t="s">
        <v>30</v>
      </c>
      <c r="E14" s="5">
        <v>44460</v>
      </c>
      <c r="F14" s="5">
        <v>44625</v>
      </c>
      <c r="G14" s="6">
        <v>108500</v>
      </c>
      <c r="H14" s="6">
        <v>11</v>
      </c>
      <c r="I14" s="36">
        <f t="shared" si="0"/>
        <v>1193500</v>
      </c>
      <c r="J14" s="7">
        <v>0.35</v>
      </c>
      <c r="K14" s="36">
        <f t="shared" si="1"/>
        <v>417725</v>
      </c>
    </row>
    <row r="15" spans="2:11">
      <c r="B15" s="4" t="s">
        <v>22</v>
      </c>
      <c r="C15" s="4" t="s">
        <v>11</v>
      </c>
      <c r="D15" s="4" t="s">
        <v>31</v>
      </c>
      <c r="E15" s="5">
        <v>44456</v>
      </c>
      <c r="F15" s="5">
        <v>44757</v>
      </c>
      <c r="G15" s="6">
        <v>234750</v>
      </c>
      <c r="H15" s="6">
        <v>7</v>
      </c>
      <c r="I15" s="36">
        <f t="shared" si="0"/>
        <v>1643250</v>
      </c>
      <c r="J15" s="7">
        <v>0.15</v>
      </c>
      <c r="K15" s="36">
        <f t="shared" si="1"/>
        <v>246487.5</v>
      </c>
    </row>
    <row r="16" spans="2:11">
      <c r="B16" s="4" t="s">
        <v>22</v>
      </c>
      <c r="C16" s="4" t="s">
        <v>14</v>
      </c>
      <c r="D16" s="4" t="s">
        <v>32</v>
      </c>
      <c r="E16" s="5">
        <v>44459</v>
      </c>
      <c r="F16" s="5">
        <v>44753</v>
      </c>
      <c r="G16" s="6">
        <v>284750</v>
      </c>
      <c r="H16" s="6">
        <v>6</v>
      </c>
      <c r="I16" s="36">
        <f t="shared" si="0"/>
        <v>1708500</v>
      </c>
      <c r="J16" s="7">
        <v>0.17</v>
      </c>
      <c r="K16" s="36">
        <f t="shared" si="1"/>
        <v>290445</v>
      </c>
    </row>
    <row r="17" spans="2:11">
      <c r="B17" s="4" t="s">
        <v>16</v>
      </c>
      <c r="C17" s="4" t="s">
        <v>14</v>
      </c>
      <c r="D17" s="4" t="s">
        <v>33</v>
      </c>
      <c r="E17" s="5">
        <v>44451</v>
      </c>
      <c r="F17" s="5">
        <v>44656</v>
      </c>
      <c r="G17" s="6">
        <v>108500</v>
      </c>
      <c r="H17" s="6">
        <v>22</v>
      </c>
      <c r="I17" s="36">
        <f t="shared" si="0"/>
        <v>2387000</v>
      </c>
      <c r="J17" s="7">
        <v>0.25</v>
      </c>
      <c r="K17" s="36">
        <f t="shared" si="1"/>
        <v>596750</v>
      </c>
    </row>
    <row r="18" spans="2:11">
      <c r="B18" s="4" t="s">
        <v>10</v>
      </c>
      <c r="C18" s="4" t="s">
        <v>14</v>
      </c>
      <c r="D18" s="4" t="s">
        <v>34</v>
      </c>
      <c r="E18" s="5">
        <v>44462</v>
      </c>
      <c r="F18" s="5">
        <v>44684</v>
      </c>
      <c r="G18" s="6">
        <v>117500</v>
      </c>
      <c r="H18" s="6">
        <v>1</v>
      </c>
      <c r="I18" s="36">
        <f t="shared" si="0"/>
        <v>117500</v>
      </c>
      <c r="J18" s="7">
        <v>0.3</v>
      </c>
      <c r="K18" s="36">
        <f t="shared" si="1"/>
        <v>35250</v>
      </c>
    </row>
    <row r="19" spans="2:11">
      <c r="B19" s="4" t="s">
        <v>13</v>
      </c>
      <c r="C19" s="4" t="s">
        <v>14</v>
      </c>
      <c r="D19" s="4" t="s">
        <v>35</v>
      </c>
      <c r="E19" s="5">
        <v>44468</v>
      </c>
      <c r="F19" s="5">
        <v>44658</v>
      </c>
      <c r="G19" s="6">
        <v>111278</v>
      </c>
      <c r="H19" s="6">
        <v>11</v>
      </c>
      <c r="I19" s="36">
        <f t="shared" si="0"/>
        <v>1224058</v>
      </c>
      <c r="J19" s="7">
        <v>0.28000000000000003</v>
      </c>
      <c r="K19" s="36">
        <f t="shared" si="1"/>
        <v>342736.24000000005</v>
      </c>
    </row>
    <row r="20" spans="2:11">
      <c r="B20" s="4" t="s">
        <v>13</v>
      </c>
      <c r="C20" s="4" t="s">
        <v>11</v>
      </c>
      <c r="D20" s="4" t="s">
        <v>36</v>
      </c>
      <c r="E20" s="5">
        <v>44471</v>
      </c>
      <c r="F20" s="5">
        <v>44604</v>
      </c>
      <c r="G20" s="6">
        <v>111278</v>
      </c>
      <c r="H20" s="6">
        <v>2</v>
      </c>
      <c r="I20" s="36">
        <f t="shared" si="0"/>
        <v>222556</v>
      </c>
      <c r="J20" s="7">
        <v>0.1</v>
      </c>
      <c r="K20" s="36">
        <f t="shared" si="1"/>
        <v>22255.600000000002</v>
      </c>
    </row>
    <row r="21" spans="2:11">
      <c r="B21" s="4" t="s">
        <v>16</v>
      </c>
      <c r="C21" s="4" t="s">
        <v>24</v>
      </c>
      <c r="D21" s="4" t="s">
        <v>37</v>
      </c>
      <c r="E21" s="5">
        <v>44474</v>
      </c>
      <c r="F21" s="5">
        <v>44721</v>
      </c>
      <c r="G21" s="6">
        <v>258500</v>
      </c>
      <c r="H21" s="6">
        <v>21</v>
      </c>
      <c r="I21" s="36">
        <f t="shared" si="0"/>
        <v>5428500</v>
      </c>
      <c r="J21" s="7">
        <v>0.3</v>
      </c>
      <c r="K21" s="36">
        <f t="shared" si="1"/>
        <v>1628550</v>
      </c>
    </row>
    <row r="22" spans="2:11">
      <c r="B22" s="4" t="s">
        <v>16</v>
      </c>
      <c r="C22" s="4" t="s">
        <v>24</v>
      </c>
      <c r="D22" s="4" t="s">
        <v>38</v>
      </c>
      <c r="E22" s="5">
        <v>44477</v>
      </c>
      <c r="F22" s="5">
        <v>44750</v>
      </c>
      <c r="G22" s="6">
        <v>108500</v>
      </c>
      <c r="H22" s="6">
        <v>10</v>
      </c>
      <c r="I22" s="36">
        <f t="shared" si="0"/>
        <v>1085000</v>
      </c>
      <c r="J22" s="7">
        <v>0.2</v>
      </c>
      <c r="K22" s="36">
        <f t="shared" si="1"/>
        <v>217000</v>
      </c>
    </row>
    <row r="23" spans="2:11">
      <c r="B23" s="4" t="s">
        <v>10</v>
      </c>
      <c r="C23" s="4" t="s">
        <v>24</v>
      </c>
      <c r="D23" s="4" t="s">
        <v>39</v>
      </c>
      <c r="E23" s="5">
        <v>44478</v>
      </c>
      <c r="F23" s="5">
        <v>44692</v>
      </c>
      <c r="G23" s="6">
        <v>217500</v>
      </c>
      <c r="H23" s="6">
        <v>4</v>
      </c>
      <c r="I23" s="36">
        <f t="shared" si="0"/>
        <v>870000</v>
      </c>
      <c r="J23" s="7">
        <v>0.3</v>
      </c>
      <c r="K23" s="36">
        <f t="shared" si="1"/>
        <v>261000</v>
      </c>
    </row>
    <row r="24" spans="2:11">
      <c r="B24" s="4" t="s">
        <v>40</v>
      </c>
      <c r="C24" s="4" t="s">
        <v>24</v>
      </c>
      <c r="D24" s="4" t="s">
        <v>41</v>
      </c>
      <c r="E24" s="5">
        <v>44479</v>
      </c>
      <c r="F24" s="5">
        <v>44750</v>
      </c>
      <c r="G24" s="6">
        <v>134750</v>
      </c>
      <c r="H24" s="6">
        <v>8</v>
      </c>
      <c r="I24" s="36">
        <f t="shared" si="0"/>
        <v>1078000</v>
      </c>
      <c r="J24" s="7">
        <v>0.2</v>
      </c>
      <c r="K24" s="36">
        <f t="shared" si="1"/>
        <v>215600</v>
      </c>
    </row>
    <row r="25" spans="2:11">
      <c r="B25" s="4" t="s">
        <v>42</v>
      </c>
      <c r="C25" s="4" t="s">
        <v>11</v>
      </c>
      <c r="D25" s="4" t="s">
        <v>43</v>
      </c>
      <c r="E25" s="5">
        <v>44480</v>
      </c>
      <c r="F25" s="5">
        <v>44721</v>
      </c>
      <c r="G25" s="6">
        <v>267500</v>
      </c>
      <c r="H25" s="6">
        <v>7</v>
      </c>
      <c r="I25" s="36">
        <f t="shared" si="0"/>
        <v>1872500</v>
      </c>
      <c r="J25" s="7">
        <v>0.2</v>
      </c>
      <c r="K25" s="36">
        <f t="shared" si="1"/>
        <v>374500</v>
      </c>
    </row>
  </sheetData>
  <sheetProtection sheet="1" objects="1" scenarios="1"/>
  <phoneticPr fontId="1" type="noConversion"/>
  <pageMargins left="0.7" right="0.7" top="0.75" bottom="0.75" header="0.3" footer="0.3"/>
  <pageSetup paperSize="9" scale="7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9"/>
  <sheetViews>
    <sheetView workbookViewId="0"/>
  </sheetViews>
  <sheetFormatPr defaultRowHeight="17"/>
  <cols>
    <col min="2" max="2" width="12.5" customWidth="1"/>
    <col min="3" max="3" width="12.1640625" customWidth="1"/>
    <col min="4" max="4" width="12.6640625" customWidth="1"/>
    <col min="6" max="8" width="10.5" customWidth="1"/>
    <col min="10" max="10" width="18.1640625" customWidth="1"/>
    <col min="11" max="13" width="10.58203125" customWidth="1"/>
  </cols>
  <sheetData>
    <row r="1" spans="1:14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pans="1:14">
      <c r="A2" s="9" t="s">
        <v>44</v>
      </c>
      <c r="B2" s="9" t="s">
        <v>45</v>
      </c>
      <c r="C2" s="9" t="s">
        <v>46</v>
      </c>
      <c r="D2" s="9" t="s">
        <v>4</v>
      </c>
      <c r="E2" s="10" t="s">
        <v>6</v>
      </c>
      <c r="F2" s="11" t="s">
        <v>47</v>
      </c>
      <c r="G2" s="11" t="s">
        <v>48</v>
      </c>
      <c r="H2" s="11" t="s">
        <v>49</v>
      </c>
      <c r="I2" s="8"/>
      <c r="J2" s="8" t="s">
        <v>50</v>
      </c>
      <c r="K2" s="12"/>
      <c r="L2" s="8"/>
      <c r="M2" s="8"/>
      <c r="N2" s="8"/>
    </row>
    <row r="3" spans="1:14">
      <c r="A3" s="4" t="s">
        <v>22</v>
      </c>
      <c r="B3" s="4" t="s">
        <v>51</v>
      </c>
      <c r="C3" s="13" t="s">
        <v>19</v>
      </c>
      <c r="D3" s="14">
        <v>44570</v>
      </c>
      <c r="E3" s="15">
        <v>3</v>
      </c>
      <c r="F3" s="16">
        <f>E3*VLOOKUP(B3,$J$4:$K$10,2,FALSE)</f>
        <v>225000</v>
      </c>
      <c r="G3" s="17">
        <f>IF(MONTH(D3)&lt;=4,F3*20%,F3*30%)</f>
        <v>45000</v>
      </c>
      <c r="H3" s="18" t="str">
        <f>fn비고(E3)</f>
        <v>개인구매</v>
      </c>
      <c r="I3" s="8"/>
      <c r="J3" s="19" t="s">
        <v>52</v>
      </c>
      <c r="K3" s="19" t="s">
        <v>53</v>
      </c>
      <c r="L3" s="8"/>
      <c r="M3" s="8"/>
      <c r="N3" s="8"/>
    </row>
    <row r="4" spans="1:14">
      <c r="A4" s="4" t="s">
        <v>16</v>
      </c>
      <c r="B4" s="4" t="s">
        <v>54</v>
      </c>
      <c r="C4" s="13" t="s">
        <v>55</v>
      </c>
      <c r="D4" s="14">
        <v>44593</v>
      </c>
      <c r="E4" s="15">
        <v>53.8</v>
      </c>
      <c r="F4" s="16">
        <f t="shared" ref="F4:F28" si="0">E4*VLOOKUP(B4,$J$4:$K$10,2,FALSE)</f>
        <v>8070000</v>
      </c>
      <c r="G4" s="17">
        <f t="shared" ref="G4:G28" si="1">IF(MONTH(D4)&lt;=4,F4*20%,F4*30%)</f>
        <v>1614000</v>
      </c>
      <c r="H4" s="18" t="str">
        <f t="shared" ref="H4:H28" si="2">fn비고(E4)</f>
        <v>단체구매</v>
      </c>
      <c r="I4" s="8"/>
      <c r="J4" s="20" t="s">
        <v>54</v>
      </c>
      <c r="K4" s="15">
        <v>150000</v>
      </c>
      <c r="L4" s="8"/>
      <c r="M4" s="8"/>
      <c r="N4" s="8"/>
    </row>
    <row r="5" spans="1:14">
      <c r="A5" s="4" t="s">
        <v>18</v>
      </c>
      <c r="B5" s="4" t="s">
        <v>56</v>
      </c>
      <c r="C5" s="13" t="s">
        <v>57</v>
      </c>
      <c r="D5" s="14">
        <v>44597</v>
      </c>
      <c r="E5" s="15">
        <v>17.600000000000001</v>
      </c>
      <c r="F5" s="16">
        <f t="shared" si="0"/>
        <v>1584000.0000000002</v>
      </c>
      <c r="G5" s="17">
        <f t="shared" si="1"/>
        <v>316800.00000000006</v>
      </c>
      <c r="H5" s="18" t="str">
        <f t="shared" si="2"/>
        <v/>
      </c>
      <c r="I5" s="8"/>
      <c r="J5" s="20" t="s">
        <v>58</v>
      </c>
      <c r="K5" s="15">
        <v>90000</v>
      </c>
      <c r="L5" s="8"/>
      <c r="M5" s="8"/>
      <c r="N5" s="8"/>
    </row>
    <row r="6" spans="1:14">
      <c r="A6" s="4" t="s">
        <v>16</v>
      </c>
      <c r="B6" s="4" t="s">
        <v>59</v>
      </c>
      <c r="C6" s="13" t="s">
        <v>57</v>
      </c>
      <c r="D6" s="14">
        <v>44604</v>
      </c>
      <c r="E6" s="15">
        <v>24.4</v>
      </c>
      <c r="F6" s="16">
        <f t="shared" si="0"/>
        <v>2220400</v>
      </c>
      <c r="G6" s="17">
        <f t="shared" si="1"/>
        <v>444080</v>
      </c>
      <c r="H6" s="18" t="str">
        <f t="shared" si="2"/>
        <v/>
      </c>
      <c r="I6" s="8"/>
      <c r="J6" s="20" t="s">
        <v>51</v>
      </c>
      <c r="K6" s="15">
        <v>75000</v>
      </c>
      <c r="L6" s="8"/>
      <c r="M6" s="8"/>
      <c r="N6" s="8"/>
    </row>
    <row r="7" spans="1:14">
      <c r="A7" s="4" t="s">
        <v>60</v>
      </c>
      <c r="B7" s="4" t="s">
        <v>59</v>
      </c>
      <c r="C7" s="13" t="s">
        <v>61</v>
      </c>
      <c r="D7" s="14">
        <v>44644</v>
      </c>
      <c r="E7" s="15">
        <v>7</v>
      </c>
      <c r="F7" s="16">
        <f t="shared" si="0"/>
        <v>637000</v>
      </c>
      <c r="G7" s="17">
        <f t="shared" si="1"/>
        <v>127400</v>
      </c>
      <c r="H7" s="18" t="str">
        <f t="shared" si="2"/>
        <v/>
      </c>
      <c r="I7" s="8"/>
      <c r="J7" s="20" t="s">
        <v>62</v>
      </c>
      <c r="K7" s="15">
        <v>91000</v>
      </c>
      <c r="L7" s="8"/>
      <c r="M7" s="8"/>
      <c r="N7" s="8"/>
    </row>
    <row r="8" spans="1:14">
      <c r="A8" s="4" t="s">
        <v>63</v>
      </c>
      <c r="B8" s="4" t="s">
        <v>64</v>
      </c>
      <c r="C8" s="13" t="s">
        <v>55</v>
      </c>
      <c r="D8" s="14">
        <v>44653</v>
      </c>
      <c r="E8" s="15">
        <v>52</v>
      </c>
      <c r="F8" s="16">
        <f t="shared" si="0"/>
        <v>3900000</v>
      </c>
      <c r="G8" s="17">
        <f t="shared" si="1"/>
        <v>780000</v>
      </c>
      <c r="H8" s="18" t="str">
        <f t="shared" si="2"/>
        <v>단체구매</v>
      </c>
      <c r="I8" s="8"/>
      <c r="J8" s="20" t="s">
        <v>65</v>
      </c>
      <c r="K8" s="15">
        <v>110000</v>
      </c>
      <c r="L8" s="8"/>
      <c r="M8" s="8"/>
      <c r="N8" s="8"/>
    </row>
    <row r="9" spans="1:14">
      <c r="A9" s="4" t="s">
        <v>22</v>
      </c>
      <c r="B9" s="4" t="s">
        <v>56</v>
      </c>
      <c r="C9" s="13" t="s">
        <v>61</v>
      </c>
      <c r="D9" s="14">
        <v>44656</v>
      </c>
      <c r="E9" s="15">
        <v>28.4</v>
      </c>
      <c r="F9" s="16">
        <f t="shared" si="0"/>
        <v>2556000</v>
      </c>
      <c r="G9" s="17">
        <f t="shared" si="1"/>
        <v>511200</v>
      </c>
      <c r="H9" s="18" t="str">
        <f t="shared" si="2"/>
        <v/>
      </c>
      <c r="I9" s="8"/>
      <c r="J9" s="20" t="s">
        <v>66</v>
      </c>
      <c r="K9" s="15">
        <v>135000</v>
      </c>
      <c r="L9" s="8"/>
      <c r="M9" s="8"/>
      <c r="N9" s="8"/>
    </row>
    <row r="10" spans="1:14">
      <c r="A10" s="4" t="s">
        <v>40</v>
      </c>
      <c r="B10" s="4" t="s">
        <v>59</v>
      </c>
      <c r="C10" s="18" t="s">
        <v>67</v>
      </c>
      <c r="D10" s="14">
        <v>44656</v>
      </c>
      <c r="E10" s="15">
        <v>24.6</v>
      </c>
      <c r="F10" s="16">
        <f t="shared" si="0"/>
        <v>2238600</v>
      </c>
      <c r="G10" s="17">
        <f t="shared" si="1"/>
        <v>447720</v>
      </c>
      <c r="H10" s="18" t="str">
        <f t="shared" si="2"/>
        <v/>
      </c>
      <c r="I10" s="8"/>
      <c r="J10" s="20" t="s">
        <v>68</v>
      </c>
      <c r="K10" s="15">
        <v>150000</v>
      </c>
      <c r="L10" s="8"/>
      <c r="M10" s="8"/>
      <c r="N10" s="8"/>
    </row>
    <row r="11" spans="1:14">
      <c r="A11" s="4" t="s">
        <v>22</v>
      </c>
      <c r="B11" s="4" t="s">
        <v>58</v>
      </c>
      <c r="C11" s="13" t="s">
        <v>57</v>
      </c>
      <c r="D11" s="14">
        <v>44658</v>
      </c>
      <c r="E11" s="15">
        <v>26.2</v>
      </c>
      <c r="F11" s="16">
        <f t="shared" si="0"/>
        <v>2358000</v>
      </c>
      <c r="G11" s="17">
        <f t="shared" si="1"/>
        <v>471600</v>
      </c>
      <c r="H11" s="18" t="str">
        <f t="shared" si="2"/>
        <v/>
      </c>
      <c r="I11" s="8"/>
      <c r="J11" s="21"/>
      <c r="K11" s="22"/>
      <c r="L11" s="8"/>
      <c r="M11" s="8"/>
      <c r="N11" s="8"/>
    </row>
    <row r="12" spans="1:14">
      <c r="A12" s="4" t="s">
        <v>13</v>
      </c>
      <c r="B12" s="4" t="s">
        <v>56</v>
      </c>
      <c r="C12" s="13" t="s">
        <v>69</v>
      </c>
      <c r="D12" s="14">
        <v>44659</v>
      </c>
      <c r="E12" s="15">
        <v>4</v>
      </c>
      <c r="F12" s="16">
        <f t="shared" si="0"/>
        <v>360000</v>
      </c>
      <c r="G12" s="17">
        <f t="shared" si="1"/>
        <v>72000</v>
      </c>
      <c r="H12" s="18" t="str">
        <f t="shared" si="2"/>
        <v>개인구매</v>
      </c>
      <c r="I12" s="8"/>
      <c r="J12" s="21"/>
      <c r="K12" s="22"/>
      <c r="L12" s="8"/>
      <c r="M12" s="8"/>
      <c r="N12" s="8"/>
    </row>
    <row r="13" spans="1:14">
      <c r="A13" s="4" t="s">
        <v>13</v>
      </c>
      <c r="B13" s="4" t="s">
        <v>66</v>
      </c>
      <c r="C13" s="13" t="s">
        <v>57</v>
      </c>
      <c r="D13" s="14">
        <v>44660</v>
      </c>
      <c r="E13" s="15">
        <v>28.2</v>
      </c>
      <c r="F13" s="16">
        <f t="shared" si="0"/>
        <v>3807000</v>
      </c>
      <c r="G13" s="17">
        <f t="shared" si="1"/>
        <v>761400</v>
      </c>
      <c r="H13" s="18" t="str">
        <f t="shared" si="2"/>
        <v/>
      </c>
      <c r="I13" s="8"/>
      <c r="J13" s="8"/>
      <c r="K13" s="8"/>
      <c r="L13" s="8"/>
      <c r="M13" s="8"/>
      <c r="N13" s="8"/>
    </row>
    <row r="14" spans="1:14">
      <c r="A14" s="4" t="s">
        <v>16</v>
      </c>
      <c r="B14" s="4" t="s">
        <v>66</v>
      </c>
      <c r="C14" s="13" t="s">
        <v>55</v>
      </c>
      <c r="D14" s="14">
        <v>44662</v>
      </c>
      <c r="E14" s="15">
        <v>45.4</v>
      </c>
      <c r="F14" s="16">
        <f t="shared" si="0"/>
        <v>6129000</v>
      </c>
      <c r="G14" s="17">
        <f t="shared" si="1"/>
        <v>1225800</v>
      </c>
      <c r="H14" s="18" t="str">
        <f t="shared" si="2"/>
        <v>단체구매</v>
      </c>
      <c r="I14" s="8"/>
      <c r="J14" s="8" t="s">
        <v>70</v>
      </c>
      <c r="K14" s="8"/>
      <c r="L14" s="8"/>
      <c r="M14" s="8"/>
      <c r="N14" s="8"/>
    </row>
    <row r="15" spans="1:14">
      <c r="A15" s="4" t="s">
        <v>18</v>
      </c>
      <c r="B15" s="4" t="s">
        <v>56</v>
      </c>
      <c r="C15" s="13" t="s">
        <v>55</v>
      </c>
      <c r="D15" s="14">
        <v>44684</v>
      </c>
      <c r="E15" s="15">
        <v>25.2</v>
      </c>
      <c r="F15" s="16">
        <f t="shared" si="0"/>
        <v>2268000</v>
      </c>
      <c r="G15" s="17">
        <f t="shared" si="1"/>
        <v>680400</v>
      </c>
      <c r="H15" s="18" t="str">
        <f t="shared" si="2"/>
        <v/>
      </c>
      <c r="I15" s="8"/>
      <c r="J15" s="23" t="s">
        <v>71</v>
      </c>
      <c r="K15" s="8"/>
      <c r="L15" s="8"/>
      <c r="M15" s="8"/>
      <c r="N15" s="8"/>
    </row>
    <row r="16" spans="1:14">
      <c r="A16" s="4" t="s">
        <v>72</v>
      </c>
      <c r="B16" s="4" t="s">
        <v>66</v>
      </c>
      <c r="C16" s="13" t="s">
        <v>19</v>
      </c>
      <c r="D16" s="14">
        <v>44688</v>
      </c>
      <c r="E16" s="15">
        <v>39</v>
      </c>
      <c r="F16" s="16">
        <f t="shared" si="0"/>
        <v>5265000</v>
      </c>
      <c r="G16" s="17">
        <f t="shared" si="1"/>
        <v>1579500</v>
      </c>
      <c r="H16" s="18" t="str">
        <f t="shared" si="2"/>
        <v>단체구매</v>
      </c>
      <c r="I16" s="8"/>
      <c r="J16" s="15">
        <f t="array" ref="J16">AVERAGE(IF((MONTH($D$3:$D$28)=6)+(MONTH($D$3:$D$28)=7),$E$3:$E$28))</f>
        <v>31.950000000000003</v>
      </c>
      <c r="K16" s="8"/>
      <c r="L16" s="8"/>
      <c r="M16" s="8"/>
      <c r="N16" s="8"/>
    </row>
    <row r="17" spans="1:14">
      <c r="A17" s="4" t="s">
        <v>13</v>
      </c>
      <c r="B17" s="4" t="s">
        <v>51</v>
      </c>
      <c r="C17" s="13" t="s">
        <v>19</v>
      </c>
      <c r="D17" s="14">
        <v>44689</v>
      </c>
      <c r="E17" s="15">
        <v>47</v>
      </c>
      <c r="F17" s="16">
        <f t="shared" si="0"/>
        <v>3525000</v>
      </c>
      <c r="G17" s="17">
        <f t="shared" si="1"/>
        <v>1057500</v>
      </c>
      <c r="H17" s="18" t="str">
        <f t="shared" si="2"/>
        <v>단체구매</v>
      </c>
      <c r="I17" s="8"/>
      <c r="J17" s="8"/>
      <c r="K17" s="8"/>
      <c r="L17" s="8"/>
      <c r="M17" s="8"/>
      <c r="N17" s="8"/>
    </row>
    <row r="18" spans="1:14">
      <c r="A18" s="4" t="s">
        <v>72</v>
      </c>
      <c r="B18" s="4" t="s">
        <v>73</v>
      </c>
      <c r="C18" s="13" t="s">
        <v>19</v>
      </c>
      <c r="D18" s="14">
        <v>44689</v>
      </c>
      <c r="E18" s="15">
        <v>25.8</v>
      </c>
      <c r="F18" s="16">
        <f t="shared" si="0"/>
        <v>3870000</v>
      </c>
      <c r="G18" s="17">
        <f t="shared" si="1"/>
        <v>1161000</v>
      </c>
      <c r="H18" s="18" t="str">
        <f t="shared" si="2"/>
        <v/>
      </c>
      <c r="I18" s="8"/>
      <c r="J18" s="8"/>
      <c r="K18" s="8"/>
      <c r="L18" s="8"/>
      <c r="M18" s="8"/>
      <c r="N18" s="8"/>
    </row>
    <row r="19" spans="1:14">
      <c r="A19" s="4" t="s">
        <v>42</v>
      </c>
      <c r="B19" s="4" t="s">
        <v>74</v>
      </c>
      <c r="C19" s="13" t="s">
        <v>61</v>
      </c>
      <c r="D19" s="14">
        <v>44700</v>
      </c>
      <c r="E19" s="15">
        <v>45.8</v>
      </c>
      <c r="F19" s="16">
        <f t="shared" si="0"/>
        <v>5038000</v>
      </c>
      <c r="G19" s="17">
        <f t="shared" si="1"/>
        <v>1511400</v>
      </c>
      <c r="H19" s="18" t="str">
        <f t="shared" si="2"/>
        <v>단체구매</v>
      </c>
      <c r="I19" s="8"/>
      <c r="J19" s="8"/>
      <c r="K19" s="8"/>
      <c r="L19" s="8"/>
      <c r="M19" s="8"/>
      <c r="N19" s="8"/>
    </row>
    <row r="20" spans="1:14">
      <c r="A20" s="4" t="s">
        <v>10</v>
      </c>
      <c r="B20" s="4" t="s">
        <v>51</v>
      </c>
      <c r="C20" s="13" t="s">
        <v>55</v>
      </c>
      <c r="D20" s="14">
        <v>44714</v>
      </c>
      <c r="E20" s="15">
        <v>53.6</v>
      </c>
      <c r="F20" s="16">
        <f t="shared" si="0"/>
        <v>4020000</v>
      </c>
      <c r="G20" s="17">
        <f t="shared" si="1"/>
        <v>1206000</v>
      </c>
      <c r="H20" s="18" t="str">
        <f t="shared" si="2"/>
        <v>단체구매</v>
      </c>
      <c r="I20" s="8"/>
      <c r="J20" s="60" t="s">
        <v>75</v>
      </c>
      <c r="K20" s="60"/>
      <c r="L20" s="60"/>
      <c r="M20" s="8"/>
      <c r="N20" s="8"/>
    </row>
    <row r="21" spans="1:14">
      <c r="A21" s="4" t="s">
        <v>72</v>
      </c>
      <c r="B21" s="4" t="s">
        <v>66</v>
      </c>
      <c r="C21" s="13" t="s">
        <v>19</v>
      </c>
      <c r="D21" s="14">
        <v>44714</v>
      </c>
      <c r="E21" s="15">
        <v>46</v>
      </c>
      <c r="F21" s="16">
        <f t="shared" si="0"/>
        <v>6210000</v>
      </c>
      <c r="G21" s="17">
        <f t="shared" si="1"/>
        <v>1863000</v>
      </c>
      <c r="H21" s="18" t="str">
        <f t="shared" si="2"/>
        <v>단체구매</v>
      </c>
      <c r="I21" s="8"/>
      <c r="J21" s="24" t="s">
        <v>45</v>
      </c>
      <c r="K21" s="25" t="s">
        <v>19</v>
      </c>
      <c r="L21" s="25" t="s">
        <v>76</v>
      </c>
      <c r="M21" s="25" t="s">
        <v>57</v>
      </c>
      <c r="N21" s="8"/>
    </row>
    <row r="22" spans="1:14">
      <c r="A22" s="4" t="s">
        <v>18</v>
      </c>
      <c r="B22" s="4" t="s">
        <v>66</v>
      </c>
      <c r="C22" s="13" t="s">
        <v>55</v>
      </c>
      <c r="D22" s="14">
        <v>44717</v>
      </c>
      <c r="E22" s="15">
        <v>23</v>
      </c>
      <c r="F22" s="16">
        <f t="shared" si="0"/>
        <v>3105000</v>
      </c>
      <c r="G22" s="17">
        <f t="shared" si="1"/>
        <v>931500</v>
      </c>
      <c r="H22" s="18" t="str">
        <f t="shared" si="2"/>
        <v/>
      </c>
      <c r="I22" s="8"/>
      <c r="J22" s="26" t="s">
        <v>58</v>
      </c>
      <c r="K22" s="15">
        <f t="array" ref="K22">SUM(($B$3:$B$28=$J22)*($C$3:$C$28=K$21))</f>
        <v>1</v>
      </c>
      <c r="L22" s="15">
        <f t="array" ref="L22">SUM(($B$3:$B$28=$J22)*($C$3:$C$28=L$21))</f>
        <v>3</v>
      </c>
      <c r="M22" s="15">
        <f t="array" ref="M22">SUM(($B$3:$B$28=$J22)*($C$3:$C$28=M$21))</f>
        <v>2</v>
      </c>
      <c r="N22" s="8"/>
    </row>
    <row r="23" spans="1:14">
      <c r="A23" s="4" t="s">
        <v>10</v>
      </c>
      <c r="B23" s="4" t="s">
        <v>64</v>
      </c>
      <c r="C23" s="13" t="s">
        <v>57</v>
      </c>
      <c r="D23" s="14">
        <v>44721</v>
      </c>
      <c r="E23" s="15">
        <v>25.4</v>
      </c>
      <c r="F23" s="16">
        <f t="shared" si="0"/>
        <v>1905000</v>
      </c>
      <c r="G23" s="17">
        <f t="shared" si="1"/>
        <v>571500</v>
      </c>
      <c r="H23" s="18" t="str">
        <f t="shared" si="2"/>
        <v/>
      </c>
      <c r="I23" s="8"/>
      <c r="J23" s="26" t="s">
        <v>66</v>
      </c>
      <c r="K23" s="15">
        <f t="array" ref="K23">SUM(($B$3:$B$28=$J23)*($C$3:$C$28=K$21))</f>
        <v>2</v>
      </c>
      <c r="L23" s="15">
        <f t="array" ref="L23">SUM(($B$3:$B$28=$J23)*($C$3:$C$28=L$21))</f>
        <v>3</v>
      </c>
      <c r="M23" s="15">
        <f t="array" ref="M23">SUM(($B$3:$B$28=$J23)*($C$3:$C$28=M$21))</f>
        <v>1</v>
      </c>
      <c r="N23" s="8"/>
    </row>
    <row r="24" spans="1:14">
      <c r="A24" s="4" t="s">
        <v>13</v>
      </c>
      <c r="B24" s="4" t="s">
        <v>54</v>
      </c>
      <c r="C24" s="13" t="s">
        <v>57</v>
      </c>
      <c r="D24" s="14">
        <v>44721</v>
      </c>
      <c r="E24" s="15">
        <v>24.8</v>
      </c>
      <c r="F24" s="16">
        <f t="shared" si="0"/>
        <v>3720000</v>
      </c>
      <c r="G24" s="17">
        <f t="shared" si="1"/>
        <v>1116000</v>
      </c>
      <c r="H24" s="18" t="str">
        <f t="shared" si="2"/>
        <v/>
      </c>
      <c r="I24" s="8"/>
      <c r="J24" s="26" t="s">
        <v>64</v>
      </c>
      <c r="K24" s="15">
        <f t="array" ref="K24">SUM(($B$3:$B$28=$J24)*($C$3:$C$28=K$21))</f>
        <v>2</v>
      </c>
      <c r="L24" s="15">
        <f t="array" ref="L24">SUM(($B$3:$B$28=$J24)*($C$3:$C$28=L$21))</f>
        <v>3</v>
      </c>
      <c r="M24" s="15">
        <f t="array" ref="M24">SUM(($B$3:$B$28=$J24)*($C$3:$C$28=M$21))</f>
        <v>1</v>
      </c>
      <c r="N24" s="8"/>
    </row>
    <row r="25" spans="1:14">
      <c r="A25" s="4" t="s">
        <v>72</v>
      </c>
      <c r="B25" s="4" t="s">
        <v>59</v>
      </c>
      <c r="C25" s="13" t="s">
        <v>57</v>
      </c>
      <c r="D25" s="14">
        <v>44723</v>
      </c>
      <c r="E25" s="15">
        <v>33.799999999999997</v>
      </c>
      <c r="F25" s="16">
        <f t="shared" si="0"/>
        <v>3075799.9999999995</v>
      </c>
      <c r="G25" s="17">
        <f t="shared" si="1"/>
        <v>922739.99999999988</v>
      </c>
      <c r="H25" s="18" t="str">
        <f t="shared" si="2"/>
        <v>단체구매</v>
      </c>
      <c r="I25" s="8"/>
      <c r="J25" s="26" t="s">
        <v>62</v>
      </c>
      <c r="K25" s="15">
        <f t="array" ref="K25">SUM(($B$3:$B$28=$J25)*($C$3:$C$28=K$21))</f>
        <v>1</v>
      </c>
      <c r="L25" s="15">
        <f t="array" ref="L25">SUM(($B$3:$B$28=$J25)*($C$3:$C$28=L$21))</f>
        <v>0</v>
      </c>
      <c r="M25" s="15">
        <f t="array" ref="M25">SUM(($B$3:$B$28=$J25)*($C$3:$C$28=M$21))</f>
        <v>2</v>
      </c>
      <c r="N25" s="8"/>
    </row>
    <row r="26" spans="1:14">
      <c r="A26" s="4" t="s">
        <v>16</v>
      </c>
      <c r="B26" s="4" t="s">
        <v>66</v>
      </c>
      <c r="C26" s="13" t="s">
        <v>55</v>
      </c>
      <c r="D26" s="14">
        <v>44750</v>
      </c>
      <c r="E26" s="15">
        <v>25.6</v>
      </c>
      <c r="F26" s="16">
        <f t="shared" si="0"/>
        <v>3456000</v>
      </c>
      <c r="G26" s="17">
        <f t="shared" si="1"/>
        <v>1036800</v>
      </c>
      <c r="H26" s="18" t="str">
        <f t="shared" si="2"/>
        <v/>
      </c>
      <c r="I26" s="8"/>
      <c r="J26" s="27"/>
      <c r="K26" s="8"/>
      <c r="L26" s="8"/>
      <c r="M26" s="8"/>
      <c r="N26" s="8"/>
    </row>
    <row r="27" spans="1:14">
      <c r="A27" s="4" t="s">
        <v>22</v>
      </c>
      <c r="B27" s="4" t="s">
        <v>51</v>
      </c>
      <c r="C27" s="13" t="s">
        <v>69</v>
      </c>
      <c r="D27" s="14">
        <v>44757</v>
      </c>
      <c r="E27" s="15">
        <v>23.4</v>
      </c>
      <c r="F27" s="16">
        <f t="shared" si="0"/>
        <v>1755000</v>
      </c>
      <c r="G27" s="17">
        <f t="shared" si="1"/>
        <v>526500</v>
      </c>
      <c r="H27" s="18" t="str">
        <f t="shared" si="2"/>
        <v/>
      </c>
      <c r="I27" s="8"/>
      <c r="J27" s="8"/>
      <c r="K27" s="8"/>
      <c r="L27" s="8"/>
      <c r="M27" s="8"/>
      <c r="N27" s="8"/>
    </row>
    <row r="28" spans="1:14">
      <c r="A28" s="4" t="s">
        <v>42</v>
      </c>
      <c r="B28" s="4" t="s">
        <v>56</v>
      </c>
      <c r="C28" s="13" t="s">
        <v>55</v>
      </c>
      <c r="D28" s="14">
        <v>44787</v>
      </c>
      <c r="E28" s="15">
        <v>26.4</v>
      </c>
      <c r="F28" s="16">
        <f t="shared" si="0"/>
        <v>2376000</v>
      </c>
      <c r="G28" s="17">
        <f t="shared" si="1"/>
        <v>712800</v>
      </c>
      <c r="H28" s="18" t="str">
        <f t="shared" si="2"/>
        <v/>
      </c>
      <c r="I28" s="8"/>
      <c r="J28" s="8"/>
      <c r="K28" s="8"/>
      <c r="L28" s="8"/>
      <c r="M28" s="8"/>
      <c r="N28" s="8"/>
    </row>
    <row r="29" spans="1:14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</sheetData>
  <mergeCells count="1">
    <mergeCell ref="J20:L2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0"/>
  <sheetViews>
    <sheetView workbookViewId="0"/>
  </sheetViews>
  <sheetFormatPr defaultRowHeight="17"/>
  <cols>
    <col min="2" max="2" width="16.33203125" bestFit="1" customWidth="1"/>
    <col min="3" max="3" width="8.6640625" customWidth="1"/>
    <col min="4" max="4" width="11.25" bestFit="1" customWidth="1"/>
    <col min="5" max="5" width="12.5" bestFit="1" customWidth="1"/>
  </cols>
  <sheetData>
    <row r="2" spans="2:5">
      <c r="B2" s="39" t="s">
        <v>4</v>
      </c>
      <c r="C2" s="40" t="s">
        <v>105</v>
      </c>
    </row>
    <row r="4" spans="2:5">
      <c r="B4" s="41" t="s">
        <v>7</v>
      </c>
      <c r="C4" s="44" t="s">
        <v>112</v>
      </c>
      <c r="D4" s="44" t="s">
        <v>5</v>
      </c>
      <c r="E4" s="44" t="s">
        <v>9</v>
      </c>
    </row>
    <row r="5" spans="2:5">
      <c r="B5" s="45" t="s">
        <v>107</v>
      </c>
      <c r="C5" s="37">
        <v>12</v>
      </c>
      <c r="D5" s="38">
        <v>1724414</v>
      </c>
      <c r="E5" s="38">
        <v>1241660.1400000001</v>
      </c>
    </row>
    <row r="6" spans="2:5">
      <c r="B6" s="45" t="s">
        <v>108</v>
      </c>
      <c r="C6" s="37">
        <v>17</v>
      </c>
      <c r="D6" s="38">
        <v>2840824</v>
      </c>
      <c r="E6" s="38">
        <v>5265067.46</v>
      </c>
    </row>
    <row r="7" spans="2:5">
      <c r="B7" s="45" t="s">
        <v>109</v>
      </c>
      <c r="C7" s="37">
        <v>4</v>
      </c>
      <c r="D7" s="38">
        <v>745500</v>
      </c>
      <c r="E7" s="38">
        <v>3383937.5</v>
      </c>
    </row>
    <row r="8" spans="2:5">
      <c r="B8" s="45" t="s">
        <v>110</v>
      </c>
      <c r="C8" s="37">
        <v>3</v>
      </c>
      <c r="D8" s="38">
        <v>729750</v>
      </c>
      <c r="E8" s="38">
        <v>2822877.5</v>
      </c>
    </row>
    <row r="9" spans="2:5">
      <c r="B9" s="45" t="s">
        <v>111</v>
      </c>
      <c r="C9" s="37">
        <v>2</v>
      </c>
      <c r="D9" s="38">
        <v>543250</v>
      </c>
      <c r="E9" s="38">
        <v>2368900</v>
      </c>
    </row>
    <row r="10" spans="2:5" ht="17.5">
      <c r="B10" s="46" t="s">
        <v>106</v>
      </c>
      <c r="C10" s="42">
        <v>38</v>
      </c>
      <c r="D10" s="43">
        <v>6583738</v>
      </c>
      <c r="E10" s="43">
        <v>15082442.6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G39"/>
  <sheetViews>
    <sheetView workbookViewId="0"/>
  </sheetViews>
  <sheetFormatPr defaultRowHeight="17"/>
  <cols>
    <col min="1" max="1" width="10.4140625" bestFit="1" customWidth="1"/>
    <col min="2" max="2" width="10.75" bestFit="1" customWidth="1"/>
    <col min="5" max="5" width="10.58203125" bestFit="1" customWidth="1"/>
    <col min="7" max="7" width="10.58203125" bestFit="1" customWidth="1"/>
  </cols>
  <sheetData>
    <row r="1" spans="1:7">
      <c r="A1" t="s">
        <v>141</v>
      </c>
    </row>
    <row r="2" spans="1:7">
      <c r="A2" s="51" t="s">
        <v>77</v>
      </c>
      <c r="B2" s="51" t="s">
        <v>4</v>
      </c>
      <c r="C2" s="52" t="s">
        <v>139</v>
      </c>
      <c r="D2" s="51" t="s">
        <v>6</v>
      </c>
      <c r="E2" s="52" t="s">
        <v>7</v>
      </c>
      <c r="F2" s="51" t="s">
        <v>8</v>
      </c>
      <c r="G2" s="52" t="s">
        <v>140</v>
      </c>
    </row>
    <row r="3" spans="1:7" hidden="1">
      <c r="A3" s="47" t="s">
        <v>113</v>
      </c>
      <c r="B3" s="48">
        <v>44349</v>
      </c>
      <c r="C3" s="49">
        <v>267500</v>
      </c>
      <c r="D3" s="47">
        <v>3</v>
      </c>
      <c r="E3" s="49">
        <v>802500</v>
      </c>
      <c r="F3" s="50">
        <v>0.2</v>
      </c>
      <c r="G3" s="49">
        <v>160500</v>
      </c>
    </row>
    <row r="4" spans="1:7" hidden="1">
      <c r="A4" s="47" t="s">
        <v>114</v>
      </c>
      <c r="B4" s="48">
        <v>44356</v>
      </c>
      <c r="C4" s="49">
        <v>111278</v>
      </c>
      <c r="D4" s="47">
        <v>4</v>
      </c>
      <c r="E4" s="49">
        <v>445112</v>
      </c>
      <c r="F4" s="50">
        <v>0.22</v>
      </c>
      <c r="G4" s="49">
        <v>97924.64</v>
      </c>
    </row>
    <row r="5" spans="1:7">
      <c r="A5" s="47" t="s">
        <v>126</v>
      </c>
      <c r="B5" s="48">
        <v>44700</v>
      </c>
      <c r="C5" s="49">
        <v>222500</v>
      </c>
      <c r="D5" s="47">
        <v>21</v>
      </c>
      <c r="E5" s="49">
        <v>4672500</v>
      </c>
      <c r="F5" s="50">
        <v>0.4</v>
      </c>
      <c r="G5" s="49">
        <v>1869000</v>
      </c>
    </row>
    <row r="6" spans="1:7" hidden="1">
      <c r="A6" s="47" t="s">
        <v>79</v>
      </c>
      <c r="B6" s="48">
        <v>44230</v>
      </c>
      <c r="C6" s="49">
        <v>114500</v>
      </c>
      <c r="D6" s="47">
        <v>15</v>
      </c>
      <c r="E6" s="49">
        <v>1717500</v>
      </c>
      <c r="F6" s="50">
        <v>0.2</v>
      </c>
      <c r="G6" s="49">
        <v>343500</v>
      </c>
    </row>
    <row r="7" spans="1:7" hidden="1">
      <c r="A7" s="47" t="s">
        <v>80</v>
      </c>
      <c r="B7" s="48">
        <v>44228</v>
      </c>
      <c r="C7" s="49">
        <v>211278</v>
      </c>
      <c r="D7" s="47">
        <v>8</v>
      </c>
      <c r="E7" s="49">
        <v>1690224</v>
      </c>
      <c r="F7" s="50">
        <v>0.23</v>
      </c>
      <c r="G7" s="49">
        <v>388751.52</v>
      </c>
    </row>
    <row r="8" spans="1:7" hidden="1">
      <c r="A8" s="47" t="s">
        <v>81</v>
      </c>
      <c r="B8" s="48">
        <v>44259</v>
      </c>
      <c r="C8" s="49">
        <v>134750</v>
      </c>
      <c r="D8" s="47">
        <v>15</v>
      </c>
      <c r="E8" s="49">
        <v>2021250</v>
      </c>
      <c r="F8" s="50">
        <v>0.17</v>
      </c>
      <c r="G8" s="49">
        <v>343612.5</v>
      </c>
    </row>
    <row r="9" spans="1:7">
      <c r="A9" s="47" t="s">
        <v>138</v>
      </c>
      <c r="B9" s="48">
        <v>44806</v>
      </c>
      <c r="C9" s="49">
        <v>217500</v>
      </c>
      <c r="D9" s="47">
        <v>11</v>
      </c>
      <c r="E9" s="49">
        <v>2392500</v>
      </c>
      <c r="F9" s="50">
        <v>0.70000000000000007</v>
      </c>
      <c r="G9" s="49">
        <v>1674750</v>
      </c>
    </row>
    <row r="10" spans="1:7" hidden="1">
      <c r="A10" s="47" t="s">
        <v>115</v>
      </c>
      <c r="B10" s="48">
        <v>44232</v>
      </c>
      <c r="C10" s="49">
        <v>214500</v>
      </c>
      <c r="D10" s="47">
        <v>4</v>
      </c>
      <c r="E10" s="49">
        <v>858000</v>
      </c>
      <c r="F10" s="50">
        <v>0.2</v>
      </c>
      <c r="G10" s="49">
        <v>171600</v>
      </c>
    </row>
    <row r="11" spans="1:7">
      <c r="A11" s="47" t="s">
        <v>119</v>
      </c>
      <c r="B11" s="48">
        <v>44721</v>
      </c>
      <c r="C11" s="49">
        <v>258500</v>
      </c>
      <c r="D11" s="47">
        <v>21</v>
      </c>
      <c r="E11" s="49">
        <v>5428500</v>
      </c>
      <c r="F11" s="50">
        <v>0.3</v>
      </c>
      <c r="G11" s="49">
        <v>1628550</v>
      </c>
    </row>
    <row r="12" spans="1:7" hidden="1">
      <c r="A12" s="47" t="s">
        <v>116</v>
      </c>
      <c r="B12" s="48">
        <v>44198</v>
      </c>
      <c r="C12" s="49">
        <v>114500</v>
      </c>
      <c r="D12" s="47">
        <v>2</v>
      </c>
      <c r="E12" s="49">
        <v>229000</v>
      </c>
      <c r="F12" s="50">
        <v>0.2</v>
      </c>
      <c r="G12" s="49">
        <v>45800</v>
      </c>
    </row>
    <row r="13" spans="1:7" hidden="1">
      <c r="A13" s="47" t="s">
        <v>84</v>
      </c>
      <c r="B13" s="48">
        <v>44260</v>
      </c>
      <c r="C13" s="49">
        <v>108500</v>
      </c>
      <c r="D13" s="47">
        <v>11</v>
      </c>
      <c r="E13" s="49">
        <v>1193500</v>
      </c>
      <c r="F13" s="50">
        <v>0.35000000000000003</v>
      </c>
      <c r="G13" s="49">
        <v>417725</v>
      </c>
    </row>
    <row r="14" spans="1:7" hidden="1">
      <c r="A14" s="47" t="s">
        <v>85</v>
      </c>
      <c r="B14" s="48">
        <v>44392</v>
      </c>
      <c r="C14" s="49">
        <v>234750</v>
      </c>
      <c r="D14" s="47">
        <v>7</v>
      </c>
      <c r="E14" s="49">
        <v>1643250</v>
      </c>
      <c r="F14" s="50">
        <v>0.15</v>
      </c>
      <c r="G14" s="49">
        <v>246487.5</v>
      </c>
    </row>
    <row r="15" spans="1:7" hidden="1">
      <c r="A15" s="47" t="s">
        <v>86</v>
      </c>
      <c r="B15" s="48">
        <v>44388</v>
      </c>
      <c r="C15" s="49">
        <v>284750</v>
      </c>
      <c r="D15" s="47">
        <v>6</v>
      </c>
      <c r="E15" s="49">
        <v>1708500</v>
      </c>
      <c r="F15" s="50">
        <v>0.17</v>
      </c>
      <c r="G15" s="49">
        <v>290445</v>
      </c>
    </row>
    <row r="16" spans="1:7">
      <c r="A16" s="47" t="s">
        <v>137</v>
      </c>
      <c r="B16" s="48">
        <v>44753</v>
      </c>
      <c r="C16" s="49">
        <v>284750</v>
      </c>
      <c r="D16" s="47">
        <v>9</v>
      </c>
      <c r="E16" s="49">
        <v>2562750</v>
      </c>
      <c r="F16" s="50">
        <v>0.3</v>
      </c>
      <c r="G16" s="49">
        <v>768825</v>
      </c>
    </row>
    <row r="17" spans="1:7" hidden="1">
      <c r="A17" s="47" t="s">
        <v>117</v>
      </c>
      <c r="B17" s="48">
        <v>44319</v>
      </c>
      <c r="C17" s="49">
        <v>117500</v>
      </c>
      <c r="D17" s="47">
        <v>1</v>
      </c>
      <c r="E17" s="49">
        <v>117500</v>
      </c>
      <c r="F17" s="50">
        <v>0.3</v>
      </c>
      <c r="G17" s="49">
        <v>35250</v>
      </c>
    </row>
    <row r="18" spans="1:7" hidden="1">
      <c r="A18" s="47" t="s">
        <v>88</v>
      </c>
      <c r="B18" s="48">
        <v>44293</v>
      </c>
      <c r="C18" s="49">
        <v>111278</v>
      </c>
      <c r="D18" s="47">
        <v>11</v>
      </c>
      <c r="E18" s="49">
        <v>1224058</v>
      </c>
      <c r="F18" s="50">
        <v>0.28000000000000003</v>
      </c>
      <c r="G18" s="49">
        <v>342736.24000000005</v>
      </c>
    </row>
    <row r="19" spans="1:7" hidden="1">
      <c r="A19" s="47" t="s">
        <v>118</v>
      </c>
      <c r="B19" s="48">
        <v>44239</v>
      </c>
      <c r="C19" s="49">
        <v>111278</v>
      </c>
      <c r="D19" s="47">
        <v>2</v>
      </c>
      <c r="E19" s="49">
        <v>222556</v>
      </c>
      <c r="F19" s="50">
        <v>0.1</v>
      </c>
      <c r="G19" s="49">
        <v>22255.600000000002</v>
      </c>
    </row>
    <row r="20" spans="1:7">
      <c r="A20" s="47" t="s">
        <v>83</v>
      </c>
      <c r="B20" s="48">
        <v>44597</v>
      </c>
      <c r="C20" s="49">
        <v>284750</v>
      </c>
      <c r="D20" s="47">
        <v>20</v>
      </c>
      <c r="E20" s="49">
        <v>5695000</v>
      </c>
      <c r="F20" s="50">
        <v>0.13</v>
      </c>
      <c r="G20" s="49">
        <v>740350</v>
      </c>
    </row>
    <row r="21" spans="1:7" hidden="1">
      <c r="A21" s="47" t="s">
        <v>120</v>
      </c>
      <c r="B21" s="48">
        <v>44385</v>
      </c>
      <c r="C21" s="49">
        <v>108500</v>
      </c>
      <c r="D21" s="47">
        <v>10</v>
      </c>
      <c r="E21" s="49">
        <v>1085000</v>
      </c>
      <c r="F21" s="50">
        <v>0.2</v>
      </c>
      <c r="G21" s="49">
        <v>217000</v>
      </c>
    </row>
    <row r="22" spans="1:7" hidden="1">
      <c r="A22" s="47" t="s">
        <v>121</v>
      </c>
      <c r="B22" s="48">
        <v>44327</v>
      </c>
      <c r="C22" s="49">
        <v>217500</v>
      </c>
      <c r="D22" s="47">
        <v>4</v>
      </c>
      <c r="E22" s="49">
        <v>870000</v>
      </c>
      <c r="F22" s="50">
        <v>0.3</v>
      </c>
      <c r="G22" s="49">
        <v>261000</v>
      </c>
    </row>
    <row r="23" spans="1:7" hidden="1">
      <c r="A23" s="47" t="s">
        <v>122</v>
      </c>
      <c r="B23" s="48">
        <v>44385</v>
      </c>
      <c r="C23" s="49">
        <v>134750</v>
      </c>
      <c r="D23" s="47">
        <v>8</v>
      </c>
      <c r="E23" s="49">
        <v>1078000</v>
      </c>
      <c r="F23" s="50">
        <v>0.2</v>
      </c>
      <c r="G23" s="49">
        <v>215600</v>
      </c>
    </row>
    <row r="24" spans="1:7" hidden="1">
      <c r="A24" s="47" t="s">
        <v>123</v>
      </c>
      <c r="B24" s="48">
        <v>44356</v>
      </c>
      <c r="C24" s="49">
        <v>267500</v>
      </c>
      <c r="D24" s="47">
        <v>7</v>
      </c>
      <c r="E24" s="49">
        <v>1872500</v>
      </c>
      <c r="F24" s="50">
        <v>0.2</v>
      </c>
      <c r="G24" s="49">
        <v>374500</v>
      </c>
    </row>
    <row r="25" spans="1:7" hidden="1">
      <c r="A25" s="47" t="s">
        <v>124</v>
      </c>
      <c r="B25" s="48">
        <v>44291</v>
      </c>
      <c r="C25" s="49">
        <v>111278</v>
      </c>
      <c r="D25" s="47">
        <v>3</v>
      </c>
      <c r="E25" s="49">
        <v>333834</v>
      </c>
      <c r="F25" s="50">
        <v>0.15</v>
      </c>
      <c r="G25" s="49">
        <v>50075.1</v>
      </c>
    </row>
    <row r="26" spans="1:7" hidden="1">
      <c r="A26" s="47" t="s">
        <v>125</v>
      </c>
      <c r="B26" s="48">
        <v>44259</v>
      </c>
      <c r="C26" s="49">
        <v>114500</v>
      </c>
      <c r="D26" s="47">
        <v>9</v>
      </c>
      <c r="E26" s="49">
        <v>1030500</v>
      </c>
      <c r="F26" s="50">
        <v>0.2</v>
      </c>
      <c r="G26" s="49">
        <v>206100</v>
      </c>
    </row>
    <row r="27" spans="1:7">
      <c r="A27" s="47" t="s">
        <v>87</v>
      </c>
      <c r="B27" s="48">
        <v>44656</v>
      </c>
      <c r="C27" s="49">
        <v>108500</v>
      </c>
      <c r="D27" s="47">
        <v>22</v>
      </c>
      <c r="E27" s="49">
        <v>2387000</v>
      </c>
      <c r="F27" s="50">
        <v>0.25</v>
      </c>
      <c r="G27" s="49">
        <v>596750</v>
      </c>
    </row>
    <row r="28" spans="1:7">
      <c r="A28" s="47" t="s">
        <v>78</v>
      </c>
      <c r="B28" s="48">
        <v>44689</v>
      </c>
      <c r="C28" s="49">
        <v>108500</v>
      </c>
      <c r="D28" s="47">
        <v>18</v>
      </c>
      <c r="E28" s="49">
        <v>1953000</v>
      </c>
      <c r="F28" s="50">
        <v>0.3</v>
      </c>
      <c r="G28" s="49">
        <v>585900</v>
      </c>
    </row>
    <row r="29" spans="1:7" hidden="1">
      <c r="A29" s="47" t="s">
        <v>128</v>
      </c>
      <c r="B29" s="48">
        <v>44279</v>
      </c>
      <c r="C29" s="49">
        <v>263580</v>
      </c>
      <c r="D29" s="47">
        <v>4</v>
      </c>
      <c r="E29" s="49">
        <v>1054320</v>
      </c>
      <c r="F29" s="50">
        <v>0.05</v>
      </c>
      <c r="G29" s="49">
        <v>52716</v>
      </c>
    </row>
    <row r="30" spans="1:7" hidden="1">
      <c r="A30" s="47" t="s">
        <v>129</v>
      </c>
      <c r="B30" s="48">
        <v>44385</v>
      </c>
      <c r="C30" s="49">
        <v>122500</v>
      </c>
      <c r="D30" s="47">
        <v>10</v>
      </c>
      <c r="E30" s="49">
        <v>1225000</v>
      </c>
      <c r="F30" s="50">
        <v>0.25</v>
      </c>
      <c r="G30" s="49">
        <v>306250</v>
      </c>
    </row>
    <row r="31" spans="1:7" hidden="1">
      <c r="A31" s="47" t="s">
        <v>130</v>
      </c>
      <c r="B31" s="48">
        <v>44354</v>
      </c>
      <c r="C31" s="49">
        <v>122500</v>
      </c>
      <c r="D31" s="47">
        <v>1</v>
      </c>
      <c r="E31" s="49">
        <v>122500</v>
      </c>
      <c r="F31" s="50">
        <v>0.17</v>
      </c>
      <c r="G31" s="49">
        <v>20825</v>
      </c>
    </row>
    <row r="32" spans="1:7" hidden="1">
      <c r="A32" s="47" t="s">
        <v>131</v>
      </c>
      <c r="B32" s="48">
        <v>44525</v>
      </c>
      <c r="C32" s="49">
        <v>113580</v>
      </c>
      <c r="D32" s="47">
        <v>8</v>
      </c>
      <c r="E32" s="49">
        <v>908640</v>
      </c>
      <c r="F32" s="50">
        <v>7.0000000000000007E-2</v>
      </c>
      <c r="G32" s="49">
        <v>63604.800000000003</v>
      </c>
    </row>
    <row r="33" spans="1:7" hidden="1">
      <c r="A33" s="47" t="s">
        <v>132</v>
      </c>
      <c r="B33" s="48">
        <v>44419</v>
      </c>
      <c r="C33" s="49">
        <v>213580</v>
      </c>
      <c r="D33" s="47">
        <v>9</v>
      </c>
      <c r="E33" s="49">
        <v>1922220</v>
      </c>
      <c r="F33" s="50">
        <v>0.03</v>
      </c>
      <c r="G33" s="49">
        <v>57666.6</v>
      </c>
    </row>
    <row r="34" spans="1:7" hidden="1">
      <c r="A34" s="47" t="s">
        <v>133</v>
      </c>
      <c r="B34" s="48">
        <v>44416</v>
      </c>
      <c r="C34" s="49">
        <v>108500</v>
      </c>
      <c r="D34" s="47">
        <v>9</v>
      </c>
      <c r="E34" s="49">
        <v>976500</v>
      </c>
      <c r="F34" s="50">
        <v>0.25</v>
      </c>
      <c r="G34" s="49">
        <v>244125</v>
      </c>
    </row>
    <row r="35" spans="1:7" hidden="1">
      <c r="A35" s="47" t="s">
        <v>134</v>
      </c>
      <c r="B35" s="48">
        <v>44257</v>
      </c>
      <c r="C35" s="49">
        <v>272500</v>
      </c>
      <c r="D35" s="47">
        <v>17</v>
      </c>
      <c r="E35" s="49">
        <v>4632500</v>
      </c>
      <c r="F35" s="50">
        <v>0.1</v>
      </c>
      <c r="G35" s="49">
        <v>463250</v>
      </c>
    </row>
    <row r="36" spans="1:7" hidden="1">
      <c r="A36" s="47" t="s">
        <v>135</v>
      </c>
      <c r="B36" s="48">
        <v>44422</v>
      </c>
      <c r="C36" s="49">
        <v>113580</v>
      </c>
      <c r="D36" s="47">
        <v>12</v>
      </c>
      <c r="E36" s="49">
        <v>1362960</v>
      </c>
      <c r="F36" s="50">
        <v>0.12</v>
      </c>
      <c r="G36" s="49">
        <v>163555.19999999998</v>
      </c>
    </row>
    <row r="37" spans="1:7">
      <c r="A37" s="47" t="s">
        <v>82</v>
      </c>
      <c r="B37" s="48">
        <v>44570</v>
      </c>
      <c r="C37" s="49">
        <v>111278</v>
      </c>
      <c r="D37" s="47">
        <v>15</v>
      </c>
      <c r="E37" s="49">
        <v>1669170</v>
      </c>
      <c r="F37" s="50">
        <v>0.32</v>
      </c>
      <c r="G37" s="49">
        <v>534134.4</v>
      </c>
    </row>
    <row r="38" spans="1:7">
      <c r="A38" s="47" t="s">
        <v>127</v>
      </c>
      <c r="B38" s="48">
        <v>44780</v>
      </c>
      <c r="C38" s="49">
        <v>217500</v>
      </c>
      <c r="D38" s="47">
        <v>8</v>
      </c>
      <c r="E38" s="49">
        <v>1740000</v>
      </c>
      <c r="F38" s="50">
        <v>0.3</v>
      </c>
      <c r="G38" s="49">
        <v>522000</v>
      </c>
    </row>
    <row r="39" spans="1:7">
      <c r="A39" s="47" t="s">
        <v>136</v>
      </c>
      <c r="B39" s="48">
        <v>44563</v>
      </c>
      <c r="C39" s="49">
        <v>234750</v>
      </c>
      <c r="D39" s="47">
        <v>19</v>
      </c>
      <c r="E39" s="49">
        <v>4460250</v>
      </c>
      <c r="F39" s="50">
        <v>0.11</v>
      </c>
      <c r="G39" s="49">
        <v>490627.5</v>
      </c>
    </row>
  </sheetData>
  <autoFilter ref="A2:G39">
    <filterColumn colId="6">
      <colorFilter dxfId="1"/>
    </filterColumn>
    <sortState ref="A4:G38">
      <sortCondition descending="1" ref="G1:G38"/>
    </sortState>
  </autoFilter>
  <phoneticPr fontId="1" type="noConversion"/>
  <conditionalFormatting sqref="G3:G39">
    <cfRule type="top10" dxfId="0" priority="1" rank="10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8"/>
  <sheetViews>
    <sheetView topLeftCell="A10" workbookViewId="0"/>
  </sheetViews>
  <sheetFormatPr defaultRowHeight="17"/>
  <cols>
    <col min="1" max="1" width="12.08203125" customWidth="1"/>
    <col min="2" max="4" width="21.83203125" customWidth="1"/>
  </cols>
  <sheetData>
    <row r="1" spans="1:4" ht="21">
      <c r="A1" s="61" t="s">
        <v>89</v>
      </c>
      <c r="B1" s="61"/>
      <c r="C1" s="61"/>
      <c r="D1" s="61"/>
    </row>
    <row r="2" spans="1:4" ht="17.5">
      <c r="A2" s="28"/>
      <c r="B2" s="28"/>
      <c r="C2" s="28"/>
      <c r="D2" s="28"/>
    </row>
    <row r="3" spans="1:4">
      <c r="A3" s="29" t="s">
        <v>90</v>
      </c>
      <c r="B3" s="30" t="s">
        <v>91</v>
      </c>
      <c r="C3" s="30" t="s">
        <v>92</v>
      </c>
      <c r="D3" s="30" t="s">
        <v>93</v>
      </c>
    </row>
    <row r="4" spans="1:4">
      <c r="A4" s="29" t="s">
        <v>94</v>
      </c>
      <c r="B4" s="29">
        <v>37200</v>
      </c>
      <c r="C4" s="29">
        <v>33145</v>
      </c>
      <c r="D4" s="29">
        <v>71766</v>
      </c>
    </row>
    <row r="5" spans="1:4">
      <c r="A5" s="29" t="s">
        <v>95</v>
      </c>
      <c r="B5" s="29">
        <v>332601</v>
      </c>
      <c r="C5" s="29">
        <v>78432</v>
      </c>
      <c r="D5" s="29">
        <v>411059</v>
      </c>
    </row>
    <row r="6" spans="1:4">
      <c r="A6" s="29" t="s">
        <v>96</v>
      </c>
      <c r="B6" s="29">
        <v>202235</v>
      </c>
      <c r="C6" s="29">
        <v>104205</v>
      </c>
      <c r="D6" s="29">
        <v>306554</v>
      </c>
    </row>
    <row r="7" spans="1:4">
      <c r="A7" s="29" t="s">
        <v>97</v>
      </c>
      <c r="B7" s="29">
        <v>733539</v>
      </c>
      <c r="C7" s="29">
        <v>115372</v>
      </c>
      <c r="D7" s="29">
        <v>850356</v>
      </c>
    </row>
    <row r="8" spans="1:4">
      <c r="A8" s="29" t="s">
        <v>98</v>
      </c>
      <c r="B8" s="29">
        <v>209384</v>
      </c>
      <c r="C8" s="29">
        <v>257351</v>
      </c>
      <c r="D8" s="29">
        <v>469882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6:F17"/>
  <sheetViews>
    <sheetView workbookViewId="0"/>
  </sheetViews>
  <sheetFormatPr defaultRowHeight="17"/>
  <cols>
    <col min="2" max="6" width="11.58203125" customWidth="1"/>
  </cols>
  <sheetData>
    <row r="6" spans="2:6">
      <c r="B6" s="53" t="s">
        <v>142</v>
      </c>
      <c r="C6" s="54" t="s">
        <v>143</v>
      </c>
      <c r="D6" s="55" t="s">
        <v>144</v>
      </c>
      <c r="E6" s="55" t="s">
        <v>145</v>
      </c>
      <c r="F6" s="54" t="s">
        <v>146</v>
      </c>
    </row>
    <row r="7" spans="2:6">
      <c r="B7" s="56" t="s">
        <v>147</v>
      </c>
      <c r="C7" s="57">
        <v>20</v>
      </c>
      <c r="D7" s="58">
        <v>80000</v>
      </c>
      <c r="E7" s="58">
        <v>83200</v>
      </c>
      <c r="F7" s="59">
        <f>(E7-D7)/D7*100</f>
        <v>4</v>
      </c>
    </row>
    <row r="8" spans="2:6">
      <c r="B8" s="56" t="s">
        <v>148</v>
      </c>
      <c r="C8" s="57">
        <v>30</v>
      </c>
      <c r="D8" s="58">
        <v>95000</v>
      </c>
      <c r="E8" s="58">
        <v>125000</v>
      </c>
      <c r="F8" s="59">
        <f t="shared" ref="F8:F17" si="0">(E8-D8)/D8*100</f>
        <v>31.578947368421051</v>
      </c>
    </row>
    <row r="9" spans="2:6">
      <c r="B9" s="56" t="s">
        <v>149</v>
      </c>
      <c r="C9" s="57">
        <v>25</v>
      </c>
      <c r="D9" s="58">
        <v>75000</v>
      </c>
      <c r="E9" s="58">
        <v>70000</v>
      </c>
      <c r="F9" s="59">
        <f t="shared" si="0"/>
        <v>-6.666666666666667</v>
      </c>
    </row>
    <row r="10" spans="2:6">
      <c r="B10" s="56" t="s">
        <v>150</v>
      </c>
      <c r="C10" s="57">
        <v>10</v>
      </c>
      <c r="D10" s="58">
        <v>110500</v>
      </c>
      <c r="E10" s="58">
        <v>145000</v>
      </c>
      <c r="F10" s="59">
        <f t="shared" si="0"/>
        <v>31.221719457013574</v>
      </c>
    </row>
    <row r="11" spans="2:6">
      <c r="B11" s="56" t="s">
        <v>151</v>
      </c>
      <c r="C11" s="57">
        <v>35</v>
      </c>
      <c r="D11" s="58">
        <v>306000</v>
      </c>
      <c r="E11" s="58">
        <v>385500</v>
      </c>
      <c r="F11" s="59">
        <f t="shared" si="0"/>
        <v>25.980392156862749</v>
      </c>
    </row>
    <row r="12" spans="2:6">
      <c r="B12" s="56" t="s">
        <v>152</v>
      </c>
      <c r="C12" s="57">
        <v>50</v>
      </c>
      <c r="D12" s="58">
        <v>290000</v>
      </c>
      <c r="E12" s="58">
        <v>290000</v>
      </c>
      <c r="F12" s="59">
        <f t="shared" si="0"/>
        <v>0</v>
      </c>
    </row>
    <row r="13" spans="2:6">
      <c r="B13" s="56" t="s">
        <v>153</v>
      </c>
      <c r="C13" s="57">
        <v>40</v>
      </c>
      <c r="D13" s="58">
        <v>248000</v>
      </c>
      <c r="E13" s="58">
        <v>332000</v>
      </c>
      <c r="F13" s="59">
        <f t="shared" si="0"/>
        <v>33.87096774193548</v>
      </c>
    </row>
    <row r="14" spans="2:6">
      <c r="B14" s="56" t="s">
        <v>154</v>
      </c>
      <c r="C14" s="57">
        <v>45</v>
      </c>
      <c r="D14" s="58">
        <v>75000</v>
      </c>
      <c r="E14" s="58">
        <v>72000</v>
      </c>
      <c r="F14" s="59">
        <f t="shared" si="0"/>
        <v>-4</v>
      </c>
    </row>
    <row r="15" spans="2:6">
      <c r="B15" s="56" t="s">
        <v>155</v>
      </c>
      <c r="C15" s="57">
        <v>28</v>
      </c>
      <c r="D15" s="58">
        <v>320000</v>
      </c>
      <c r="E15" s="58">
        <v>301500</v>
      </c>
      <c r="F15" s="59">
        <f t="shared" si="0"/>
        <v>-5.78125</v>
      </c>
    </row>
    <row r="16" spans="2:6">
      <c r="B16" s="56" t="s">
        <v>156</v>
      </c>
      <c r="C16" s="57">
        <v>60</v>
      </c>
      <c r="D16" s="58">
        <v>50800</v>
      </c>
      <c r="E16" s="58">
        <v>59000</v>
      </c>
      <c r="F16" s="59">
        <f t="shared" si="0"/>
        <v>16.141732283464567</v>
      </c>
    </row>
    <row r="17" spans="2:6">
      <c r="B17" s="56" t="s">
        <v>157</v>
      </c>
      <c r="C17" s="57">
        <v>5</v>
      </c>
      <c r="D17" s="58">
        <v>76900</v>
      </c>
      <c r="E17" s="58">
        <v>76900</v>
      </c>
      <c r="F17" s="59">
        <f t="shared" si="0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4"/>
  <sheetViews>
    <sheetView workbookViewId="0"/>
  </sheetViews>
  <sheetFormatPr defaultRowHeight="17"/>
  <cols>
    <col min="2" max="4" width="12.08203125" customWidth="1"/>
    <col min="5" max="5" width="17.6640625" customWidth="1"/>
    <col min="6" max="6" width="12.08203125" customWidth="1"/>
    <col min="11" max="11" width="9.58203125" customWidth="1"/>
  </cols>
  <sheetData>
    <row r="1" spans="2:11" ht="21">
      <c r="B1" s="62" t="s">
        <v>99</v>
      </c>
      <c r="C1" s="62"/>
      <c r="D1" s="62"/>
      <c r="E1" s="62"/>
      <c r="F1" s="62"/>
    </row>
    <row r="2" spans="2:11">
      <c r="B2" s="27"/>
      <c r="C2" s="27"/>
      <c r="D2" s="27"/>
      <c r="E2" s="27"/>
      <c r="F2" s="27"/>
    </row>
    <row r="3" spans="2:11">
      <c r="B3" s="31" t="s">
        <v>100</v>
      </c>
      <c r="C3" s="32" t="s">
        <v>52</v>
      </c>
      <c r="D3" s="31" t="s">
        <v>101</v>
      </c>
      <c r="E3" s="32" t="s">
        <v>102</v>
      </c>
      <c r="F3" s="33" t="s">
        <v>103</v>
      </c>
      <c r="K3" s="32" t="s">
        <v>104</v>
      </c>
    </row>
    <row r="4" spans="2:11">
      <c r="B4" s="31"/>
      <c r="C4" s="32"/>
      <c r="D4" s="31"/>
      <c r="E4" s="32"/>
      <c r="F4" s="31"/>
      <c r="K4" s="31" t="s">
        <v>83</v>
      </c>
    </row>
    <row r="5" spans="2:11">
      <c r="B5" s="31"/>
      <c r="C5" s="32"/>
      <c r="D5" s="31"/>
      <c r="E5" s="32"/>
      <c r="F5" s="31"/>
      <c r="K5" s="31" t="s">
        <v>87</v>
      </c>
    </row>
    <row r="6" spans="2:11">
      <c r="B6" s="31"/>
      <c r="C6" s="31"/>
      <c r="D6" s="32"/>
      <c r="E6" s="32"/>
      <c r="F6" s="31"/>
      <c r="K6" s="31" t="s">
        <v>81</v>
      </c>
    </row>
    <row r="7" spans="2:11">
      <c r="B7" s="31"/>
      <c r="C7" s="31"/>
      <c r="D7" s="32"/>
      <c r="E7" s="32"/>
      <c r="F7" s="31"/>
      <c r="K7" s="31" t="s">
        <v>78</v>
      </c>
    </row>
    <row r="8" spans="2:11">
      <c r="B8" s="31"/>
      <c r="C8" s="31"/>
      <c r="D8" s="32"/>
      <c r="E8" s="32"/>
      <c r="F8" s="31"/>
      <c r="K8" s="31" t="s">
        <v>79</v>
      </c>
    </row>
    <row r="9" spans="2:11">
      <c r="B9" s="31"/>
      <c r="C9" s="31"/>
      <c r="D9" s="32"/>
      <c r="E9" s="32"/>
      <c r="F9" s="31"/>
    </row>
    <row r="10" spans="2:11">
      <c r="B10" s="31"/>
      <c r="C10" s="31"/>
      <c r="D10" s="32"/>
      <c r="E10" s="34"/>
      <c r="F10" s="31"/>
    </row>
    <row r="11" spans="2:11">
      <c r="B11" s="31"/>
      <c r="C11" s="31"/>
      <c r="D11" s="32"/>
      <c r="E11" s="34"/>
      <c r="F11" s="31"/>
    </row>
    <row r="12" spans="2:11">
      <c r="B12" s="31"/>
      <c r="C12" s="31"/>
      <c r="D12" s="32"/>
      <c r="E12" s="32"/>
      <c r="F12" s="31"/>
    </row>
    <row r="13" spans="2:11">
      <c r="B13" s="31"/>
      <c r="C13" s="31"/>
      <c r="D13" s="32"/>
      <c r="E13" s="34"/>
      <c r="F13" s="31"/>
    </row>
    <row r="14" spans="2:11">
      <c r="B14" s="31"/>
      <c r="C14" s="31"/>
      <c r="D14" s="32"/>
      <c r="E14" s="34"/>
      <c r="F14" s="31"/>
    </row>
  </sheetData>
  <mergeCells count="1">
    <mergeCell ref="B1:F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자전거구입">
          <controlPr defaultSize="0" autoLine="0" r:id="rId4">
            <anchor moveWithCells="1">
              <from>
                <xdr:col>7</xdr:col>
                <xdr:colOff>0</xdr:colOff>
                <xdr:row>2</xdr:row>
                <xdr:rowOff>19050</xdr:rowOff>
              </from>
              <to>
                <xdr:col>9</xdr:col>
                <xdr:colOff>241300</xdr:colOff>
                <xdr:row>3</xdr:row>
                <xdr:rowOff>152400</xdr:rowOff>
              </to>
            </anchor>
          </controlPr>
        </control>
      </mc:Choice>
      <mc:Fallback>
        <control shapeId="7169" r:id="rId3" name="자전거구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  <vt:lpstr>기본작업1!Criteria</vt:lpstr>
      <vt:lpstr>기본작업1!Extract</vt:lpstr>
      <vt:lpstr>기본작업2!Print_Area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2022-04-28T12:01:39Z</dcterms:modified>
</cp:coreProperties>
</file>