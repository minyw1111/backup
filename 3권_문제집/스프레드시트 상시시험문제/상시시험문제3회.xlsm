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3권_문제집\스프레드시트 상시시험문제\"/>
    </mc:Choice>
  </mc:AlternateContent>
  <bookViews>
    <workbookView xWindow="0" yWindow="0" windowWidth="25610" windowHeight="12170" tabRatio="900"/>
  </bookViews>
  <sheets>
    <sheet name="기본작업-1" sheetId="9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6" r:id="rId6"/>
    <sheet name="기타작업-2" sheetId="5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3" i="5" l="1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T31" i="9" l="1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T4" i="9"/>
  <c r="T31" i="2" l="1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</calcChain>
</file>

<file path=xl/sharedStrings.xml><?xml version="1.0" encoding="utf-8"?>
<sst xmlns="http://schemas.openxmlformats.org/spreadsheetml/2006/main" count="1162" uniqueCount="189">
  <si>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</si>
  <si>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</si>
  <si>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</si>
  <si>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</si>
  <si>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</si>
  <si>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</si>
  <si>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</si>
  <si>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O</t>
    <phoneticPr fontId="9" type="noConversion"/>
  </si>
  <si>
    <t>사랑반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</si>
  <si>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</si>
  <si>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</si>
  <si>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</si>
  <si>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</si>
  <si>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</si>
  <si>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</si>
  <si>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</si>
  <si>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</si>
  <si>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</si>
  <si>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</si>
  <si>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</si>
  <si>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</si>
  <si>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</si>
  <si>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</si>
  <si>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</si>
  <si>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</si>
  <si>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</si>
  <si>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</si>
  <si>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</si>
  <si>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</si>
  <si>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</si>
  <si>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</si>
  <si>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</si>
  <si>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</si>
  <si>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</si>
  <si>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</si>
  <si>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</si>
  <si>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</si>
  <si>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</si>
  <si>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</si>
  <si>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</si>
  <si>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</si>
  <si>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</si>
  <si>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1" type="noConversion"/>
  </si>
  <si>
    <t>가입나이</t>
    <phoneticPr fontId="1" type="noConversion"/>
  </si>
  <si>
    <t>코드</t>
    <phoneticPr fontId="1" type="noConversion"/>
  </si>
  <si>
    <t>구분-성별</t>
    <phoneticPr fontId="1" type="noConversion"/>
  </si>
  <si>
    <t>가입금액</t>
    <phoneticPr fontId="1" type="noConversion"/>
  </si>
  <si>
    <t>가입기간</t>
    <phoneticPr fontId="1" type="noConversion"/>
  </si>
  <si>
    <t>미납기간</t>
    <phoneticPr fontId="1" type="noConversion"/>
  </si>
  <si>
    <t>가입상태</t>
    <phoneticPr fontId="1" type="noConversion"/>
  </si>
  <si>
    <t xml:space="preserve">[표2] </t>
    <phoneticPr fontId="1" type="noConversion"/>
  </si>
  <si>
    <t>BM</t>
    <phoneticPr fontId="1" type="noConversion"/>
  </si>
  <si>
    <t>구분</t>
    <phoneticPr fontId="1" type="noConversion"/>
  </si>
  <si>
    <t>성별</t>
    <phoneticPr fontId="1" type="noConversion"/>
  </si>
  <si>
    <t>BW</t>
    <phoneticPr fontId="1" type="noConversion"/>
  </si>
  <si>
    <t>BM</t>
    <phoneticPr fontId="1" type="noConversion"/>
  </si>
  <si>
    <t>기본형</t>
    <phoneticPr fontId="1" type="noConversion"/>
  </si>
  <si>
    <t>남자</t>
  </si>
  <si>
    <t>SM</t>
    <phoneticPr fontId="1" type="noConversion"/>
  </si>
  <si>
    <t>SM</t>
    <phoneticPr fontId="1" type="noConversion"/>
  </si>
  <si>
    <t>추가보장</t>
    <phoneticPr fontId="1" type="noConversion"/>
  </si>
  <si>
    <t>SW</t>
    <phoneticPr fontId="1" type="noConversion"/>
  </si>
  <si>
    <t>기본형</t>
    <phoneticPr fontId="1" type="noConversion"/>
  </si>
  <si>
    <t>여자</t>
  </si>
  <si>
    <t>SW</t>
    <phoneticPr fontId="1" type="noConversion"/>
  </si>
  <si>
    <t>추가보장</t>
    <phoneticPr fontId="1" type="noConversion"/>
  </si>
  <si>
    <t>[표3] 코드별 가입나이별 가입금액</t>
    <phoneticPr fontId="1" type="noConversion"/>
  </si>
  <si>
    <t>[표4] 나이대별 가입자수</t>
    <phoneticPr fontId="1" type="noConversion"/>
  </si>
  <si>
    <t>[표5] 코드별 나이별 평균 가입기간</t>
    <phoneticPr fontId="1" type="noConversion"/>
  </si>
  <si>
    <t>나이</t>
    <phoneticPr fontId="1" type="noConversion"/>
  </si>
  <si>
    <t>가입자수</t>
    <phoneticPr fontId="1" type="noConversion"/>
  </si>
  <si>
    <t>[표2]</t>
    <phoneticPr fontId="1" type="noConversion"/>
  </si>
  <si>
    <t>환율 미국(USD)</t>
    <phoneticPr fontId="1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</si>
  <si>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</si>
  <si>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</si>
  <si>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</si>
  <si>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</si>
  <si>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</si>
  <si>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</si>
  <si>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</si>
  <si>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</si>
  <si>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</si>
  <si>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</si>
  <si>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</si>
  <si>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</si>
  <si>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</si>
  <si>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</si>
  <si>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</si>
  <si>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</si>
  <si>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1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</si>
  <si>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</si>
  <si>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</si>
  <si>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</si>
  <si>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</si>
  <si>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</si>
  <si>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[표1]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</si>
  <si>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</si>
  <si>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</si>
  <si>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</si>
  <si>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</si>
  <si>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</si>
  <si>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</si>
  <si>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</si>
  <si>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유치</t>
  </si>
  <si>
    <t>한새미</t>
  </si>
  <si>
    <t>유</t>
  </si>
  <si>
    <t>초등</t>
  </si>
  <si>
    <t>이시환</t>
  </si>
  <si>
    <t>무</t>
  </si>
  <si>
    <t>SW</t>
    <phoneticPr fontId="1" type="noConversion"/>
  </si>
  <si>
    <t>SW</t>
    <phoneticPr fontId="1" type="noConversion"/>
  </si>
  <si>
    <t>구분</t>
    <phoneticPr fontId="1" type="noConversion"/>
  </si>
  <si>
    <t>기본요금</t>
    <phoneticPr fontId="1" type="noConversion"/>
  </si>
  <si>
    <t>유아</t>
    <phoneticPr fontId="1" type="noConversion"/>
  </si>
  <si>
    <t>유치</t>
    <phoneticPr fontId="1" type="noConversion"/>
  </si>
  <si>
    <t>초등</t>
    <phoneticPr fontId="1" type="noConversion"/>
  </si>
  <si>
    <t>[표1]</t>
    <phoneticPr fontId="1" type="noConversion"/>
  </si>
  <si>
    <t>성명</t>
  </si>
  <si>
    <t>성별</t>
  </si>
  <si>
    <t>생년월일</t>
  </si>
  <si>
    <t>연락처</t>
  </si>
  <si>
    <t>출석일수</t>
    <phoneticPr fontId="1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</si>
  <si>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</si>
  <si>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</si>
  <si>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</si>
  <si>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</si>
  <si>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</si>
  <si>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</si>
  <si>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</si>
  <si>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</si>
  <si>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</si>
  <si>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</si>
  <si>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</si>
  <si>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</si>
  <si>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</si>
  <si>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</si>
  <si>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</si>
  <si>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</si>
  <si>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</si>
  <si>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</si>
  <si>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</si>
  <si>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</si>
  <si>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</si>
  <si>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</si>
  <si>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</si>
  <si>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</si>
  <si>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</si>
  <si>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</si>
  <si>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</si>
  <si>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</si>
  <si>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</si>
  <si>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</si>
  <si>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</si>
  <si>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</si>
  <si>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</si>
  <si>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</si>
  <si>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</si>
  <si>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</si>
  <si>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</si>
  <si>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</si>
  <si>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</si>
  <si>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</si>
  <si>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</si>
  <si>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</si>
  <si>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</si>
  <si>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</si>
  <si>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</si>
  <si>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</si>
  <si>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</si>
  <si>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</t>
    <phoneticPr fontId="1" type="noConversion"/>
  </si>
  <si>
    <t>사랑반</t>
    <phoneticPr fontId="9" type="noConversion"/>
  </si>
  <si>
    <t>김영서</t>
    <phoneticPr fontId="9" type="noConversion"/>
  </si>
  <si>
    <t>이환</t>
    <phoneticPr fontId="9" type="noConversion"/>
  </si>
  <si>
    <t>김유준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</si>
  <si>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</si>
  <si>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</si>
  <si>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</si>
  <si>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화평반</t>
    <phoneticPr fontId="9" type="noConversion"/>
  </si>
  <si>
    <t>희락반</t>
    <phoneticPr fontId="9" type="noConversion"/>
  </si>
  <si>
    <t>최예진</t>
    <phoneticPr fontId="9" type="noConversion"/>
  </si>
  <si>
    <t>희락반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</si>
  <si>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</si>
  <si>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</si>
  <si>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</si>
  <si>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오래참음반</t>
    <phoneticPr fontId="9" type="noConversion"/>
  </si>
  <si>
    <t>자비반</t>
    <phoneticPr fontId="9" type="noConversion"/>
  </si>
  <si>
    <t>충성반</t>
    <phoneticPr fontId="9" type="noConversion"/>
  </si>
  <si>
    <t>한정우</t>
    <phoneticPr fontId="9" type="noConversion"/>
  </si>
  <si>
    <t>권한지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</si>
</sst>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82">
    <xf numFmtId="0" fontId="0" fillId="0" borderId="0" xfId="0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2" fillId="0" borderId="1" xfId="7" applyFont="1" applyFill="1" applyBorder="1" applyAlignment="1">
      <alignment horizontal="center" vertical="center" wrapText="1"/>
    </xf>
    <xf numFmtId="0" fontId="8" fillId="0" borderId="1" xfId="7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2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 shrinkToFit="1"/>
    </xf>
    <xf numFmtId="0" fontId="2" fillId="0" borderId="1" xfId="6" applyFont="1" applyFill="1" applyBorder="1" applyAlignment="1">
      <alignment horizontal="center" vertical="center" wrapText="1"/>
    </xf>
    <xf numFmtId="0" fontId="2" fillId="0" borderId="1" xfId="8" applyFont="1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0" fontId="8" fillId="0" borderId="0" xfId="0" applyFont="1" applyAlignment="1">
      <alignment horizontal="left" vertical="center"/>
    </xf>
    <xf numFmtId="14" fontId="8" fillId="0" borderId="0" xfId="1" applyNumberFormat="1" applyFont="1">
      <alignment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41" fontId="13" fillId="8" borderId="1" xfId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41" fontId="13" fillId="9" borderId="1" xfId="1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 wrapText="1"/>
    </xf>
    <xf numFmtId="178" fontId="14" fillId="9" borderId="1" xfId="0" applyNumberFormat="1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center" vertical="center" wrapText="1"/>
    </xf>
    <xf numFmtId="179" fontId="14" fillId="9" borderId="1" xfId="0" applyNumberFormat="1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178" fontId="14" fillId="8" borderId="1" xfId="0" applyNumberFormat="1" applyFont="1" applyFill="1" applyBorder="1" applyAlignment="1">
      <alignment horizontal="center" vertical="center" wrapText="1"/>
    </xf>
    <xf numFmtId="179" fontId="14" fillId="8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183" fontId="17" fillId="0" borderId="1" xfId="0" applyNumberFormat="1" applyFont="1" applyBorder="1" applyAlignment="1">
      <alignment horizontal="center" vertical="center" wrapText="1"/>
    </xf>
    <xf numFmtId="184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82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0" fontId="24" fillId="10" borderId="1" xfId="5" applyFont="1" applyFill="1" applyBorder="1" applyAlignment="1">
      <alignment horizontal="center" vertical="center"/>
    </xf>
    <xf numFmtId="41" fontId="24" fillId="10" borderId="1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0" fontId="0" fillId="0" borderId="1" xfId="0" applyBorder="1">
      <alignment vertical="center"/>
    </xf>
    <xf numFmtId="3" fontId="8" fillId="0" borderId="1" xfId="1" applyNumberFormat="1" applyFont="1" applyBorder="1">
      <alignment vertical="center"/>
    </xf>
    <xf numFmtId="0" fontId="25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176" fontId="13" fillId="0" borderId="1" xfId="0" applyNumberFormat="1" applyFont="1" applyFill="1" applyBorder="1" applyAlignment="1">
      <alignment horizontal="center" vertical="center" shrinkToFit="1"/>
    </xf>
    <xf numFmtId="0" fontId="0" fillId="0" borderId="1" xfId="0" applyNumberFormat="1" applyFill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 shrinkToFit="1"/>
    </xf>
    <xf numFmtId="0" fontId="14" fillId="9" borderId="4" xfId="0" applyFont="1" applyFill="1" applyBorder="1" applyAlignment="1">
      <alignment horizontal="center" vertical="center" wrapText="1"/>
    </xf>
    <xf numFmtId="0" fontId="14" fillId="9" borderId="5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8" fillId="0" borderId="0" xfId="1" applyNumberFormat="1" applyFont="1">
      <alignment vertical="center"/>
    </xf>
  </cellXfs>
  <cellStyles count="10">
    <cellStyle name="20% - 강조색1" xfId="4" builtinId="30"/>
    <cellStyle name="20% - 강조색2" xfId="6" builtinId="34"/>
    <cellStyle name="20% - 강조색3" xfId="7" builtinId="38"/>
    <cellStyle name="20% - 강조색4" xfId="8" builtinId="42"/>
    <cellStyle name="60% - 강조색1" xfId="5" builtinId="32"/>
    <cellStyle name="쉼표 [0]" xfId="1" builtinId="6"/>
    <cellStyle name="제목" xfId="2" builtinId="15"/>
    <cellStyle name="좋음" xfId="3" builtinId="26"/>
    <cellStyle name="표준" xfId="0" builtinId="0"/>
    <cellStyle name="표준 2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'기타작업-1'!$B$6:$B$10</c:f>
              <c:numCache>
                <c:formatCode>mm"월"\ dd"일"</c:formatCode>
                <c:ptCount val="5"/>
                <c:pt idx="0">
                  <c:v>45003</c:v>
                </c:pt>
                <c:pt idx="1">
                  <c:v>45002</c:v>
                </c:pt>
                <c:pt idx="2">
                  <c:v>45001</c:v>
                </c:pt>
                <c:pt idx="3">
                  <c:v>45000</c:v>
                </c:pt>
                <c:pt idx="4">
                  <c:v>44999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8-448F-9AD5-F54BC8886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048864"/>
        <c:axId val="2026055936"/>
      </c:lineChart>
      <c:dateAx>
        <c:axId val="20260488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55936"/>
        <c:crosses val="autoZero"/>
        <c:auto val="1"/>
        <c:lblOffset val="100"/>
        <c:baseTimeUnit val="days"/>
      </c:dateAx>
      <c:valAx>
        <c:axId val="202605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4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463550</xdr:colOff>
          <xdr:row>3</xdr:row>
          <xdr:rowOff>57150</xdr:rowOff>
        </xdr:to>
        <xdr:sp macro="" textlink="">
          <xdr:nvSpPr>
            <xdr:cNvPr id="7169" name="cmd등록작업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T32"/>
  <sheetViews>
    <sheetView tabSelected="1" workbookViewId="0"/>
  </sheetViews>
  <sheetFormatPr defaultRowHeight="17"/>
  <cols>
    <col min="1" max="1" width="2.58203125" customWidth="1"/>
    <col min="3" max="3" width="10.08203125" customWidth="1"/>
    <col min="4" max="4" width="9.75" customWidth="1"/>
    <col min="5" max="19" width="5.8320312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44258</v>
      </c>
      <c r="F3" s="3">
        <v>44265</v>
      </c>
      <c r="G3" s="3">
        <v>44272</v>
      </c>
      <c r="H3" s="3">
        <v>44279</v>
      </c>
      <c r="I3" s="3">
        <v>44286</v>
      </c>
      <c r="J3" s="3">
        <v>44293</v>
      </c>
      <c r="K3" s="3">
        <v>44300</v>
      </c>
      <c r="L3" s="3">
        <v>44307</v>
      </c>
      <c r="M3" s="3">
        <v>44314</v>
      </c>
      <c r="N3" s="3">
        <v>44321</v>
      </c>
      <c r="O3" s="3">
        <v>44328</v>
      </c>
      <c r="P3" s="3">
        <v>44335</v>
      </c>
      <c r="Q3" s="3">
        <v>44342</v>
      </c>
      <c r="R3" s="3">
        <v>44349</v>
      </c>
      <c r="S3" s="3">
        <v>44356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</row>
    <row r="5" spans="2:20">
      <c r="B5" s="9">
        <v>1</v>
      </c>
      <c r="C5" s="10" t="s">
        <v>4</v>
      </c>
      <c r="D5" s="11" t="s">
        <v>9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8">
        <f t="shared" si="0"/>
        <v>13</v>
      </c>
    </row>
    <row r="6" spans="2:20">
      <c r="B6" s="5">
        <v>1</v>
      </c>
      <c r="C6" s="6" t="s">
        <v>4</v>
      </c>
      <c r="D6" s="5" t="s">
        <v>10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8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8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8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8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8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16" t="s">
        <v>6</v>
      </c>
      <c r="F11" s="16" t="s">
        <v>6</v>
      </c>
      <c r="G11" s="16" t="s">
        <v>6</v>
      </c>
      <c r="H11" s="16" t="s">
        <v>6</v>
      </c>
      <c r="I11" s="16" t="s">
        <v>6</v>
      </c>
      <c r="J11" s="16" t="s">
        <v>6</v>
      </c>
      <c r="K11" s="16" t="s">
        <v>6</v>
      </c>
      <c r="L11" s="16" t="s">
        <v>6</v>
      </c>
      <c r="M11" s="16" t="s">
        <v>6</v>
      </c>
      <c r="N11" s="16" t="s">
        <v>6</v>
      </c>
      <c r="O11" s="16" t="s">
        <v>6</v>
      </c>
      <c r="P11" s="16" t="s">
        <v>6</v>
      </c>
      <c r="Q11" s="16" t="s">
        <v>6</v>
      </c>
      <c r="R11" s="16" t="s">
        <v>6</v>
      </c>
      <c r="S11" s="16" t="s">
        <v>6</v>
      </c>
      <c r="T11" s="8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16" t="s">
        <v>6</v>
      </c>
      <c r="F12" s="16" t="s">
        <v>6</v>
      </c>
      <c r="G12" s="16" t="s">
        <v>6</v>
      </c>
      <c r="H12" s="16" t="s">
        <v>6</v>
      </c>
      <c r="I12" s="16" t="s">
        <v>6</v>
      </c>
      <c r="J12" s="16" t="s">
        <v>6</v>
      </c>
      <c r="K12" s="16" t="s">
        <v>6</v>
      </c>
      <c r="L12" s="16" t="s">
        <v>6</v>
      </c>
      <c r="M12" s="16" t="s">
        <v>6</v>
      </c>
      <c r="N12" s="16" t="s">
        <v>6</v>
      </c>
      <c r="O12" s="16" t="s">
        <v>6</v>
      </c>
      <c r="P12" s="16" t="s">
        <v>6</v>
      </c>
      <c r="Q12" s="16" t="s">
        <v>6</v>
      </c>
      <c r="R12" s="16" t="s">
        <v>6</v>
      </c>
      <c r="S12" s="16" t="s">
        <v>6</v>
      </c>
      <c r="T12" s="8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16" t="s">
        <v>6</v>
      </c>
      <c r="F13" s="16" t="s">
        <v>6</v>
      </c>
      <c r="G13" s="16" t="s">
        <v>6</v>
      </c>
      <c r="H13" s="16"/>
      <c r="I13" s="16" t="s">
        <v>6</v>
      </c>
      <c r="J13" s="16"/>
      <c r="K13" s="16"/>
      <c r="L13" s="16"/>
      <c r="M13" s="16" t="s">
        <v>6</v>
      </c>
      <c r="N13" s="16"/>
      <c r="O13" s="16" t="s">
        <v>6</v>
      </c>
      <c r="P13" s="16" t="s">
        <v>6</v>
      </c>
      <c r="Q13" s="16" t="s">
        <v>6</v>
      </c>
      <c r="R13" s="16" t="s">
        <v>6</v>
      </c>
      <c r="S13" s="16" t="s">
        <v>6</v>
      </c>
      <c r="T13" s="8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8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8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8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8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8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8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8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8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8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8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8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8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8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8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8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8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8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8">
        <f t="shared" si="0"/>
        <v>10</v>
      </c>
    </row>
    <row r="32" spans="2:20">
      <c r="T32" s="2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T32"/>
  <sheetViews>
    <sheetView workbookViewId="0"/>
  </sheetViews>
  <sheetFormatPr defaultRowHeight="17"/>
  <cols>
    <col min="1" max="1" width="2.58203125" customWidth="1"/>
    <col min="3" max="3" width="10.08203125" customWidth="1"/>
    <col min="4" max="4" width="9.75" customWidth="1"/>
    <col min="5" max="19" width="5.8320312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44258</v>
      </c>
      <c r="F3" s="3">
        <v>44265</v>
      </c>
      <c r="G3" s="3">
        <v>44272</v>
      </c>
      <c r="H3" s="3">
        <v>44279</v>
      </c>
      <c r="I3" s="3">
        <v>44286</v>
      </c>
      <c r="J3" s="3">
        <v>44293</v>
      </c>
      <c r="K3" s="3">
        <v>44300</v>
      </c>
      <c r="L3" s="3">
        <v>44307</v>
      </c>
      <c r="M3" s="3">
        <v>44314</v>
      </c>
      <c r="N3" s="3">
        <v>44321</v>
      </c>
      <c r="O3" s="3">
        <v>44328</v>
      </c>
      <c r="P3" s="3">
        <v>44335</v>
      </c>
      <c r="Q3" s="3">
        <v>44342</v>
      </c>
      <c r="R3" s="3">
        <v>44349</v>
      </c>
      <c r="S3" s="3">
        <v>44356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" t="s">
        <v>6</v>
      </c>
      <c r="F4" s="7" t="s">
        <v>7</v>
      </c>
      <c r="G4" s="7" t="s">
        <v>7</v>
      </c>
      <c r="H4" s="7" t="s">
        <v>7</v>
      </c>
      <c r="I4" s="7" t="s">
        <v>7</v>
      </c>
      <c r="J4" s="7" t="s">
        <v>7</v>
      </c>
      <c r="K4" s="7" t="s">
        <v>7</v>
      </c>
      <c r="L4" s="7" t="s">
        <v>6</v>
      </c>
      <c r="M4" s="7" t="s">
        <v>7</v>
      </c>
      <c r="N4" s="7" t="s">
        <v>7</v>
      </c>
      <c r="O4" s="7" t="s">
        <v>7</v>
      </c>
      <c r="P4" s="7" t="s">
        <v>7</v>
      </c>
      <c r="Q4" s="7" t="s">
        <v>7</v>
      </c>
      <c r="R4" s="7" t="s">
        <v>7</v>
      </c>
      <c r="S4" s="7" t="s">
        <v>7</v>
      </c>
      <c r="T4" s="8">
        <f t="shared" ref="T4:T31" si="0">COUNTA(E4:S4)</f>
        <v>15</v>
      </c>
    </row>
    <row r="5" spans="2:20">
      <c r="B5" s="9">
        <v>1</v>
      </c>
      <c r="C5" s="10" t="s">
        <v>8</v>
      </c>
      <c r="D5" s="11" t="s">
        <v>9</v>
      </c>
      <c r="E5" s="7" t="s">
        <v>7</v>
      </c>
      <c r="F5" s="7" t="s">
        <v>7</v>
      </c>
      <c r="G5" s="7"/>
      <c r="H5" s="7" t="s">
        <v>7</v>
      </c>
      <c r="I5" s="7" t="s">
        <v>7</v>
      </c>
      <c r="J5" s="7" t="s">
        <v>7</v>
      </c>
      <c r="K5" s="7" t="s">
        <v>7</v>
      </c>
      <c r="L5" s="7" t="s">
        <v>7</v>
      </c>
      <c r="M5" s="7"/>
      <c r="N5" s="7" t="s">
        <v>7</v>
      </c>
      <c r="O5" s="7" t="s">
        <v>7</v>
      </c>
      <c r="P5" s="7" t="s">
        <v>7</v>
      </c>
      <c r="Q5" s="7" t="s">
        <v>7</v>
      </c>
      <c r="R5" s="7" t="s">
        <v>7</v>
      </c>
      <c r="S5" s="7" t="s">
        <v>7</v>
      </c>
      <c r="T5" s="8">
        <f t="shared" si="0"/>
        <v>13</v>
      </c>
    </row>
    <row r="6" spans="2:20">
      <c r="B6" s="5">
        <v>1</v>
      </c>
      <c r="C6" s="6" t="s">
        <v>8</v>
      </c>
      <c r="D6" s="5" t="s">
        <v>10</v>
      </c>
      <c r="E6" s="7"/>
      <c r="F6" s="7" t="s">
        <v>7</v>
      </c>
      <c r="G6" s="7" t="s">
        <v>7</v>
      </c>
      <c r="H6" s="7" t="s">
        <v>7</v>
      </c>
      <c r="I6" s="7" t="s">
        <v>7</v>
      </c>
      <c r="J6" s="7" t="s">
        <v>7</v>
      </c>
      <c r="K6" s="7" t="s">
        <v>7</v>
      </c>
      <c r="L6" s="7" t="s">
        <v>7</v>
      </c>
      <c r="M6" s="7" t="s">
        <v>7</v>
      </c>
      <c r="N6" s="7" t="s">
        <v>7</v>
      </c>
      <c r="O6" s="7"/>
      <c r="P6" s="7" t="s">
        <v>7</v>
      </c>
      <c r="Q6" s="7" t="s">
        <v>7</v>
      </c>
      <c r="R6" s="7"/>
      <c r="S6" s="7" t="s">
        <v>7</v>
      </c>
      <c r="T6" s="8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" t="s">
        <v>7</v>
      </c>
      <c r="F7" s="7" t="s">
        <v>7</v>
      </c>
      <c r="G7" s="7" t="s">
        <v>7</v>
      </c>
      <c r="H7" s="7" t="s">
        <v>7</v>
      </c>
      <c r="I7" s="7" t="s">
        <v>7</v>
      </c>
      <c r="J7" s="7" t="s">
        <v>7</v>
      </c>
      <c r="K7" s="7" t="s">
        <v>7</v>
      </c>
      <c r="L7" s="7" t="s">
        <v>7</v>
      </c>
      <c r="M7" s="7" t="s">
        <v>7</v>
      </c>
      <c r="N7" s="7" t="s">
        <v>7</v>
      </c>
      <c r="O7" s="7" t="s">
        <v>7</v>
      </c>
      <c r="P7" s="7" t="s">
        <v>7</v>
      </c>
      <c r="Q7" s="7" t="s">
        <v>7</v>
      </c>
      <c r="R7" s="7" t="s">
        <v>7</v>
      </c>
      <c r="S7" s="7" t="s">
        <v>7</v>
      </c>
      <c r="T7" s="8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"/>
      <c r="F8" s="7" t="s">
        <v>7</v>
      </c>
      <c r="G8" s="7" t="s">
        <v>7</v>
      </c>
      <c r="H8" s="7" t="s">
        <v>7</v>
      </c>
      <c r="I8" s="7" t="s">
        <v>7</v>
      </c>
      <c r="J8" s="7" t="s">
        <v>7</v>
      </c>
      <c r="K8" s="7" t="s">
        <v>7</v>
      </c>
      <c r="L8" s="7" t="s">
        <v>7</v>
      </c>
      <c r="M8" s="7" t="s">
        <v>7</v>
      </c>
      <c r="N8" s="7" t="s">
        <v>7</v>
      </c>
      <c r="O8" s="7" t="s">
        <v>7</v>
      </c>
      <c r="P8" s="7" t="s">
        <v>7</v>
      </c>
      <c r="Q8" s="7" t="s">
        <v>7</v>
      </c>
      <c r="R8" s="7" t="s">
        <v>7</v>
      </c>
      <c r="S8" s="7" t="s">
        <v>7</v>
      </c>
      <c r="T8" s="8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" t="s">
        <v>7</v>
      </c>
      <c r="F9" s="7" t="s">
        <v>7</v>
      </c>
      <c r="G9" s="7" t="s">
        <v>7</v>
      </c>
      <c r="H9" s="7" t="s">
        <v>7</v>
      </c>
      <c r="I9" s="7" t="s">
        <v>7</v>
      </c>
      <c r="J9" s="7" t="s">
        <v>7</v>
      </c>
      <c r="K9" s="7"/>
      <c r="L9" s="7"/>
      <c r="M9" s="7" t="s">
        <v>7</v>
      </c>
      <c r="N9" s="7" t="s">
        <v>7</v>
      </c>
      <c r="O9" s="7" t="s">
        <v>7</v>
      </c>
      <c r="P9" s="7" t="s">
        <v>7</v>
      </c>
      <c r="Q9" s="7" t="s">
        <v>7</v>
      </c>
      <c r="R9" s="7" t="s">
        <v>7</v>
      </c>
      <c r="S9" s="7" t="s">
        <v>7</v>
      </c>
      <c r="T9" s="8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"/>
      <c r="F10" s="7" t="s">
        <v>7</v>
      </c>
      <c r="G10" s="7" t="s">
        <v>7</v>
      </c>
      <c r="H10" s="7" t="s">
        <v>7</v>
      </c>
      <c r="I10" s="7"/>
      <c r="J10" s="7" t="s">
        <v>7</v>
      </c>
      <c r="K10" s="7" t="s">
        <v>7</v>
      </c>
      <c r="L10" s="7" t="s">
        <v>7</v>
      </c>
      <c r="M10" s="7" t="s">
        <v>7</v>
      </c>
      <c r="N10" s="7" t="s">
        <v>7</v>
      </c>
      <c r="O10" s="7"/>
      <c r="P10" s="7" t="s">
        <v>7</v>
      </c>
      <c r="Q10" s="7" t="s">
        <v>7</v>
      </c>
      <c r="R10" s="7"/>
      <c r="S10" s="7" t="s">
        <v>7</v>
      </c>
      <c r="T10" s="8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16" t="s">
        <v>7</v>
      </c>
      <c r="F11" s="16" t="s">
        <v>7</v>
      </c>
      <c r="G11" s="16" t="s">
        <v>7</v>
      </c>
      <c r="H11" s="16" t="s">
        <v>7</v>
      </c>
      <c r="I11" s="16" t="s">
        <v>7</v>
      </c>
      <c r="J11" s="16" t="s">
        <v>7</v>
      </c>
      <c r="K11" s="16" t="s">
        <v>7</v>
      </c>
      <c r="L11" s="16" t="s">
        <v>7</v>
      </c>
      <c r="M11" s="16" t="s">
        <v>7</v>
      </c>
      <c r="N11" s="16" t="s">
        <v>7</v>
      </c>
      <c r="O11" s="16" t="s">
        <v>7</v>
      </c>
      <c r="P11" s="16" t="s">
        <v>7</v>
      </c>
      <c r="Q11" s="16" t="s">
        <v>7</v>
      </c>
      <c r="R11" s="16" t="s">
        <v>7</v>
      </c>
      <c r="S11" s="16" t="s">
        <v>7</v>
      </c>
      <c r="T11" s="8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16" t="s">
        <v>7</v>
      </c>
      <c r="F12" s="16" t="s">
        <v>7</v>
      </c>
      <c r="G12" s="16" t="s">
        <v>7</v>
      </c>
      <c r="H12" s="16" t="s">
        <v>7</v>
      </c>
      <c r="I12" s="16" t="s">
        <v>7</v>
      </c>
      <c r="J12" s="16" t="s">
        <v>7</v>
      </c>
      <c r="K12" s="16" t="s">
        <v>7</v>
      </c>
      <c r="L12" s="16" t="s">
        <v>7</v>
      </c>
      <c r="M12" s="16" t="s">
        <v>7</v>
      </c>
      <c r="N12" s="16" t="s">
        <v>7</v>
      </c>
      <c r="O12" s="16" t="s">
        <v>7</v>
      </c>
      <c r="P12" s="16" t="s">
        <v>7</v>
      </c>
      <c r="Q12" s="16" t="s">
        <v>7</v>
      </c>
      <c r="R12" s="16" t="s">
        <v>7</v>
      </c>
      <c r="S12" s="16" t="s">
        <v>7</v>
      </c>
      <c r="T12" s="8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16" t="s">
        <v>7</v>
      </c>
      <c r="F13" s="16" t="s">
        <v>7</v>
      </c>
      <c r="G13" s="16" t="s">
        <v>7</v>
      </c>
      <c r="H13" s="16"/>
      <c r="I13" s="16" t="s">
        <v>7</v>
      </c>
      <c r="J13" s="16"/>
      <c r="K13" s="16"/>
      <c r="L13" s="16"/>
      <c r="M13" s="16" t="s">
        <v>7</v>
      </c>
      <c r="N13" s="16"/>
      <c r="O13" s="16" t="s">
        <v>7</v>
      </c>
      <c r="P13" s="16" t="s">
        <v>7</v>
      </c>
      <c r="Q13" s="16" t="s">
        <v>7</v>
      </c>
      <c r="R13" s="16" t="s">
        <v>7</v>
      </c>
      <c r="S13" s="16" t="s">
        <v>7</v>
      </c>
      <c r="T13" s="8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" t="s">
        <v>7</v>
      </c>
      <c r="F14" s="7" t="s">
        <v>7</v>
      </c>
      <c r="G14" s="7" t="s">
        <v>7</v>
      </c>
      <c r="H14" s="7" t="s">
        <v>7</v>
      </c>
      <c r="I14" s="7" t="s">
        <v>7</v>
      </c>
      <c r="J14" s="7" t="s">
        <v>7</v>
      </c>
      <c r="K14" s="7" t="s">
        <v>7</v>
      </c>
      <c r="L14" s="7" t="s">
        <v>7</v>
      </c>
      <c r="M14" s="7" t="s">
        <v>7</v>
      </c>
      <c r="N14" s="7" t="s">
        <v>7</v>
      </c>
      <c r="O14" s="7" t="s">
        <v>7</v>
      </c>
      <c r="P14" s="7" t="s">
        <v>7</v>
      </c>
      <c r="Q14" s="7" t="s">
        <v>7</v>
      </c>
      <c r="R14" s="7" t="s">
        <v>7</v>
      </c>
      <c r="S14" s="7" t="s">
        <v>7</v>
      </c>
      <c r="T14" s="8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" t="s">
        <v>7</v>
      </c>
      <c r="F15" s="7" t="s">
        <v>7</v>
      </c>
      <c r="G15" s="7" t="s">
        <v>7</v>
      </c>
      <c r="H15" s="7" t="s">
        <v>7</v>
      </c>
      <c r="I15" s="7" t="s">
        <v>7</v>
      </c>
      <c r="J15" s="7"/>
      <c r="K15" s="7" t="s">
        <v>7</v>
      </c>
      <c r="L15" s="7" t="s">
        <v>7</v>
      </c>
      <c r="M15" s="7" t="s">
        <v>7</v>
      </c>
      <c r="N15" s="7" t="s">
        <v>7</v>
      </c>
      <c r="O15" s="7" t="s">
        <v>7</v>
      </c>
      <c r="P15" s="7" t="s">
        <v>7</v>
      </c>
      <c r="Q15" s="7" t="s">
        <v>7</v>
      </c>
      <c r="R15" s="7" t="s">
        <v>7</v>
      </c>
      <c r="S15" s="7"/>
      <c r="T15" s="8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" t="s">
        <v>7</v>
      </c>
      <c r="F16" s="7" t="s">
        <v>7</v>
      </c>
      <c r="G16" s="7" t="s">
        <v>7</v>
      </c>
      <c r="H16" s="7" t="s">
        <v>7</v>
      </c>
      <c r="I16" s="7" t="s">
        <v>7</v>
      </c>
      <c r="J16" s="7" t="s">
        <v>7</v>
      </c>
      <c r="K16" s="7" t="s">
        <v>7</v>
      </c>
      <c r="L16" s="7" t="s">
        <v>7</v>
      </c>
      <c r="M16" s="7" t="s">
        <v>7</v>
      </c>
      <c r="N16" s="7" t="s">
        <v>7</v>
      </c>
      <c r="O16" s="7" t="s">
        <v>7</v>
      </c>
      <c r="P16" s="7" t="s">
        <v>7</v>
      </c>
      <c r="Q16" s="7" t="s">
        <v>7</v>
      </c>
      <c r="R16" s="7" t="s">
        <v>7</v>
      </c>
      <c r="S16" s="7" t="s">
        <v>7</v>
      </c>
      <c r="T16" s="8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" t="s">
        <v>7</v>
      </c>
      <c r="F17" s="7" t="s">
        <v>7</v>
      </c>
      <c r="G17" s="7" t="s">
        <v>7</v>
      </c>
      <c r="H17" s="7" t="s">
        <v>7</v>
      </c>
      <c r="I17" s="7" t="s">
        <v>7</v>
      </c>
      <c r="J17" s="7" t="s">
        <v>7</v>
      </c>
      <c r="K17" s="7" t="s">
        <v>7</v>
      </c>
      <c r="L17" s="7" t="s">
        <v>7</v>
      </c>
      <c r="M17" s="7"/>
      <c r="N17" s="7" t="s">
        <v>7</v>
      </c>
      <c r="O17" s="7" t="s">
        <v>7</v>
      </c>
      <c r="P17" s="7" t="s">
        <v>7</v>
      </c>
      <c r="Q17" s="7" t="s">
        <v>7</v>
      </c>
      <c r="R17" s="7" t="s">
        <v>7</v>
      </c>
      <c r="S17" s="7" t="s">
        <v>7</v>
      </c>
      <c r="T17" s="8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7</v>
      </c>
      <c r="F18" s="7" t="s">
        <v>7</v>
      </c>
      <c r="G18" s="7" t="s">
        <v>7</v>
      </c>
      <c r="H18" s="7" t="s">
        <v>7</v>
      </c>
      <c r="I18" s="7" t="s">
        <v>7</v>
      </c>
      <c r="J18" s="7" t="s">
        <v>7</v>
      </c>
      <c r="K18" s="7" t="s">
        <v>7</v>
      </c>
      <c r="L18" s="7" t="s">
        <v>7</v>
      </c>
      <c r="M18" s="7" t="s">
        <v>7</v>
      </c>
      <c r="N18" s="7" t="s">
        <v>7</v>
      </c>
      <c r="O18" s="7" t="s">
        <v>7</v>
      </c>
      <c r="P18" s="7"/>
      <c r="Q18" s="7" t="s">
        <v>7</v>
      </c>
      <c r="R18" s="7" t="s">
        <v>7</v>
      </c>
      <c r="S18" s="7"/>
      <c r="T18" s="8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7</v>
      </c>
      <c r="F19" s="7" t="s">
        <v>7</v>
      </c>
      <c r="G19" s="7" t="s">
        <v>7</v>
      </c>
      <c r="H19" s="7" t="s">
        <v>7</v>
      </c>
      <c r="I19" s="7" t="s">
        <v>7</v>
      </c>
      <c r="J19" s="7"/>
      <c r="K19" s="7" t="s">
        <v>7</v>
      </c>
      <c r="L19" s="7" t="s">
        <v>7</v>
      </c>
      <c r="M19" s="7"/>
      <c r="N19" s="7" t="s">
        <v>7</v>
      </c>
      <c r="O19" s="7" t="s">
        <v>7</v>
      </c>
      <c r="P19" s="7" t="s">
        <v>7</v>
      </c>
      <c r="Q19" s="7" t="s">
        <v>7</v>
      </c>
      <c r="R19" s="7" t="s">
        <v>7</v>
      </c>
      <c r="S19" s="7"/>
      <c r="T19" s="8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7</v>
      </c>
      <c r="F20" s="7" t="s">
        <v>7</v>
      </c>
      <c r="G20" s="7" t="s">
        <v>7</v>
      </c>
      <c r="H20" s="7" t="s">
        <v>7</v>
      </c>
      <c r="I20" s="7" t="s">
        <v>7</v>
      </c>
      <c r="J20" s="7" t="s">
        <v>7</v>
      </c>
      <c r="K20" s="7" t="s">
        <v>7</v>
      </c>
      <c r="L20" s="7" t="s">
        <v>7</v>
      </c>
      <c r="M20" s="7" t="s">
        <v>7</v>
      </c>
      <c r="N20" s="7" t="s">
        <v>7</v>
      </c>
      <c r="O20" s="7" t="s">
        <v>7</v>
      </c>
      <c r="P20" s="7" t="s">
        <v>7</v>
      </c>
      <c r="Q20" s="7" t="s">
        <v>7</v>
      </c>
      <c r="R20" s="7" t="s">
        <v>7</v>
      </c>
      <c r="S20" s="7" t="s">
        <v>7</v>
      </c>
      <c r="T20" s="8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7</v>
      </c>
      <c r="F21" s="7" t="s">
        <v>7</v>
      </c>
      <c r="G21" s="7" t="s">
        <v>7</v>
      </c>
      <c r="H21" s="7" t="s">
        <v>7</v>
      </c>
      <c r="I21" s="7" t="s">
        <v>7</v>
      </c>
      <c r="J21" s="7" t="s">
        <v>7</v>
      </c>
      <c r="K21" s="7" t="s">
        <v>7</v>
      </c>
      <c r="L21" s="7" t="s">
        <v>7</v>
      </c>
      <c r="M21" s="7" t="s">
        <v>7</v>
      </c>
      <c r="N21" s="7" t="s">
        <v>7</v>
      </c>
      <c r="O21" s="7" t="s">
        <v>7</v>
      </c>
      <c r="P21" s="7" t="s">
        <v>7</v>
      </c>
      <c r="Q21" s="7" t="s">
        <v>7</v>
      </c>
      <c r="R21" s="7" t="s">
        <v>7</v>
      </c>
      <c r="S21" s="7" t="s">
        <v>7</v>
      </c>
      <c r="T21" s="8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7</v>
      </c>
      <c r="F22" s="7"/>
      <c r="G22" s="7" t="s">
        <v>7</v>
      </c>
      <c r="H22" s="7" t="s">
        <v>7</v>
      </c>
      <c r="I22" s="7" t="s">
        <v>7</v>
      </c>
      <c r="J22" s="7" t="s">
        <v>7</v>
      </c>
      <c r="K22" s="7" t="s">
        <v>7</v>
      </c>
      <c r="L22" s="7" t="s">
        <v>7</v>
      </c>
      <c r="M22" s="7" t="s">
        <v>7</v>
      </c>
      <c r="N22" s="7" t="s">
        <v>7</v>
      </c>
      <c r="O22" s="7" t="s">
        <v>7</v>
      </c>
      <c r="P22" s="7" t="s">
        <v>7</v>
      </c>
      <c r="Q22" s="7" t="s">
        <v>7</v>
      </c>
      <c r="R22" s="7" t="s">
        <v>7</v>
      </c>
      <c r="S22" s="7" t="s">
        <v>7</v>
      </c>
      <c r="T22" s="8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7</v>
      </c>
      <c r="F23" s="7" t="s">
        <v>7</v>
      </c>
      <c r="G23" s="7"/>
      <c r="H23" s="7" t="s">
        <v>7</v>
      </c>
      <c r="I23" s="7"/>
      <c r="J23" s="7"/>
      <c r="K23" s="7" t="s">
        <v>7</v>
      </c>
      <c r="L23" s="7" t="s">
        <v>7</v>
      </c>
      <c r="M23" s="7" t="s">
        <v>7</v>
      </c>
      <c r="N23" s="7" t="s">
        <v>7</v>
      </c>
      <c r="O23" s="7" t="s">
        <v>7</v>
      </c>
      <c r="P23" s="7" t="s">
        <v>7</v>
      </c>
      <c r="Q23" s="7" t="s">
        <v>7</v>
      </c>
      <c r="R23" s="7" t="s">
        <v>7</v>
      </c>
      <c r="S23" s="7" t="s">
        <v>7</v>
      </c>
      <c r="T23" s="8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7</v>
      </c>
      <c r="G24" s="7" t="s">
        <v>7</v>
      </c>
      <c r="H24" s="7"/>
      <c r="I24" s="7" t="s">
        <v>7</v>
      </c>
      <c r="J24" s="7"/>
      <c r="K24" s="7" t="s">
        <v>7</v>
      </c>
      <c r="L24" s="7"/>
      <c r="M24" s="7"/>
      <c r="N24" s="7"/>
      <c r="O24" s="7" t="s">
        <v>7</v>
      </c>
      <c r="P24" s="7" t="s">
        <v>7</v>
      </c>
      <c r="Q24" s="7" t="s">
        <v>7</v>
      </c>
      <c r="R24" s="7" t="s">
        <v>7</v>
      </c>
      <c r="S24" s="7" t="s">
        <v>7</v>
      </c>
      <c r="T24" s="8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7</v>
      </c>
      <c r="F25" s="7" t="s">
        <v>7</v>
      </c>
      <c r="G25" s="7" t="s">
        <v>7</v>
      </c>
      <c r="H25" s="7" t="s">
        <v>7</v>
      </c>
      <c r="I25" s="7" t="s">
        <v>7</v>
      </c>
      <c r="J25" s="7" t="s">
        <v>7</v>
      </c>
      <c r="K25" s="7" t="s">
        <v>7</v>
      </c>
      <c r="L25" s="7" t="s">
        <v>7</v>
      </c>
      <c r="M25" s="7" t="s">
        <v>7</v>
      </c>
      <c r="N25" s="7" t="s">
        <v>7</v>
      </c>
      <c r="O25" s="7" t="s">
        <v>7</v>
      </c>
      <c r="P25" s="7" t="s">
        <v>7</v>
      </c>
      <c r="Q25" s="7" t="s">
        <v>7</v>
      </c>
      <c r="R25" s="7" t="s">
        <v>7</v>
      </c>
      <c r="S25" s="7" t="s">
        <v>7</v>
      </c>
      <c r="T25" s="8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7</v>
      </c>
      <c r="F26" s="7" t="s">
        <v>7</v>
      </c>
      <c r="G26" s="7" t="s">
        <v>7</v>
      </c>
      <c r="H26" s="7" t="s">
        <v>7</v>
      </c>
      <c r="I26" s="7" t="s">
        <v>7</v>
      </c>
      <c r="J26" s="7" t="s">
        <v>7</v>
      </c>
      <c r="K26" s="7" t="s">
        <v>7</v>
      </c>
      <c r="L26" s="7" t="s">
        <v>7</v>
      </c>
      <c r="M26" s="7" t="s">
        <v>7</v>
      </c>
      <c r="N26" s="7" t="s">
        <v>7</v>
      </c>
      <c r="O26" s="7" t="s">
        <v>7</v>
      </c>
      <c r="P26" s="7" t="s">
        <v>7</v>
      </c>
      <c r="Q26" s="7" t="s">
        <v>7</v>
      </c>
      <c r="R26" s="7" t="s">
        <v>7</v>
      </c>
      <c r="S26" s="7" t="s">
        <v>7</v>
      </c>
      <c r="T26" s="8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7</v>
      </c>
      <c r="F27" s="7" t="s">
        <v>7</v>
      </c>
      <c r="G27" s="7" t="s">
        <v>7</v>
      </c>
      <c r="H27" s="7" t="s">
        <v>7</v>
      </c>
      <c r="I27" s="7" t="s">
        <v>7</v>
      </c>
      <c r="J27" s="7" t="s">
        <v>7</v>
      </c>
      <c r="K27" s="7" t="s">
        <v>7</v>
      </c>
      <c r="L27" s="7" t="s">
        <v>7</v>
      </c>
      <c r="M27" s="7" t="s">
        <v>7</v>
      </c>
      <c r="N27" s="7" t="s">
        <v>7</v>
      </c>
      <c r="O27" s="7" t="s">
        <v>7</v>
      </c>
      <c r="P27" s="7" t="s">
        <v>7</v>
      </c>
      <c r="Q27" s="7" t="s">
        <v>7</v>
      </c>
      <c r="R27" s="7" t="s">
        <v>7</v>
      </c>
      <c r="S27" s="7" t="s">
        <v>7</v>
      </c>
      <c r="T27" s="8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7</v>
      </c>
      <c r="F28" s="7" t="s">
        <v>7</v>
      </c>
      <c r="G28" s="7" t="s">
        <v>7</v>
      </c>
      <c r="H28" s="7" t="s">
        <v>7</v>
      </c>
      <c r="I28" s="7" t="s">
        <v>7</v>
      </c>
      <c r="J28" s="7"/>
      <c r="K28" s="7" t="s">
        <v>7</v>
      </c>
      <c r="L28" s="7" t="s">
        <v>7</v>
      </c>
      <c r="M28" s="7" t="s">
        <v>7</v>
      </c>
      <c r="N28" s="7" t="s">
        <v>7</v>
      </c>
      <c r="O28" s="7" t="s">
        <v>7</v>
      </c>
      <c r="P28" s="7" t="s">
        <v>7</v>
      </c>
      <c r="Q28" s="7" t="s">
        <v>7</v>
      </c>
      <c r="R28" s="7" t="s">
        <v>7</v>
      </c>
      <c r="S28" s="7" t="s">
        <v>7</v>
      </c>
      <c r="T28" s="8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7</v>
      </c>
      <c r="G29" s="7" t="s">
        <v>7</v>
      </c>
      <c r="H29" s="7" t="s">
        <v>7</v>
      </c>
      <c r="I29" s="7"/>
      <c r="J29" s="7" t="s">
        <v>7</v>
      </c>
      <c r="K29" s="7" t="s">
        <v>7</v>
      </c>
      <c r="L29" s="7" t="s">
        <v>7</v>
      </c>
      <c r="M29" s="7" t="s">
        <v>7</v>
      </c>
      <c r="N29" s="7" t="s">
        <v>7</v>
      </c>
      <c r="O29" s="7" t="s">
        <v>7</v>
      </c>
      <c r="P29" s="7" t="s">
        <v>7</v>
      </c>
      <c r="Q29" s="7" t="s">
        <v>7</v>
      </c>
      <c r="R29" s="7" t="s">
        <v>7</v>
      </c>
      <c r="S29" s="7" t="s">
        <v>7</v>
      </c>
      <c r="T29" s="8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7</v>
      </c>
      <c r="H30" s="7" t="s">
        <v>7</v>
      </c>
      <c r="I30" s="7" t="s">
        <v>7</v>
      </c>
      <c r="J30" s="7" t="s">
        <v>7</v>
      </c>
      <c r="K30" s="7" t="s">
        <v>7</v>
      </c>
      <c r="L30" s="7" t="s">
        <v>7</v>
      </c>
      <c r="M30" s="7" t="s">
        <v>7</v>
      </c>
      <c r="N30" s="7" t="s">
        <v>7</v>
      </c>
      <c r="O30" s="7" t="s">
        <v>7</v>
      </c>
      <c r="P30" s="7" t="s">
        <v>7</v>
      </c>
      <c r="Q30" s="7" t="s">
        <v>7</v>
      </c>
      <c r="R30" s="7" t="s">
        <v>7</v>
      </c>
      <c r="S30" s="7" t="s">
        <v>7</v>
      </c>
      <c r="T30" s="8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7</v>
      </c>
      <c r="F31" s="7" t="s">
        <v>7</v>
      </c>
      <c r="G31" s="7" t="s">
        <v>7</v>
      </c>
      <c r="H31" s="7" t="s">
        <v>7</v>
      </c>
      <c r="I31" s="7"/>
      <c r="J31" s="7" t="s">
        <v>7</v>
      </c>
      <c r="K31" s="7" t="s">
        <v>7</v>
      </c>
      <c r="L31" s="7" t="s">
        <v>7</v>
      </c>
      <c r="M31" s="7"/>
      <c r="N31" s="7"/>
      <c r="O31" s="7" t="s">
        <v>7</v>
      </c>
      <c r="P31" s="7" t="s">
        <v>7</v>
      </c>
      <c r="Q31" s="7"/>
      <c r="R31" s="7"/>
      <c r="S31" s="7" t="s">
        <v>7</v>
      </c>
      <c r="T31" s="8">
        <f t="shared" si="0"/>
        <v>10</v>
      </c>
    </row>
    <row r="32" spans="2:20">
      <c r="T32" s="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9"/>
  <sheetViews>
    <sheetView workbookViewId="0"/>
  </sheetViews>
  <sheetFormatPr defaultRowHeight="17"/>
  <cols>
    <col min="1" max="1" width="4.58203125" customWidth="1"/>
    <col min="2" max="2" width="10.33203125" customWidth="1"/>
    <col min="3" max="3" width="7.83203125" customWidth="1"/>
    <col min="4" max="4" width="14.83203125" customWidth="1"/>
    <col min="5" max="8" width="10.33203125" customWidth="1"/>
    <col min="12" max="15" width="10.08203125" customWidth="1"/>
    <col min="16" max="20" width="11.58203125" customWidth="1"/>
  </cols>
  <sheetData>
    <row r="1" spans="1:21">
      <c r="A1" s="24"/>
      <c r="B1" s="25"/>
      <c r="C1" s="25"/>
      <c r="D1" s="25"/>
      <c r="E1" s="26"/>
      <c r="F1" s="26"/>
      <c r="G1" s="26"/>
      <c r="H1" s="26"/>
      <c r="I1" s="24"/>
      <c r="J1" s="24"/>
      <c r="K1" s="25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>
      <c r="A2" s="24"/>
      <c r="B2" s="27" t="s">
        <v>42</v>
      </c>
      <c r="C2" s="25"/>
      <c r="D2" s="25"/>
      <c r="E2" s="26"/>
      <c r="F2" s="28"/>
      <c r="G2" s="28"/>
      <c r="H2" s="28"/>
      <c r="I2" s="24"/>
      <c r="J2" s="24"/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1:21">
      <c r="A3" s="24"/>
      <c r="B3" s="44" t="s">
        <v>43</v>
      </c>
      <c r="C3" s="44" t="s">
        <v>44</v>
      </c>
      <c r="D3" s="42" t="s">
        <v>45</v>
      </c>
      <c r="E3" s="43" t="s">
        <v>46</v>
      </c>
      <c r="F3" s="45" t="s">
        <v>47</v>
      </c>
      <c r="G3" s="45" t="s">
        <v>48</v>
      </c>
      <c r="H3" s="43" t="s">
        <v>49</v>
      </c>
      <c r="I3" s="24"/>
      <c r="J3" s="24"/>
      <c r="K3" s="27" t="s">
        <v>50</v>
      </c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>
      <c r="A4" s="24"/>
      <c r="B4" s="29">
        <v>24</v>
      </c>
      <c r="C4" s="30" t="s">
        <v>51</v>
      </c>
      <c r="D4" s="30"/>
      <c r="E4" s="31"/>
      <c r="F4" s="32">
        <v>5</v>
      </c>
      <c r="G4" s="32">
        <v>3</v>
      </c>
      <c r="H4" s="33"/>
      <c r="I4" s="24"/>
      <c r="J4" s="24"/>
      <c r="K4" s="50" t="s">
        <v>44</v>
      </c>
      <c r="L4" s="50" t="s">
        <v>52</v>
      </c>
      <c r="M4" s="50" t="s">
        <v>53</v>
      </c>
      <c r="N4" s="24"/>
      <c r="O4" s="24"/>
      <c r="P4" s="24"/>
      <c r="Q4" s="24"/>
      <c r="R4" s="24"/>
      <c r="S4" s="24"/>
      <c r="T4" s="24"/>
      <c r="U4" s="24"/>
    </row>
    <row r="5" spans="1:21">
      <c r="A5" s="24"/>
      <c r="B5" s="34">
        <v>41</v>
      </c>
      <c r="C5" s="35" t="s">
        <v>54</v>
      </c>
      <c r="D5" s="30"/>
      <c r="E5" s="31"/>
      <c r="F5" s="36">
        <v>3</v>
      </c>
      <c r="G5" s="36">
        <v>0</v>
      </c>
      <c r="H5" s="33"/>
      <c r="I5" s="24"/>
      <c r="J5" s="24"/>
      <c r="K5" s="35" t="s">
        <v>55</v>
      </c>
      <c r="L5" s="35" t="s">
        <v>56</v>
      </c>
      <c r="M5" s="35" t="s">
        <v>57</v>
      </c>
      <c r="N5" s="24"/>
      <c r="O5" s="24"/>
      <c r="P5" s="24"/>
      <c r="Q5" s="24"/>
      <c r="R5" s="24"/>
      <c r="S5" s="24"/>
      <c r="T5" s="24"/>
      <c r="U5" s="24"/>
    </row>
    <row r="6" spans="1:21">
      <c r="A6" s="24"/>
      <c r="B6" s="34">
        <v>50</v>
      </c>
      <c r="C6" s="35" t="s">
        <v>58</v>
      </c>
      <c r="D6" s="30"/>
      <c r="E6" s="31"/>
      <c r="F6" s="36">
        <v>15</v>
      </c>
      <c r="G6" s="36">
        <v>0</v>
      </c>
      <c r="H6" s="33"/>
      <c r="I6" s="24"/>
      <c r="J6" s="24"/>
      <c r="K6" s="35" t="s">
        <v>59</v>
      </c>
      <c r="L6" s="35" t="s">
        <v>60</v>
      </c>
      <c r="M6" s="35" t="s">
        <v>57</v>
      </c>
      <c r="N6" s="24"/>
      <c r="O6" s="24"/>
      <c r="P6" s="24"/>
      <c r="Q6" s="24"/>
      <c r="R6" s="24"/>
      <c r="S6" s="24"/>
      <c r="T6" s="24"/>
      <c r="U6" s="24"/>
    </row>
    <row r="7" spans="1:21">
      <c r="A7" s="24"/>
      <c r="B7" s="34">
        <v>29</v>
      </c>
      <c r="C7" s="35" t="s">
        <v>61</v>
      </c>
      <c r="D7" s="30"/>
      <c r="E7" s="31"/>
      <c r="F7" s="36">
        <v>15</v>
      </c>
      <c r="G7" s="36">
        <v>0</v>
      </c>
      <c r="H7" s="33"/>
      <c r="I7" s="24"/>
      <c r="J7" s="24"/>
      <c r="K7" s="35" t="s">
        <v>54</v>
      </c>
      <c r="L7" s="35" t="s">
        <v>62</v>
      </c>
      <c r="M7" s="35" t="s">
        <v>63</v>
      </c>
      <c r="N7" s="24"/>
      <c r="O7" s="24"/>
      <c r="P7" s="24"/>
      <c r="Q7" s="24"/>
      <c r="R7" s="24"/>
      <c r="S7" s="24"/>
      <c r="T7" s="24"/>
      <c r="U7" s="24"/>
    </row>
    <row r="8" spans="1:21">
      <c r="A8" s="24"/>
      <c r="B8" s="34">
        <v>42</v>
      </c>
      <c r="C8" s="35" t="s">
        <v>61</v>
      </c>
      <c r="D8" s="30"/>
      <c r="E8" s="31"/>
      <c r="F8" s="36">
        <v>5</v>
      </c>
      <c r="G8" s="36">
        <v>1</v>
      </c>
      <c r="H8" s="33"/>
      <c r="I8" s="24"/>
      <c r="J8" s="24"/>
      <c r="K8" s="35" t="s">
        <v>64</v>
      </c>
      <c r="L8" s="35" t="s">
        <v>65</v>
      </c>
      <c r="M8" s="35" t="s">
        <v>63</v>
      </c>
      <c r="N8" s="24"/>
      <c r="O8" s="24"/>
      <c r="P8" s="24"/>
      <c r="Q8" s="24"/>
      <c r="R8" s="24"/>
      <c r="S8" s="24"/>
      <c r="T8" s="24"/>
      <c r="U8" s="24"/>
    </row>
    <row r="9" spans="1:21">
      <c r="A9" s="24"/>
      <c r="B9" s="34">
        <v>7</v>
      </c>
      <c r="C9" s="35" t="s">
        <v>61</v>
      </c>
      <c r="D9" s="30"/>
      <c r="E9" s="31"/>
      <c r="F9" s="36">
        <v>10</v>
      </c>
      <c r="G9" s="36">
        <v>0</v>
      </c>
      <c r="H9" s="33"/>
      <c r="I9" s="24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>
      <c r="A10" s="24"/>
      <c r="B10" s="34">
        <v>45</v>
      </c>
      <c r="C10" s="35" t="s">
        <v>58</v>
      </c>
      <c r="D10" s="30"/>
      <c r="E10" s="31"/>
      <c r="F10" s="36">
        <v>14</v>
      </c>
      <c r="G10" s="36">
        <v>1</v>
      </c>
      <c r="H10" s="33"/>
      <c r="I10" s="24"/>
      <c r="J10" s="24"/>
      <c r="K10" s="27" t="s">
        <v>66</v>
      </c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>
      <c r="A11" s="24"/>
      <c r="B11" s="34">
        <v>16</v>
      </c>
      <c r="C11" s="35" t="s">
        <v>61</v>
      </c>
      <c r="D11" s="30"/>
      <c r="E11" s="31"/>
      <c r="F11" s="36">
        <v>5</v>
      </c>
      <c r="G11" s="36">
        <v>1</v>
      </c>
      <c r="H11" s="33"/>
      <c r="I11" s="24"/>
      <c r="J11" s="24"/>
      <c r="K11" s="46"/>
      <c r="L11" s="47">
        <v>0</v>
      </c>
      <c r="M11" s="47">
        <v>10</v>
      </c>
      <c r="N11" s="47">
        <v>20</v>
      </c>
      <c r="O11" s="47">
        <v>30</v>
      </c>
      <c r="P11" s="47">
        <v>40</v>
      </c>
      <c r="Q11" s="47">
        <v>50</v>
      </c>
      <c r="R11" s="47">
        <v>60</v>
      </c>
      <c r="S11" s="47">
        <v>70</v>
      </c>
      <c r="T11" s="24"/>
      <c r="U11" s="24"/>
    </row>
    <row r="12" spans="1:21">
      <c r="A12" s="24"/>
      <c r="B12" s="34">
        <v>16</v>
      </c>
      <c r="C12" s="35" t="s">
        <v>55</v>
      </c>
      <c r="D12" s="30"/>
      <c r="E12" s="31"/>
      <c r="F12" s="36">
        <v>6</v>
      </c>
      <c r="G12" s="36">
        <v>1</v>
      </c>
      <c r="H12" s="33"/>
      <c r="I12" s="24"/>
      <c r="J12" s="24"/>
      <c r="K12" s="48"/>
      <c r="L12" s="49">
        <v>10</v>
      </c>
      <c r="M12" s="49">
        <v>20</v>
      </c>
      <c r="N12" s="49">
        <v>30</v>
      </c>
      <c r="O12" s="49">
        <v>40</v>
      </c>
      <c r="P12" s="49">
        <v>50</v>
      </c>
      <c r="Q12" s="49">
        <v>60</v>
      </c>
      <c r="R12" s="49">
        <v>70</v>
      </c>
      <c r="S12" s="49"/>
      <c r="T12" s="24"/>
      <c r="U12" s="24"/>
    </row>
    <row r="13" spans="1:21">
      <c r="A13" s="24"/>
      <c r="B13" s="34">
        <v>51</v>
      </c>
      <c r="C13" s="35" t="s">
        <v>51</v>
      </c>
      <c r="D13" s="30"/>
      <c r="E13" s="31"/>
      <c r="F13" s="36">
        <v>8</v>
      </c>
      <c r="G13" s="36">
        <v>0</v>
      </c>
      <c r="H13" s="33"/>
      <c r="I13" s="24"/>
      <c r="J13" s="24"/>
      <c r="K13" s="35" t="s">
        <v>51</v>
      </c>
      <c r="L13" s="37">
        <v>12800</v>
      </c>
      <c r="M13" s="37">
        <v>12800</v>
      </c>
      <c r="N13" s="37">
        <v>13200</v>
      </c>
      <c r="O13" s="37">
        <v>14800</v>
      </c>
      <c r="P13" s="37">
        <v>19800</v>
      </c>
      <c r="Q13" s="37">
        <v>33000</v>
      </c>
      <c r="R13" s="37">
        <v>58300</v>
      </c>
      <c r="S13" s="37">
        <v>89500</v>
      </c>
      <c r="T13" s="24"/>
      <c r="U13" s="24"/>
    </row>
    <row r="14" spans="1:21">
      <c r="A14" s="24"/>
      <c r="B14" s="34">
        <v>46</v>
      </c>
      <c r="C14" s="35" t="s">
        <v>51</v>
      </c>
      <c r="D14" s="30"/>
      <c r="E14" s="31"/>
      <c r="F14" s="36">
        <v>8</v>
      </c>
      <c r="G14" s="36">
        <v>2</v>
      </c>
      <c r="H14" s="33"/>
      <c r="I14" s="24"/>
      <c r="J14" s="24"/>
      <c r="K14" s="35" t="s">
        <v>59</v>
      </c>
      <c r="L14" s="37">
        <v>13100</v>
      </c>
      <c r="M14" s="37">
        <v>13100</v>
      </c>
      <c r="N14" s="37">
        <v>13700</v>
      </c>
      <c r="O14" s="37">
        <v>16100</v>
      </c>
      <c r="P14" s="37">
        <v>24000</v>
      </c>
      <c r="Q14" s="37">
        <v>45000</v>
      </c>
      <c r="R14" s="37">
        <v>85500</v>
      </c>
      <c r="S14" s="37">
        <v>134800</v>
      </c>
      <c r="T14" s="24"/>
      <c r="U14" s="24"/>
    </row>
    <row r="15" spans="1:21">
      <c r="A15" s="24"/>
      <c r="B15" s="34">
        <v>22</v>
      </c>
      <c r="C15" s="35" t="s">
        <v>51</v>
      </c>
      <c r="D15" s="30"/>
      <c r="E15" s="31"/>
      <c r="F15" s="36">
        <v>21</v>
      </c>
      <c r="G15" s="36">
        <v>0</v>
      </c>
      <c r="H15" s="33"/>
      <c r="I15" s="24"/>
      <c r="J15" s="24"/>
      <c r="K15" s="35" t="s">
        <v>54</v>
      </c>
      <c r="L15" s="37">
        <v>12700</v>
      </c>
      <c r="M15" s="37">
        <v>12600</v>
      </c>
      <c r="N15" s="37">
        <v>13500</v>
      </c>
      <c r="O15" s="37">
        <v>16700</v>
      </c>
      <c r="P15" s="37">
        <v>22500</v>
      </c>
      <c r="Q15" s="37">
        <v>26500</v>
      </c>
      <c r="R15" s="37">
        <v>32200</v>
      </c>
      <c r="S15" s="37">
        <v>43100</v>
      </c>
      <c r="T15" s="24"/>
      <c r="U15" s="24"/>
    </row>
    <row r="16" spans="1:21">
      <c r="A16" s="24"/>
      <c r="B16" s="34">
        <v>6</v>
      </c>
      <c r="C16" s="35" t="s">
        <v>51</v>
      </c>
      <c r="D16" s="30"/>
      <c r="E16" s="31"/>
      <c r="F16" s="36">
        <v>7</v>
      </c>
      <c r="G16" s="36">
        <v>0</v>
      </c>
      <c r="H16" s="33"/>
      <c r="I16" s="24"/>
      <c r="J16" s="24"/>
      <c r="K16" s="35" t="s">
        <v>64</v>
      </c>
      <c r="L16" s="37">
        <v>13000</v>
      </c>
      <c r="M16" s="37">
        <v>12900</v>
      </c>
      <c r="N16" s="37">
        <v>14200</v>
      </c>
      <c r="O16" s="37">
        <v>19100</v>
      </c>
      <c r="P16" s="37">
        <v>28400</v>
      </c>
      <c r="Q16" s="37">
        <v>34900</v>
      </c>
      <c r="R16" s="37">
        <v>43900</v>
      </c>
      <c r="S16" s="37">
        <v>60700</v>
      </c>
      <c r="T16" s="24"/>
      <c r="U16" s="24"/>
    </row>
    <row r="17" spans="1:21">
      <c r="A17" s="24"/>
      <c r="B17" s="34">
        <v>22</v>
      </c>
      <c r="C17" s="35" t="s">
        <v>54</v>
      </c>
      <c r="D17" s="30"/>
      <c r="E17" s="31"/>
      <c r="F17" s="36">
        <v>21</v>
      </c>
      <c r="G17" s="36">
        <v>2</v>
      </c>
      <c r="H17" s="33"/>
      <c r="I17" s="24"/>
      <c r="J17" s="24"/>
      <c r="K17" s="25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>
      <c r="A18" s="24"/>
      <c r="B18" s="34">
        <v>21</v>
      </c>
      <c r="C18" s="35" t="s">
        <v>59</v>
      </c>
      <c r="D18" s="30"/>
      <c r="E18" s="31"/>
      <c r="F18" s="36">
        <v>20</v>
      </c>
      <c r="G18" s="36">
        <v>0</v>
      </c>
      <c r="H18" s="33"/>
      <c r="I18" s="24"/>
      <c r="J18" s="24"/>
      <c r="K18" s="25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>
      <c r="A19" s="24"/>
      <c r="B19" s="34">
        <v>13</v>
      </c>
      <c r="C19" s="35" t="s">
        <v>64</v>
      </c>
      <c r="D19" s="30"/>
      <c r="E19" s="31"/>
      <c r="F19" s="36">
        <v>8</v>
      </c>
      <c r="G19" s="36">
        <v>0</v>
      </c>
      <c r="H19" s="33"/>
      <c r="I19" s="24"/>
      <c r="J19" s="24"/>
      <c r="K19" s="27" t="s">
        <v>67</v>
      </c>
      <c r="L19" s="24"/>
      <c r="M19" s="24"/>
      <c r="N19" s="24"/>
      <c r="O19" s="27" t="s">
        <v>68</v>
      </c>
      <c r="P19" s="24"/>
      <c r="Q19" s="24"/>
      <c r="R19" s="24"/>
      <c r="S19" s="24"/>
      <c r="T19" s="24"/>
      <c r="U19" s="24"/>
    </row>
    <row r="20" spans="1:21">
      <c r="A20" s="24"/>
      <c r="B20" s="34">
        <v>29</v>
      </c>
      <c r="C20" s="35" t="s">
        <v>51</v>
      </c>
      <c r="D20" s="30"/>
      <c r="E20" s="31"/>
      <c r="F20" s="36">
        <v>24</v>
      </c>
      <c r="G20" s="36">
        <v>0</v>
      </c>
      <c r="H20" s="33"/>
      <c r="I20" s="24"/>
      <c r="J20" s="24"/>
      <c r="K20" s="77" t="s">
        <v>69</v>
      </c>
      <c r="L20" s="78"/>
      <c r="M20" s="51" t="s">
        <v>70</v>
      </c>
      <c r="N20" s="24"/>
      <c r="O20" s="79" t="s">
        <v>44</v>
      </c>
      <c r="P20" s="52">
        <v>0</v>
      </c>
      <c r="Q20" s="52">
        <v>20</v>
      </c>
      <c r="R20" s="52">
        <v>30</v>
      </c>
      <c r="S20" s="52">
        <v>40</v>
      </c>
      <c r="T20" s="52">
        <v>60</v>
      </c>
      <c r="U20" s="24"/>
    </row>
    <row r="21" spans="1:21">
      <c r="A21" s="24"/>
      <c r="B21" s="34">
        <v>61</v>
      </c>
      <c r="C21" s="35" t="s">
        <v>54</v>
      </c>
      <c r="D21" s="30"/>
      <c r="E21" s="31"/>
      <c r="F21" s="36">
        <v>23</v>
      </c>
      <c r="G21" s="36">
        <v>1</v>
      </c>
      <c r="H21" s="33"/>
      <c r="I21" s="24"/>
      <c r="J21" s="24"/>
      <c r="K21" s="38">
        <v>1</v>
      </c>
      <c r="L21" s="39">
        <v>10</v>
      </c>
      <c r="M21" s="30"/>
      <c r="N21" s="24"/>
      <c r="O21" s="79"/>
      <c r="P21" s="53">
        <v>20</v>
      </c>
      <c r="Q21" s="53">
        <v>30</v>
      </c>
      <c r="R21" s="53">
        <v>40</v>
      </c>
      <c r="S21" s="53">
        <v>60</v>
      </c>
      <c r="T21" s="53">
        <v>80</v>
      </c>
      <c r="U21" s="24"/>
    </row>
    <row r="22" spans="1:21">
      <c r="A22" s="24"/>
      <c r="B22" s="34">
        <v>12</v>
      </c>
      <c r="C22" s="35" t="s">
        <v>54</v>
      </c>
      <c r="D22" s="30"/>
      <c r="E22" s="31"/>
      <c r="F22" s="36">
        <v>20</v>
      </c>
      <c r="G22" s="36">
        <v>2</v>
      </c>
      <c r="H22" s="33"/>
      <c r="I22" s="24"/>
      <c r="J22" s="24"/>
      <c r="K22" s="38">
        <v>11</v>
      </c>
      <c r="L22" s="39">
        <v>20</v>
      </c>
      <c r="M22" s="30"/>
      <c r="N22" s="24"/>
      <c r="O22" s="40" t="s">
        <v>51</v>
      </c>
      <c r="P22" s="41"/>
      <c r="Q22" s="41"/>
      <c r="R22" s="41"/>
      <c r="S22" s="41"/>
      <c r="T22" s="41"/>
      <c r="U22" s="24"/>
    </row>
    <row r="23" spans="1:21">
      <c r="A23" s="24"/>
      <c r="B23" s="34">
        <v>64</v>
      </c>
      <c r="C23" s="35" t="s">
        <v>64</v>
      </c>
      <c r="D23" s="30"/>
      <c r="E23" s="31"/>
      <c r="F23" s="36">
        <v>7</v>
      </c>
      <c r="G23" s="36">
        <v>0</v>
      </c>
      <c r="H23" s="33"/>
      <c r="I23" s="24"/>
      <c r="J23" s="24"/>
      <c r="K23" s="38">
        <v>21</v>
      </c>
      <c r="L23" s="39">
        <v>30</v>
      </c>
      <c r="M23" s="30"/>
      <c r="N23" s="24"/>
      <c r="O23" s="35" t="s">
        <v>54</v>
      </c>
      <c r="P23" s="41"/>
      <c r="Q23" s="41"/>
      <c r="R23" s="41"/>
      <c r="S23" s="41"/>
      <c r="T23" s="41"/>
      <c r="U23" s="24"/>
    </row>
    <row r="24" spans="1:21">
      <c r="A24" s="24"/>
      <c r="B24" s="34">
        <v>29</v>
      </c>
      <c r="C24" s="35" t="s">
        <v>51</v>
      </c>
      <c r="D24" s="30"/>
      <c r="E24" s="31"/>
      <c r="F24" s="36">
        <v>17</v>
      </c>
      <c r="G24" s="36">
        <v>2</v>
      </c>
      <c r="H24" s="33"/>
      <c r="I24" s="24"/>
      <c r="J24" s="24"/>
      <c r="K24" s="38">
        <v>31</v>
      </c>
      <c r="L24" s="39">
        <v>40</v>
      </c>
      <c r="M24" s="30"/>
      <c r="N24" s="24"/>
      <c r="O24" s="35" t="s">
        <v>59</v>
      </c>
      <c r="P24" s="41"/>
      <c r="Q24" s="41"/>
      <c r="R24" s="41"/>
      <c r="S24" s="41"/>
      <c r="T24" s="41"/>
      <c r="U24" s="24"/>
    </row>
    <row r="25" spans="1:21">
      <c r="A25" s="24"/>
      <c r="B25" s="34">
        <v>17</v>
      </c>
      <c r="C25" s="35" t="s">
        <v>54</v>
      </c>
      <c r="D25" s="30"/>
      <c r="E25" s="31"/>
      <c r="F25" s="36">
        <v>21</v>
      </c>
      <c r="G25" s="36">
        <v>2</v>
      </c>
      <c r="H25" s="33"/>
      <c r="I25" s="24"/>
      <c r="J25" s="24"/>
      <c r="K25" s="38">
        <v>41</v>
      </c>
      <c r="L25" s="39">
        <v>50</v>
      </c>
      <c r="M25" s="30"/>
      <c r="N25" s="24"/>
      <c r="O25" s="35" t="s">
        <v>64</v>
      </c>
      <c r="P25" s="41"/>
      <c r="Q25" s="41"/>
      <c r="R25" s="41"/>
      <c r="S25" s="41"/>
      <c r="T25" s="41"/>
      <c r="U25" s="24"/>
    </row>
    <row r="26" spans="1:21">
      <c r="A26" s="24"/>
      <c r="B26" s="34">
        <v>29</v>
      </c>
      <c r="C26" s="35" t="s">
        <v>59</v>
      </c>
      <c r="D26" s="30"/>
      <c r="E26" s="31"/>
      <c r="F26" s="36">
        <v>2</v>
      </c>
      <c r="G26" s="36">
        <v>2</v>
      </c>
      <c r="H26" s="33"/>
      <c r="I26" s="24"/>
      <c r="J26" s="24"/>
      <c r="K26" s="38">
        <v>51</v>
      </c>
      <c r="L26" s="39">
        <v>60</v>
      </c>
      <c r="M26" s="30"/>
      <c r="N26" s="24"/>
      <c r="O26" s="24"/>
      <c r="P26" s="24"/>
      <c r="Q26" s="24"/>
      <c r="R26" s="24"/>
      <c r="S26" s="24"/>
      <c r="T26" s="24"/>
      <c r="U26" s="24"/>
    </row>
    <row r="27" spans="1:21">
      <c r="A27" s="24"/>
      <c r="B27" s="34">
        <v>26</v>
      </c>
      <c r="C27" s="35" t="s">
        <v>59</v>
      </c>
      <c r="D27" s="30"/>
      <c r="E27" s="31"/>
      <c r="F27" s="36">
        <v>4</v>
      </c>
      <c r="G27" s="36">
        <v>1</v>
      </c>
      <c r="H27" s="33"/>
      <c r="I27" s="24"/>
      <c r="J27" s="24"/>
      <c r="K27" s="38">
        <v>61</v>
      </c>
      <c r="L27" s="39">
        <v>70</v>
      </c>
      <c r="M27" s="30"/>
      <c r="N27" s="24"/>
      <c r="O27" s="24"/>
      <c r="P27" s="24"/>
      <c r="Q27" s="24"/>
      <c r="R27" s="24"/>
      <c r="S27" s="24"/>
      <c r="T27" s="24"/>
      <c r="U27" s="24"/>
    </row>
    <row r="28" spans="1:21">
      <c r="A28" s="24"/>
      <c r="B28" s="34">
        <v>59</v>
      </c>
      <c r="C28" s="35" t="s">
        <v>59</v>
      </c>
      <c r="D28" s="30"/>
      <c r="E28" s="31"/>
      <c r="F28" s="36">
        <v>2</v>
      </c>
      <c r="G28" s="36">
        <v>1</v>
      </c>
      <c r="H28" s="33"/>
      <c r="I28" s="24"/>
      <c r="J28" s="24"/>
      <c r="K28" s="25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>
      <c r="A29" s="24"/>
      <c r="B29" s="34">
        <v>43</v>
      </c>
      <c r="C29" s="35" t="s">
        <v>54</v>
      </c>
      <c r="D29" s="30"/>
      <c r="E29" s="31"/>
      <c r="F29" s="36">
        <v>5</v>
      </c>
      <c r="G29" s="36">
        <v>2</v>
      </c>
      <c r="H29" s="33"/>
      <c r="I29" s="24"/>
      <c r="J29" s="24"/>
      <c r="K29" s="25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>
      <c r="A30" s="24"/>
      <c r="B30" s="34">
        <v>53</v>
      </c>
      <c r="C30" s="35" t="s">
        <v>58</v>
      </c>
      <c r="D30" s="30"/>
      <c r="E30" s="31"/>
      <c r="F30" s="36">
        <v>21</v>
      </c>
      <c r="G30" s="36">
        <v>2</v>
      </c>
      <c r="H30" s="33"/>
      <c r="I30" s="24"/>
      <c r="J30" s="24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>
      <c r="A31" s="24"/>
      <c r="B31" s="34">
        <v>29</v>
      </c>
      <c r="C31" s="35" t="s">
        <v>64</v>
      </c>
      <c r="D31" s="30"/>
      <c r="E31" s="31"/>
      <c r="F31" s="36">
        <v>18</v>
      </c>
      <c r="G31" s="36">
        <v>1</v>
      </c>
      <c r="H31" s="33"/>
      <c r="I31" s="24"/>
      <c r="J31" s="24"/>
      <c r="K31" s="25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>
      <c r="A32" s="24"/>
      <c r="B32" s="34">
        <v>18</v>
      </c>
      <c r="C32" s="35" t="s">
        <v>51</v>
      </c>
      <c r="D32" s="30"/>
      <c r="E32" s="31"/>
      <c r="F32" s="36">
        <v>9</v>
      </c>
      <c r="G32" s="36">
        <v>1</v>
      </c>
      <c r="H32" s="33"/>
      <c r="I32" s="24"/>
      <c r="J32" s="24"/>
      <c r="K32" s="25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1:21">
      <c r="A33" s="24"/>
      <c r="B33" s="34">
        <v>41</v>
      </c>
      <c r="C33" s="35" t="s">
        <v>54</v>
      </c>
      <c r="D33" s="30"/>
      <c r="E33" s="31"/>
      <c r="F33" s="36">
        <v>7</v>
      </c>
      <c r="G33" s="36">
        <v>0</v>
      </c>
      <c r="H33" s="33"/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</row>
    <row r="34" spans="1:21">
      <c r="A34" s="24"/>
      <c r="B34" s="34">
        <v>8</v>
      </c>
      <c r="C34" s="35" t="s">
        <v>59</v>
      </c>
      <c r="D34" s="30"/>
      <c r="E34" s="31"/>
      <c r="F34" s="36">
        <v>9</v>
      </c>
      <c r="G34" s="36">
        <v>2</v>
      </c>
      <c r="H34" s="33"/>
      <c r="I34" s="24"/>
      <c r="J34" s="24"/>
      <c r="K34" s="25"/>
      <c r="L34" s="24"/>
      <c r="M34" s="24"/>
      <c r="N34" s="24"/>
      <c r="O34" s="24"/>
      <c r="P34" s="24"/>
      <c r="Q34" s="24"/>
      <c r="R34" s="24"/>
      <c r="S34" s="24"/>
      <c r="T34" s="24"/>
      <c r="U34" s="24"/>
    </row>
    <row r="35" spans="1:21">
      <c r="A35" s="24"/>
      <c r="B35" s="34">
        <v>64</v>
      </c>
      <c r="C35" s="35" t="s">
        <v>64</v>
      </c>
      <c r="D35" s="30"/>
      <c r="E35" s="31"/>
      <c r="F35" s="36">
        <v>20</v>
      </c>
      <c r="G35" s="36">
        <v>1</v>
      </c>
      <c r="H35" s="33"/>
      <c r="I35" s="24"/>
      <c r="J35" s="24"/>
      <c r="K35" s="25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>
      <c r="B36" s="34">
        <v>21</v>
      </c>
      <c r="C36" s="35" t="s">
        <v>109</v>
      </c>
      <c r="D36" s="30"/>
      <c r="E36" s="31"/>
      <c r="F36" s="36">
        <v>12</v>
      </c>
      <c r="G36" s="36">
        <v>2</v>
      </c>
      <c r="H36" s="67"/>
    </row>
    <row r="37" spans="1:21">
      <c r="B37" s="34">
        <v>25</v>
      </c>
      <c r="C37" s="35" t="s">
        <v>61</v>
      </c>
      <c r="D37" s="30"/>
      <c r="E37" s="31"/>
      <c r="F37" s="36">
        <v>21</v>
      </c>
      <c r="G37" s="36">
        <v>0</v>
      </c>
      <c r="H37" s="67"/>
    </row>
    <row r="38" spans="1:21">
      <c r="B38" s="34">
        <v>53</v>
      </c>
      <c r="C38" s="35" t="s">
        <v>61</v>
      </c>
      <c r="D38" s="30"/>
      <c r="E38" s="31"/>
      <c r="F38" s="36">
        <v>23</v>
      </c>
      <c r="G38" s="36">
        <v>0</v>
      </c>
      <c r="H38" s="67"/>
    </row>
    <row r="39" spans="1:21">
      <c r="B39" s="34">
        <v>59</v>
      </c>
      <c r="C39" s="35" t="s">
        <v>110</v>
      </c>
      <c r="D39" s="30"/>
      <c r="E39" s="31"/>
      <c r="F39" s="36">
        <v>9</v>
      </c>
      <c r="G39" s="36">
        <v>1</v>
      </c>
      <c r="H39" s="67"/>
    </row>
  </sheetData>
  <mergeCells count="2">
    <mergeCell ref="K20:L20"/>
    <mergeCell ref="O20:O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43"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27"/>
  <sheetViews>
    <sheetView workbookViewId="0"/>
  </sheetViews>
  <sheetFormatPr defaultRowHeight="17"/>
  <cols>
    <col min="1" max="1" width="2.58203125" customWidth="1"/>
    <col min="5" max="5" width="9.83203125" bestFit="1" customWidth="1"/>
    <col min="6" max="6" width="11.1640625" bestFit="1" customWidth="1"/>
  </cols>
  <sheetData>
    <row r="1" spans="2:7">
      <c r="B1" t="s">
        <v>116</v>
      </c>
    </row>
    <row r="2" spans="2:7">
      <c r="B2" s="69" t="s">
        <v>1</v>
      </c>
      <c r="C2" s="69" t="s">
        <v>117</v>
      </c>
      <c r="D2" s="69" t="s">
        <v>118</v>
      </c>
      <c r="E2" s="69" t="s">
        <v>119</v>
      </c>
      <c r="F2" s="69" t="s">
        <v>120</v>
      </c>
      <c r="G2" s="69" t="s">
        <v>121</v>
      </c>
    </row>
    <row r="3" spans="2:7">
      <c r="B3" s="69" t="s">
        <v>122</v>
      </c>
      <c r="C3" s="69" t="s">
        <v>123</v>
      </c>
      <c r="D3" s="69" t="s">
        <v>124</v>
      </c>
      <c r="E3" s="70">
        <v>39121</v>
      </c>
      <c r="F3" s="69" t="s">
        <v>125</v>
      </c>
      <c r="G3" s="69">
        <v>15</v>
      </c>
    </row>
    <row r="4" spans="2:7">
      <c r="B4" s="69" t="s">
        <v>122</v>
      </c>
      <c r="C4" s="69" t="s">
        <v>126</v>
      </c>
      <c r="D4" s="69" t="s">
        <v>127</v>
      </c>
      <c r="E4" s="70">
        <v>39223</v>
      </c>
      <c r="F4" s="69" t="s">
        <v>128</v>
      </c>
      <c r="G4" s="69">
        <v>13</v>
      </c>
    </row>
    <row r="5" spans="2:7">
      <c r="B5" s="69" t="s">
        <v>122</v>
      </c>
      <c r="C5" s="69" t="s">
        <v>126</v>
      </c>
      <c r="D5" s="69" t="s">
        <v>127</v>
      </c>
      <c r="E5" s="70">
        <v>39304</v>
      </c>
      <c r="F5" s="69" t="s">
        <v>128</v>
      </c>
      <c r="G5" s="69">
        <v>12</v>
      </c>
    </row>
    <row r="6" spans="2:7">
      <c r="B6" s="69" t="s">
        <v>122</v>
      </c>
      <c r="C6" s="69" t="s">
        <v>129</v>
      </c>
      <c r="D6" s="69" t="s">
        <v>127</v>
      </c>
      <c r="E6" s="70">
        <v>39262</v>
      </c>
      <c r="F6" s="69" t="s">
        <v>130</v>
      </c>
      <c r="G6" s="69">
        <v>15</v>
      </c>
    </row>
    <row r="7" spans="2:7">
      <c r="B7" s="69" t="s">
        <v>122</v>
      </c>
      <c r="C7" s="69" t="s">
        <v>131</v>
      </c>
      <c r="D7" s="69" t="s">
        <v>127</v>
      </c>
      <c r="E7" s="70">
        <v>39137</v>
      </c>
      <c r="F7" s="69" t="s">
        <v>132</v>
      </c>
      <c r="G7" s="69">
        <v>14</v>
      </c>
    </row>
    <row r="8" spans="2:7">
      <c r="B8" s="69" t="s">
        <v>122</v>
      </c>
      <c r="C8" s="69" t="s">
        <v>133</v>
      </c>
      <c r="D8" s="69" t="s">
        <v>127</v>
      </c>
      <c r="E8" s="70">
        <v>39336</v>
      </c>
      <c r="F8" s="69" t="s">
        <v>134</v>
      </c>
      <c r="G8" s="69">
        <v>13</v>
      </c>
    </row>
    <row r="9" spans="2:7">
      <c r="B9" s="69" t="s">
        <v>122</v>
      </c>
      <c r="C9" s="69" t="s">
        <v>133</v>
      </c>
      <c r="D9" s="69" t="s">
        <v>127</v>
      </c>
      <c r="E9" s="70">
        <v>39336</v>
      </c>
      <c r="F9" s="69" t="s">
        <v>135</v>
      </c>
      <c r="G9" s="69">
        <v>11</v>
      </c>
    </row>
    <row r="10" spans="2:7">
      <c r="B10" s="69" t="s">
        <v>122</v>
      </c>
      <c r="C10" s="69" t="s">
        <v>136</v>
      </c>
      <c r="D10" s="69" t="s">
        <v>124</v>
      </c>
      <c r="E10" s="70">
        <v>39143</v>
      </c>
      <c r="F10" s="69"/>
      <c r="G10" s="69">
        <v>15</v>
      </c>
    </row>
    <row r="11" spans="2:7">
      <c r="B11" s="69" t="s">
        <v>122</v>
      </c>
      <c r="C11" s="69" t="s">
        <v>137</v>
      </c>
      <c r="D11" s="69" t="s">
        <v>127</v>
      </c>
      <c r="E11" s="70">
        <v>39346</v>
      </c>
      <c r="F11" s="69" t="s">
        <v>138</v>
      </c>
      <c r="G11" s="69">
        <v>15</v>
      </c>
    </row>
    <row r="12" spans="2:7">
      <c r="B12" s="69" t="s">
        <v>139</v>
      </c>
      <c r="C12" s="69" t="s">
        <v>140</v>
      </c>
      <c r="D12" s="69" t="s">
        <v>127</v>
      </c>
      <c r="E12" s="70">
        <v>39116</v>
      </c>
      <c r="F12" s="69" t="s">
        <v>141</v>
      </c>
      <c r="G12" s="69">
        <v>10</v>
      </c>
    </row>
    <row r="13" spans="2:7">
      <c r="B13" s="69" t="s">
        <v>139</v>
      </c>
      <c r="C13" s="69" t="s">
        <v>142</v>
      </c>
      <c r="D13" s="69" t="s">
        <v>124</v>
      </c>
      <c r="E13" s="70">
        <v>39189</v>
      </c>
      <c r="F13" s="69" t="s">
        <v>143</v>
      </c>
      <c r="G13" s="69">
        <v>15</v>
      </c>
    </row>
    <row r="14" spans="2:7">
      <c r="B14" s="69" t="s">
        <v>139</v>
      </c>
      <c r="C14" s="69" t="s">
        <v>144</v>
      </c>
      <c r="D14" s="69" t="s">
        <v>124</v>
      </c>
      <c r="E14" s="70">
        <v>39426</v>
      </c>
      <c r="F14" s="69" t="s">
        <v>145</v>
      </c>
      <c r="G14" s="69">
        <v>13</v>
      </c>
    </row>
    <row r="15" spans="2:7">
      <c r="B15" s="69" t="s">
        <v>139</v>
      </c>
      <c r="C15" s="69" t="s">
        <v>146</v>
      </c>
      <c r="D15" s="69" t="s">
        <v>124</v>
      </c>
      <c r="E15" s="70">
        <v>39121</v>
      </c>
      <c r="F15" s="69"/>
      <c r="G15" s="69">
        <v>15</v>
      </c>
    </row>
    <row r="16" spans="2:7">
      <c r="B16" s="69" t="s">
        <v>139</v>
      </c>
      <c r="C16" s="69" t="s">
        <v>147</v>
      </c>
      <c r="D16" s="69" t="s">
        <v>124</v>
      </c>
      <c r="E16" s="70">
        <v>39303</v>
      </c>
      <c r="F16" s="69" t="s">
        <v>148</v>
      </c>
      <c r="G16" s="69">
        <v>14</v>
      </c>
    </row>
    <row r="17" spans="2:7">
      <c r="B17" s="69" t="s">
        <v>139</v>
      </c>
      <c r="C17" s="69" t="s">
        <v>149</v>
      </c>
      <c r="D17" s="69" t="s">
        <v>124</v>
      </c>
      <c r="E17" s="70">
        <v>39341</v>
      </c>
      <c r="F17" s="69" t="s">
        <v>150</v>
      </c>
      <c r="G17" s="69">
        <v>13</v>
      </c>
    </row>
    <row r="18" spans="2:7">
      <c r="B18" s="69" t="s">
        <v>139</v>
      </c>
      <c r="C18" s="69" t="s">
        <v>151</v>
      </c>
      <c r="D18" s="69" t="s">
        <v>127</v>
      </c>
      <c r="E18" s="70">
        <v>39085</v>
      </c>
      <c r="F18" s="69" t="s">
        <v>152</v>
      </c>
      <c r="G18" s="69">
        <v>12</v>
      </c>
    </row>
    <row r="19" spans="2:7">
      <c r="B19" s="69" t="s">
        <v>139</v>
      </c>
      <c r="C19" s="69" t="s">
        <v>153</v>
      </c>
      <c r="D19" s="69" t="s">
        <v>127</v>
      </c>
      <c r="E19" s="70">
        <v>39423</v>
      </c>
      <c r="F19" s="69" t="s">
        <v>154</v>
      </c>
      <c r="G19" s="69">
        <v>15</v>
      </c>
    </row>
    <row r="20" spans="2:7">
      <c r="B20" s="69" t="s">
        <v>139</v>
      </c>
      <c r="C20" s="69" t="s">
        <v>155</v>
      </c>
      <c r="D20" s="69" t="s">
        <v>124</v>
      </c>
      <c r="E20" s="70">
        <v>39202</v>
      </c>
      <c r="F20" s="69" t="s">
        <v>156</v>
      </c>
      <c r="G20" s="69">
        <v>15</v>
      </c>
    </row>
    <row r="21" spans="2:7">
      <c r="B21" s="69" t="s">
        <v>157</v>
      </c>
      <c r="C21" s="69" t="s">
        <v>158</v>
      </c>
      <c r="D21" s="69" t="s">
        <v>124</v>
      </c>
      <c r="E21" s="70">
        <v>39084</v>
      </c>
      <c r="F21" s="69" t="s">
        <v>159</v>
      </c>
      <c r="G21" s="69">
        <v>14</v>
      </c>
    </row>
    <row r="22" spans="2:7">
      <c r="B22" s="69" t="s">
        <v>157</v>
      </c>
      <c r="C22" s="69" t="s">
        <v>160</v>
      </c>
      <c r="D22" s="69" t="s">
        <v>124</v>
      </c>
      <c r="E22" s="70">
        <v>39331</v>
      </c>
      <c r="F22" s="69" t="s">
        <v>161</v>
      </c>
      <c r="G22" s="69">
        <v>12</v>
      </c>
    </row>
    <row r="23" spans="2:7">
      <c r="B23" s="69" t="s">
        <v>157</v>
      </c>
      <c r="C23" s="69" t="s">
        <v>162</v>
      </c>
      <c r="D23" s="69" t="s">
        <v>127</v>
      </c>
      <c r="E23" s="70">
        <v>39440</v>
      </c>
      <c r="F23" s="69" t="s">
        <v>163</v>
      </c>
      <c r="G23" s="69">
        <v>9</v>
      </c>
    </row>
    <row r="24" spans="2:7">
      <c r="B24" s="69" t="s">
        <v>157</v>
      </c>
      <c r="C24" s="69" t="s">
        <v>164</v>
      </c>
      <c r="D24" s="69" t="s">
        <v>127</v>
      </c>
      <c r="E24" s="70">
        <v>39365</v>
      </c>
      <c r="F24" s="69" t="s">
        <v>141</v>
      </c>
      <c r="G24" s="69">
        <v>15</v>
      </c>
    </row>
    <row r="25" spans="2:7">
      <c r="B25" s="69" t="s">
        <v>157</v>
      </c>
      <c r="C25" s="69" t="s">
        <v>165</v>
      </c>
      <c r="D25" s="69" t="s">
        <v>124</v>
      </c>
      <c r="E25" s="70">
        <v>39334</v>
      </c>
      <c r="F25" s="69" t="s">
        <v>132</v>
      </c>
      <c r="G25" s="69">
        <v>15</v>
      </c>
    </row>
    <row r="26" spans="2:7">
      <c r="B26" s="69" t="s">
        <v>157</v>
      </c>
      <c r="C26" s="69" t="s">
        <v>166</v>
      </c>
      <c r="D26" s="69" t="s">
        <v>124</v>
      </c>
      <c r="E26" s="70">
        <v>39251</v>
      </c>
      <c r="F26" s="69"/>
      <c r="G26" s="69">
        <v>15</v>
      </c>
    </row>
    <row r="27" spans="2:7">
      <c r="B27" s="69" t="s">
        <v>157</v>
      </c>
      <c r="C27" s="69" t="s">
        <v>167</v>
      </c>
      <c r="D27" s="69" t="s">
        <v>127</v>
      </c>
      <c r="E27" s="70">
        <v>39321</v>
      </c>
      <c r="F27" s="69" t="s">
        <v>168</v>
      </c>
      <c r="G27" s="69">
        <v>14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/>
  </sheetViews>
  <sheetFormatPr defaultRowHeight="17"/>
  <sheetData>
    <row r="1" spans="1:9">
      <c r="A1" s="24"/>
      <c r="B1" s="25"/>
      <c r="C1" s="25"/>
      <c r="D1" s="25"/>
      <c r="E1" s="25"/>
      <c r="F1" s="25"/>
      <c r="G1" s="25"/>
      <c r="H1" s="25"/>
      <c r="I1" s="25"/>
    </row>
    <row r="2" spans="1:9" ht="26">
      <c r="A2" s="24"/>
      <c r="B2" s="55" t="s">
        <v>72</v>
      </c>
      <c r="C2" s="55"/>
      <c r="D2" s="55"/>
      <c r="E2" s="55"/>
      <c r="F2" s="55"/>
      <c r="G2" s="55"/>
      <c r="H2" s="55"/>
      <c r="I2" s="55"/>
    </row>
    <row r="3" spans="1:9">
      <c r="A3" s="24"/>
      <c r="B3" s="25"/>
      <c r="C3" s="25"/>
      <c r="D3" s="25"/>
      <c r="E3" s="25"/>
      <c r="F3" s="25"/>
      <c r="G3" s="25"/>
      <c r="H3" s="25"/>
      <c r="I3" s="25"/>
    </row>
    <row r="4" spans="1:9">
      <c r="A4" s="24"/>
      <c r="B4" s="80" t="s">
        <v>73</v>
      </c>
      <c r="C4" s="56" t="s">
        <v>74</v>
      </c>
      <c r="D4" s="80" t="s">
        <v>75</v>
      </c>
      <c r="E4" s="80" t="s">
        <v>76</v>
      </c>
      <c r="F4" s="80" t="s">
        <v>77</v>
      </c>
      <c r="G4" s="80"/>
      <c r="H4" s="80" t="s">
        <v>78</v>
      </c>
      <c r="I4" s="80"/>
    </row>
    <row r="5" spans="1:9">
      <c r="A5" s="24"/>
      <c r="B5" s="80"/>
      <c r="C5" s="56" t="s">
        <v>79</v>
      </c>
      <c r="D5" s="80"/>
      <c r="E5" s="80"/>
      <c r="F5" s="56" t="s">
        <v>80</v>
      </c>
      <c r="G5" s="56" t="s">
        <v>81</v>
      </c>
      <c r="H5" s="56" t="s">
        <v>82</v>
      </c>
      <c r="I5" s="56" t="s">
        <v>83</v>
      </c>
    </row>
    <row r="6" spans="1:9">
      <c r="A6" s="24"/>
      <c r="B6" s="57">
        <v>45003</v>
      </c>
      <c r="C6" s="58">
        <v>1162.5</v>
      </c>
      <c r="D6" s="59" t="s">
        <v>84</v>
      </c>
      <c r="E6" s="60">
        <v>-6.4000000000000003E-3</v>
      </c>
      <c r="F6" s="61">
        <v>1182.8399999999999</v>
      </c>
      <c r="G6" s="61">
        <v>1142.1600000000001</v>
      </c>
      <c r="H6" s="61">
        <v>1173.8</v>
      </c>
      <c r="I6" s="61">
        <v>1151.2</v>
      </c>
    </row>
    <row r="7" spans="1:9">
      <c r="A7" s="24"/>
      <c r="B7" s="57">
        <v>45002</v>
      </c>
      <c r="C7" s="58">
        <v>1170</v>
      </c>
      <c r="D7" s="59" t="s">
        <v>85</v>
      </c>
      <c r="E7" s="60">
        <v>-1.9599999999999999E-2</v>
      </c>
      <c r="F7" s="61">
        <v>1190.47</v>
      </c>
      <c r="G7" s="61">
        <v>1149.53</v>
      </c>
      <c r="H7" s="61">
        <v>1181.4000000000001</v>
      </c>
      <c r="I7" s="61">
        <v>1158.5999999999999</v>
      </c>
    </row>
    <row r="8" spans="1:9">
      <c r="A8" s="24"/>
      <c r="B8" s="57">
        <v>45001</v>
      </c>
      <c r="C8" s="58">
        <v>1193.4000000000001</v>
      </c>
      <c r="D8" s="62" t="s">
        <v>86</v>
      </c>
      <c r="E8" s="63">
        <v>2.8999999999999998E-3</v>
      </c>
      <c r="F8" s="61">
        <v>1214.28</v>
      </c>
      <c r="G8" s="61">
        <v>1172.52</v>
      </c>
      <c r="H8" s="61">
        <v>1205</v>
      </c>
      <c r="I8" s="61">
        <v>1181.8</v>
      </c>
    </row>
    <row r="9" spans="1:9">
      <c r="A9" s="24"/>
      <c r="B9" s="57">
        <v>45000</v>
      </c>
      <c r="C9" s="58">
        <v>1190</v>
      </c>
      <c r="D9" s="62" t="s">
        <v>87</v>
      </c>
      <c r="E9" s="63">
        <v>2.0999999999999999E-3</v>
      </c>
      <c r="F9" s="61">
        <v>1210.82</v>
      </c>
      <c r="G9" s="61">
        <v>1169.18</v>
      </c>
      <c r="H9" s="61">
        <v>1201.5999999999999</v>
      </c>
      <c r="I9" s="61">
        <v>1178.4000000000001</v>
      </c>
    </row>
    <row r="10" spans="1:9">
      <c r="A10" s="24"/>
      <c r="B10" s="57">
        <v>44999</v>
      </c>
      <c r="C10" s="58">
        <v>1187.5</v>
      </c>
      <c r="D10" s="59" t="s">
        <v>88</v>
      </c>
      <c r="E10" s="60">
        <v>-5.4000000000000003E-3</v>
      </c>
      <c r="F10" s="61">
        <v>1208.28</v>
      </c>
      <c r="G10" s="61">
        <v>1166.72</v>
      </c>
      <c r="H10" s="61">
        <v>1199.0999999999999</v>
      </c>
      <c r="I10" s="61">
        <v>1175.9000000000001</v>
      </c>
    </row>
    <row r="11" spans="1:9">
      <c r="A11" s="24"/>
      <c r="B11" s="25"/>
      <c r="C11" s="25"/>
      <c r="D11" s="25"/>
      <c r="E11" s="25"/>
      <c r="F11" s="25"/>
      <c r="G11" s="25"/>
      <c r="H11" s="25"/>
      <c r="I11" s="25"/>
    </row>
    <row r="12" spans="1:9">
      <c r="A12" s="24"/>
      <c r="B12" s="25"/>
      <c r="C12" s="25"/>
      <c r="D12" s="25"/>
      <c r="E12" s="25"/>
      <c r="F12" s="25"/>
      <c r="G12" s="25"/>
      <c r="H12" s="25"/>
      <c r="I12" s="25"/>
    </row>
    <row r="13" spans="1:9" ht="26">
      <c r="A13" s="24"/>
      <c r="B13" s="55" t="s">
        <v>89</v>
      </c>
      <c r="C13" s="55"/>
      <c r="D13" s="55"/>
      <c r="E13" s="55"/>
      <c r="F13" s="55"/>
      <c r="G13" s="55"/>
      <c r="H13" s="55"/>
      <c r="I13" s="55"/>
    </row>
    <row r="14" spans="1:9">
      <c r="A14" s="24"/>
      <c r="B14" s="25"/>
      <c r="C14" s="25"/>
      <c r="D14" s="25"/>
      <c r="E14" s="25"/>
      <c r="F14" s="25"/>
      <c r="G14" s="25"/>
      <c r="H14" s="25"/>
      <c r="I14" s="25"/>
    </row>
    <row r="15" spans="1:9">
      <c r="A15" s="24"/>
      <c r="B15" s="80" t="s">
        <v>73</v>
      </c>
      <c r="C15" s="56" t="s">
        <v>74</v>
      </c>
      <c r="D15" s="80" t="s">
        <v>75</v>
      </c>
      <c r="E15" s="80" t="s">
        <v>76</v>
      </c>
      <c r="F15" s="80" t="s">
        <v>77</v>
      </c>
      <c r="G15" s="80"/>
      <c r="H15" s="80" t="s">
        <v>78</v>
      </c>
      <c r="I15" s="80"/>
    </row>
    <row r="16" spans="1:9">
      <c r="A16" s="24"/>
      <c r="B16" s="80"/>
      <c r="C16" s="56" t="s">
        <v>79</v>
      </c>
      <c r="D16" s="80"/>
      <c r="E16" s="80"/>
      <c r="F16" s="56" t="s">
        <v>80</v>
      </c>
      <c r="G16" s="56" t="s">
        <v>81</v>
      </c>
      <c r="H16" s="56" t="s">
        <v>82</v>
      </c>
      <c r="I16" s="56" t="s">
        <v>83</v>
      </c>
    </row>
    <row r="17" spans="1:9">
      <c r="A17" s="24"/>
      <c r="B17" s="57">
        <v>45003</v>
      </c>
      <c r="C17" s="58">
        <v>179</v>
      </c>
      <c r="D17" s="59" t="s">
        <v>90</v>
      </c>
      <c r="E17" s="60">
        <v>8.0999999999999996E-3</v>
      </c>
      <c r="F17" s="61">
        <v>191.53</v>
      </c>
      <c r="G17" s="61">
        <v>170.05</v>
      </c>
      <c r="H17" s="61">
        <v>180.79</v>
      </c>
      <c r="I17" s="61">
        <v>177.21</v>
      </c>
    </row>
    <row r="18" spans="1:9">
      <c r="A18" s="24"/>
      <c r="B18" s="57">
        <v>45002</v>
      </c>
      <c r="C18" s="58">
        <v>177.57</v>
      </c>
      <c r="D18" s="59" t="s">
        <v>91</v>
      </c>
      <c r="E18" s="60">
        <v>-2.3999999999999998E-3</v>
      </c>
      <c r="F18" s="61">
        <v>189.99</v>
      </c>
      <c r="G18" s="61">
        <v>168.7</v>
      </c>
      <c r="H18" s="61">
        <v>179.34</v>
      </c>
      <c r="I18" s="61">
        <v>175.8</v>
      </c>
    </row>
    <row r="19" spans="1:9">
      <c r="A19" s="24"/>
      <c r="B19" s="57">
        <v>45001</v>
      </c>
      <c r="C19" s="58">
        <v>178</v>
      </c>
      <c r="D19" s="62" t="s">
        <v>92</v>
      </c>
      <c r="E19" s="63">
        <v>0.01</v>
      </c>
      <c r="F19" s="61">
        <v>190.46</v>
      </c>
      <c r="G19" s="61">
        <v>169.1</v>
      </c>
      <c r="H19" s="61">
        <v>179.78</v>
      </c>
      <c r="I19" s="61">
        <v>176.22</v>
      </c>
    </row>
    <row r="20" spans="1:9">
      <c r="A20" s="24"/>
      <c r="B20" s="57">
        <v>45000</v>
      </c>
      <c r="C20" s="58">
        <v>176.24</v>
      </c>
      <c r="D20" s="62" t="s">
        <v>93</v>
      </c>
      <c r="E20" s="63">
        <v>-4.1999999999999997E-3</v>
      </c>
      <c r="F20" s="61">
        <v>188.57</v>
      </c>
      <c r="G20" s="61">
        <v>167.43</v>
      </c>
      <c r="H20" s="61">
        <v>178</v>
      </c>
      <c r="I20" s="61">
        <v>174.48</v>
      </c>
    </row>
    <row r="21" spans="1:9">
      <c r="A21" s="24"/>
      <c r="B21" s="57">
        <v>44999</v>
      </c>
      <c r="C21" s="58">
        <v>176.99</v>
      </c>
      <c r="D21" s="59" t="s">
        <v>94</v>
      </c>
      <c r="E21" s="60">
        <v>-1.06E-2</v>
      </c>
      <c r="F21" s="61">
        <v>189.37</v>
      </c>
      <c r="G21" s="61">
        <v>168.15</v>
      </c>
      <c r="H21" s="61">
        <v>178.75</v>
      </c>
      <c r="I21" s="61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5:M33"/>
  <sheetViews>
    <sheetView workbookViewId="0"/>
  </sheetViews>
  <sheetFormatPr defaultRowHeight="17"/>
  <sheetData>
    <row r="5" spans="2:13">
      <c r="B5" s="71" t="s">
        <v>0</v>
      </c>
      <c r="C5" s="72" t="s">
        <v>1</v>
      </c>
      <c r="D5" s="72" t="s">
        <v>2</v>
      </c>
      <c r="E5" s="73">
        <v>42432</v>
      </c>
      <c r="F5" s="73">
        <v>42439</v>
      </c>
      <c r="G5" s="73">
        <v>42446</v>
      </c>
      <c r="H5" s="73">
        <v>42453</v>
      </c>
      <c r="I5" s="73">
        <v>42460</v>
      </c>
      <c r="J5" s="73">
        <v>42467</v>
      </c>
      <c r="K5" s="73">
        <v>42474</v>
      </c>
      <c r="L5" s="73">
        <v>42481</v>
      </c>
      <c r="M5" s="73" t="s">
        <v>169</v>
      </c>
    </row>
    <row r="6" spans="2:13">
      <c r="B6" s="5">
        <v>1</v>
      </c>
      <c r="C6" s="6" t="s">
        <v>170</v>
      </c>
      <c r="D6" s="5" t="s">
        <v>171</v>
      </c>
      <c r="E6" s="74">
        <v>1</v>
      </c>
      <c r="F6" s="74">
        <v>1</v>
      </c>
      <c r="G6" s="74">
        <v>1</v>
      </c>
      <c r="H6" s="74">
        <v>1</v>
      </c>
      <c r="I6" s="74">
        <v>1</v>
      </c>
      <c r="J6" s="74">
        <v>1</v>
      </c>
      <c r="K6" s="74">
        <v>1</v>
      </c>
      <c r="L6" s="74">
        <v>1</v>
      </c>
      <c r="M6" s="75">
        <f>SUM(E6:L6)</f>
        <v>8</v>
      </c>
    </row>
    <row r="7" spans="2:13">
      <c r="B7" s="9">
        <v>1</v>
      </c>
      <c r="C7" s="10" t="s">
        <v>170</v>
      </c>
      <c r="D7" s="11" t="s">
        <v>172</v>
      </c>
      <c r="E7" s="74">
        <v>1</v>
      </c>
      <c r="F7" s="74">
        <v>1</v>
      </c>
      <c r="G7" s="74">
        <v>0</v>
      </c>
      <c r="H7" s="74">
        <v>1</v>
      </c>
      <c r="I7" s="74">
        <v>1</v>
      </c>
      <c r="J7" s="74">
        <v>1</v>
      </c>
      <c r="K7" s="74">
        <v>1</v>
      </c>
      <c r="L7" s="74">
        <v>1</v>
      </c>
      <c r="M7" s="75">
        <f t="shared" ref="M7:M33" si="0">SUM(E7:L7)</f>
        <v>7</v>
      </c>
    </row>
    <row r="8" spans="2:13">
      <c r="B8" s="5">
        <v>1</v>
      </c>
      <c r="C8" s="6" t="s">
        <v>4</v>
      </c>
      <c r="D8" s="5" t="s">
        <v>173</v>
      </c>
      <c r="E8" s="74">
        <v>0</v>
      </c>
      <c r="F8" s="74">
        <v>1</v>
      </c>
      <c r="G8" s="74">
        <v>1</v>
      </c>
      <c r="H8" s="74">
        <v>1</v>
      </c>
      <c r="I8" s="74">
        <v>1</v>
      </c>
      <c r="J8" s="74">
        <v>1</v>
      </c>
      <c r="K8" s="74">
        <v>1</v>
      </c>
      <c r="L8" s="74">
        <v>1</v>
      </c>
      <c r="M8" s="75">
        <f t="shared" si="0"/>
        <v>7</v>
      </c>
    </row>
    <row r="9" spans="2:13">
      <c r="B9" s="12">
        <v>1</v>
      </c>
      <c r="C9" s="13" t="s">
        <v>11</v>
      </c>
      <c r="D9" s="14" t="s">
        <v>174</v>
      </c>
      <c r="E9" s="74">
        <v>1</v>
      </c>
      <c r="F9" s="74">
        <v>1</v>
      </c>
      <c r="G9" s="74">
        <v>1</v>
      </c>
      <c r="H9" s="74">
        <v>1</v>
      </c>
      <c r="I9" s="74">
        <v>1</v>
      </c>
      <c r="J9" s="74">
        <v>1</v>
      </c>
      <c r="K9" s="74">
        <v>1</v>
      </c>
      <c r="L9" s="74">
        <v>1</v>
      </c>
      <c r="M9" s="75">
        <f t="shared" si="0"/>
        <v>8</v>
      </c>
    </row>
    <row r="10" spans="2:13">
      <c r="B10" s="12">
        <v>1</v>
      </c>
      <c r="C10" s="13" t="s">
        <v>11</v>
      </c>
      <c r="D10" s="12" t="s">
        <v>175</v>
      </c>
      <c r="E10" s="74">
        <v>0</v>
      </c>
      <c r="F10" s="74">
        <v>1</v>
      </c>
      <c r="G10" s="74">
        <v>1</v>
      </c>
      <c r="H10" s="74">
        <v>1</v>
      </c>
      <c r="I10" s="74">
        <v>1</v>
      </c>
      <c r="J10" s="74">
        <v>1</v>
      </c>
      <c r="K10" s="74">
        <v>1</v>
      </c>
      <c r="L10" s="74">
        <v>1</v>
      </c>
      <c r="M10" s="75">
        <f t="shared" si="0"/>
        <v>7</v>
      </c>
    </row>
    <row r="11" spans="2:13">
      <c r="B11" s="12">
        <v>1</v>
      </c>
      <c r="C11" s="13" t="s">
        <v>11</v>
      </c>
      <c r="D11" s="12" t="s">
        <v>176</v>
      </c>
      <c r="E11" s="74">
        <v>1</v>
      </c>
      <c r="F11" s="74">
        <v>1</v>
      </c>
      <c r="G11" s="74">
        <v>1</v>
      </c>
      <c r="H11" s="74">
        <v>1</v>
      </c>
      <c r="I11" s="74">
        <v>1</v>
      </c>
      <c r="J11" s="74">
        <v>1</v>
      </c>
      <c r="K11" s="74">
        <v>0</v>
      </c>
      <c r="L11" s="74">
        <v>0</v>
      </c>
      <c r="M11" s="75">
        <f t="shared" si="0"/>
        <v>6</v>
      </c>
    </row>
    <row r="12" spans="2:13">
      <c r="B12" s="13">
        <v>1</v>
      </c>
      <c r="C12" s="13" t="s">
        <v>177</v>
      </c>
      <c r="D12" s="12" t="s">
        <v>15</v>
      </c>
      <c r="E12" s="74">
        <v>0</v>
      </c>
      <c r="F12" s="74">
        <v>1</v>
      </c>
      <c r="G12" s="74">
        <v>1</v>
      </c>
      <c r="H12" s="74">
        <v>1</v>
      </c>
      <c r="I12" s="74">
        <v>0</v>
      </c>
      <c r="J12" s="74">
        <v>1</v>
      </c>
      <c r="K12" s="74">
        <v>1</v>
      </c>
      <c r="L12" s="74">
        <v>1</v>
      </c>
      <c r="M12" s="75">
        <f t="shared" si="0"/>
        <v>6</v>
      </c>
    </row>
    <row r="13" spans="2:13">
      <c r="B13" s="15">
        <v>1</v>
      </c>
      <c r="C13" s="15" t="s">
        <v>178</v>
      </c>
      <c r="D13" s="15" t="s">
        <v>179</v>
      </c>
      <c r="E13" s="76">
        <v>1</v>
      </c>
      <c r="F13" s="76">
        <v>1</v>
      </c>
      <c r="G13" s="76">
        <v>1</v>
      </c>
      <c r="H13" s="76">
        <v>1</v>
      </c>
      <c r="I13" s="76">
        <v>1</v>
      </c>
      <c r="J13" s="76">
        <v>1</v>
      </c>
      <c r="K13" s="76">
        <v>1</v>
      </c>
      <c r="L13" s="76">
        <v>1</v>
      </c>
      <c r="M13" s="75">
        <f t="shared" si="0"/>
        <v>8</v>
      </c>
    </row>
    <row r="14" spans="2:13">
      <c r="B14" s="15">
        <v>1</v>
      </c>
      <c r="C14" s="15" t="s">
        <v>180</v>
      </c>
      <c r="D14" s="15" t="s">
        <v>181</v>
      </c>
      <c r="E14" s="76">
        <v>1</v>
      </c>
      <c r="F14" s="76">
        <v>1</v>
      </c>
      <c r="G14" s="76">
        <v>1</v>
      </c>
      <c r="H14" s="76">
        <v>1</v>
      </c>
      <c r="I14" s="76">
        <v>1</v>
      </c>
      <c r="J14" s="76">
        <v>1</v>
      </c>
      <c r="K14" s="76">
        <v>1</v>
      </c>
      <c r="L14" s="76">
        <v>1</v>
      </c>
      <c r="M14" s="75">
        <f t="shared" si="0"/>
        <v>8</v>
      </c>
    </row>
    <row r="15" spans="2:13">
      <c r="B15" s="15">
        <v>1</v>
      </c>
      <c r="C15" s="15" t="s">
        <v>178</v>
      </c>
      <c r="D15" s="15" t="s">
        <v>182</v>
      </c>
      <c r="E15" s="76">
        <v>1</v>
      </c>
      <c r="F15" s="76">
        <v>1</v>
      </c>
      <c r="G15" s="76">
        <v>1</v>
      </c>
      <c r="H15" s="76">
        <v>0</v>
      </c>
      <c r="I15" s="76">
        <v>1</v>
      </c>
      <c r="J15" s="76">
        <v>0</v>
      </c>
      <c r="K15" s="76">
        <v>0</v>
      </c>
      <c r="L15" s="76">
        <v>0</v>
      </c>
      <c r="M15" s="75">
        <f t="shared" si="0"/>
        <v>4</v>
      </c>
    </row>
    <row r="16" spans="2:13">
      <c r="B16" s="13">
        <v>2</v>
      </c>
      <c r="C16" s="13" t="s">
        <v>183</v>
      </c>
      <c r="D16" s="12" t="s">
        <v>21</v>
      </c>
      <c r="E16" s="74">
        <v>1</v>
      </c>
      <c r="F16" s="74">
        <v>1</v>
      </c>
      <c r="G16" s="74">
        <v>1</v>
      </c>
      <c r="H16" s="74">
        <v>1</v>
      </c>
      <c r="I16" s="74">
        <v>1</v>
      </c>
      <c r="J16" s="74">
        <v>1</v>
      </c>
      <c r="K16" s="74">
        <v>1</v>
      </c>
      <c r="L16" s="74">
        <v>1</v>
      </c>
      <c r="M16" s="75">
        <f t="shared" si="0"/>
        <v>8</v>
      </c>
    </row>
    <row r="17" spans="2:13">
      <c r="B17" s="12">
        <v>2</v>
      </c>
      <c r="C17" s="13" t="s">
        <v>183</v>
      </c>
      <c r="D17" s="12" t="s">
        <v>22</v>
      </c>
      <c r="E17" s="74">
        <v>1</v>
      </c>
      <c r="F17" s="74">
        <v>1</v>
      </c>
      <c r="G17" s="74">
        <v>1</v>
      </c>
      <c r="H17" s="74">
        <v>1</v>
      </c>
      <c r="I17" s="74">
        <v>1</v>
      </c>
      <c r="J17" s="74"/>
      <c r="K17" s="74">
        <v>1</v>
      </c>
      <c r="L17" s="74">
        <v>1</v>
      </c>
      <c r="M17" s="75">
        <f t="shared" si="0"/>
        <v>7</v>
      </c>
    </row>
    <row r="18" spans="2:13">
      <c r="B18" s="17">
        <v>2</v>
      </c>
      <c r="C18" s="18" t="s">
        <v>184</v>
      </c>
      <c r="D18" s="5" t="s">
        <v>24</v>
      </c>
      <c r="E18" s="74">
        <v>1</v>
      </c>
      <c r="F18" s="74">
        <v>1</v>
      </c>
      <c r="G18" s="74">
        <v>1</v>
      </c>
      <c r="H18" s="74">
        <v>1</v>
      </c>
      <c r="I18" s="74">
        <v>1</v>
      </c>
      <c r="J18" s="74">
        <v>1</v>
      </c>
      <c r="K18" s="74">
        <v>1</v>
      </c>
      <c r="L18" s="74">
        <v>1</v>
      </c>
      <c r="M18" s="75">
        <f t="shared" si="0"/>
        <v>8</v>
      </c>
    </row>
    <row r="19" spans="2:13">
      <c r="B19" s="5">
        <v>2</v>
      </c>
      <c r="C19" s="18" t="s">
        <v>184</v>
      </c>
      <c r="D19" s="5" t="s">
        <v>25</v>
      </c>
      <c r="E19" s="74">
        <v>1</v>
      </c>
      <c r="F19" s="74">
        <v>1</v>
      </c>
      <c r="G19" s="74">
        <v>1</v>
      </c>
      <c r="H19" s="74">
        <v>1</v>
      </c>
      <c r="I19" s="74">
        <v>1</v>
      </c>
      <c r="J19" s="74">
        <v>1</v>
      </c>
      <c r="K19" s="74">
        <v>1</v>
      </c>
      <c r="L19" s="74">
        <v>1</v>
      </c>
      <c r="M19" s="75">
        <f t="shared" si="0"/>
        <v>8</v>
      </c>
    </row>
    <row r="20" spans="2:13">
      <c r="B20" s="5">
        <v>2</v>
      </c>
      <c r="C20" s="18" t="s">
        <v>184</v>
      </c>
      <c r="D20" s="5" t="s">
        <v>26</v>
      </c>
      <c r="E20" s="74">
        <v>1</v>
      </c>
      <c r="F20" s="74">
        <v>1</v>
      </c>
      <c r="G20" s="74">
        <v>1</v>
      </c>
      <c r="H20" s="74">
        <v>1</v>
      </c>
      <c r="I20" s="74">
        <v>1</v>
      </c>
      <c r="J20" s="74">
        <v>1</v>
      </c>
      <c r="K20" s="74">
        <v>1</v>
      </c>
      <c r="L20" s="74">
        <v>1</v>
      </c>
      <c r="M20" s="75">
        <f t="shared" si="0"/>
        <v>8</v>
      </c>
    </row>
    <row r="21" spans="2:13">
      <c r="B21" s="5">
        <v>2</v>
      </c>
      <c r="C21" s="18" t="s">
        <v>23</v>
      </c>
      <c r="D21" s="5" t="s">
        <v>27</v>
      </c>
      <c r="E21" s="74">
        <v>1</v>
      </c>
      <c r="F21" s="74">
        <v>1</v>
      </c>
      <c r="G21" s="74">
        <v>1</v>
      </c>
      <c r="H21" s="74">
        <v>1</v>
      </c>
      <c r="I21" s="74">
        <v>1</v>
      </c>
      <c r="J21" s="74"/>
      <c r="K21" s="74">
        <v>1</v>
      </c>
      <c r="L21" s="74">
        <v>1</v>
      </c>
      <c r="M21" s="75">
        <f t="shared" si="0"/>
        <v>7</v>
      </c>
    </row>
    <row r="22" spans="2:13">
      <c r="B22" s="19">
        <v>2</v>
      </c>
      <c r="C22" s="19" t="s">
        <v>185</v>
      </c>
      <c r="D22" s="15" t="s">
        <v>29</v>
      </c>
      <c r="E22" s="74">
        <v>1</v>
      </c>
      <c r="F22" s="74">
        <v>1</v>
      </c>
      <c r="G22" s="74">
        <v>1</v>
      </c>
      <c r="H22" s="74">
        <v>1</v>
      </c>
      <c r="I22" s="74">
        <v>1</v>
      </c>
      <c r="J22" s="74">
        <v>1</v>
      </c>
      <c r="K22" s="74">
        <v>1</v>
      </c>
      <c r="L22" s="74">
        <v>1</v>
      </c>
      <c r="M22" s="75">
        <f t="shared" si="0"/>
        <v>8</v>
      </c>
    </row>
    <row r="23" spans="2:13">
      <c r="B23" s="15">
        <v>2</v>
      </c>
      <c r="C23" s="19" t="s">
        <v>185</v>
      </c>
      <c r="D23" s="15" t="s">
        <v>30</v>
      </c>
      <c r="E23" s="74">
        <v>1</v>
      </c>
      <c r="F23" s="74">
        <v>1</v>
      </c>
      <c r="G23" s="74">
        <v>1</v>
      </c>
      <c r="H23" s="74">
        <v>1</v>
      </c>
      <c r="I23" s="74">
        <v>1</v>
      </c>
      <c r="J23" s="74">
        <v>1</v>
      </c>
      <c r="K23" s="74">
        <v>1</v>
      </c>
      <c r="L23" s="74">
        <v>1</v>
      </c>
      <c r="M23" s="75">
        <f t="shared" si="0"/>
        <v>8</v>
      </c>
    </row>
    <row r="24" spans="2:13">
      <c r="B24" s="12">
        <v>2</v>
      </c>
      <c r="C24" s="13" t="s">
        <v>185</v>
      </c>
      <c r="D24" s="12" t="s">
        <v>31</v>
      </c>
      <c r="E24" s="74">
        <v>1</v>
      </c>
      <c r="F24" s="74">
        <v>0</v>
      </c>
      <c r="G24" s="74">
        <v>1</v>
      </c>
      <c r="H24" s="74">
        <v>1</v>
      </c>
      <c r="I24" s="74">
        <v>1</v>
      </c>
      <c r="J24" s="74">
        <v>1</v>
      </c>
      <c r="K24" s="74">
        <v>1</v>
      </c>
      <c r="L24" s="74">
        <v>1</v>
      </c>
      <c r="M24" s="75">
        <f t="shared" si="0"/>
        <v>7</v>
      </c>
    </row>
    <row r="25" spans="2:13">
      <c r="B25" s="15">
        <v>2</v>
      </c>
      <c r="C25" s="19" t="s">
        <v>185</v>
      </c>
      <c r="D25" s="15" t="s">
        <v>32</v>
      </c>
      <c r="E25" s="74">
        <v>1</v>
      </c>
      <c r="F25" s="74">
        <v>1</v>
      </c>
      <c r="G25" s="74">
        <v>0</v>
      </c>
      <c r="H25" s="74">
        <v>1</v>
      </c>
      <c r="I25" s="74">
        <v>0</v>
      </c>
      <c r="J25" s="74">
        <v>0</v>
      </c>
      <c r="K25" s="74">
        <v>1</v>
      </c>
      <c r="L25" s="74">
        <v>1</v>
      </c>
      <c r="M25" s="75">
        <f t="shared" si="0"/>
        <v>5</v>
      </c>
    </row>
    <row r="26" spans="2:13">
      <c r="B26" s="15">
        <v>2</v>
      </c>
      <c r="C26" s="19" t="s">
        <v>185</v>
      </c>
      <c r="D26" s="15" t="s">
        <v>33</v>
      </c>
      <c r="E26" s="74">
        <v>0</v>
      </c>
      <c r="F26" s="74">
        <v>1</v>
      </c>
      <c r="G26" s="74">
        <v>1</v>
      </c>
      <c r="H26" s="74">
        <v>0</v>
      </c>
      <c r="I26" s="74">
        <v>1</v>
      </c>
      <c r="J26" s="74">
        <v>0</v>
      </c>
      <c r="K26" s="74">
        <v>1</v>
      </c>
      <c r="L26" s="74">
        <v>0</v>
      </c>
      <c r="M26" s="75">
        <f t="shared" si="0"/>
        <v>4</v>
      </c>
    </row>
    <row r="27" spans="2:13">
      <c r="B27" s="20">
        <v>2</v>
      </c>
      <c r="C27" s="20" t="s">
        <v>186</v>
      </c>
      <c r="D27" s="21" t="s">
        <v>35</v>
      </c>
      <c r="E27" s="74">
        <v>1</v>
      </c>
      <c r="F27" s="74">
        <v>1</v>
      </c>
      <c r="G27" s="74">
        <v>1</v>
      </c>
      <c r="H27" s="74">
        <v>1</v>
      </c>
      <c r="I27" s="74">
        <v>1</v>
      </c>
      <c r="J27" s="74">
        <v>1</v>
      </c>
      <c r="K27" s="74">
        <v>1</v>
      </c>
      <c r="L27" s="74">
        <v>1</v>
      </c>
      <c r="M27" s="75">
        <f t="shared" si="0"/>
        <v>8</v>
      </c>
    </row>
    <row r="28" spans="2:13">
      <c r="B28" s="21">
        <v>2</v>
      </c>
      <c r="C28" s="20" t="s">
        <v>186</v>
      </c>
      <c r="D28" s="21" t="s">
        <v>36</v>
      </c>
      <c r="E28" s="74">
        <v>1</v>
      </c>
      <c r="F28" s="74">
        <v>1</v>
      </c>
      <c r="G28" s="74">
        <v>1</v>
      </c>
      <c r="H28" s="74">
        <v>1</v>
      </c>
      <c r="I28" s="74">
        <v>1</v>
      </c>
      <c r="J28" s="74">
        <v>1</v>
      </c>
      <c r="K28" s="74">
        <v>1</v>
      </c>
      <c r="L28" s="74">
        <v>1</v>
      </c>
      <c r="M28" s="75">
        <f t="shared" si="0"/>
        <v>8</v>
      </c>
    </row>
    <row r="29" spans="2:13">
      <c r="B29" s="21">
        <v>2</v>
      </c>
      <c r="C29" s="20" t="s">
        <v>186</v>
      </c>
      <c r="D29" s="21" t="s">
        <v>187</v>
      </c>
      <c r="E29" s="74">
        <v>1</v>
      </c>
      <c r="F29" s="74">
        <v>1</v>
      </c>
      <c r="G29" s="74">
        <v>1</v>
      </c>
      <c r="H29" s="74">
        <v>1</v>
      </c>
      <c r="I29" s="74">
        <v>1</v>
      </c>
      <c r="J29" s="74">
        <v>1</v>
      </c>
      <c r="K29" s="74">
        <v>1</v>
      </c>
      <c r="L29" s="74">
        <v>1</v>
      </c>
      <c r="M29" s="75">
        <f t="shared" si="0"/>
        <v>8</v>
      </c>
    </row>
    <row r="30" spans="2:13">
      <c r="B30" s="21">
        <v>2</v>
      </c>
      <c r="C30" s="20" t="s">
        <v>186</v>
      </c>
      <c r="D30" s="21" t="s">
        <v>38</v>
      </c>
      <c r="E30" s="74">
        <v>1</v>
      </c>
      <c r="F30" s="74">
        <v>1</v>
      </c>
      <c r="G30" s="74">
        <v>1</v>
      </c>
      <c r="H30" s="74">
        <v>1</v>
      </c>
      <c r="I30" s="74">
        <v>1</v>
      </c>
      <c r="J30" s="74">
        <v>0</v>
      </c>
      <c r="K30" s="74">
        <v>1</v>
      </c>
      <c r="L30" s="74">
        <v>1</v>
      </c>
      <c r="M30" s="75">
        <f t="shared" si="0"/>
        <v>7</v>
      </c>
    </row>
    <row r="31" spans="2:13">
      <c r="B31" s="21">
        <v>2</v>
      </c>
      <c r="C31" s="20" t="s">
        <v>186</v>
      </c>
      <c r="D31" s="21" t="s">
        <v>39</v>
      </c>
      <c r="E31" s="74">
        <v>0</v>
      </c>
      <c r="F31" s="74">
        <v>1</v>
      </c>
      <c r="G31" s="74">
        <v>1</v>
      </c>
      <c r="H31" s="74">
        <v>1</v>
      </c>
      <c r="I31" s="74">
        <v>0</v>
      </c>
      <c r="J31" s="74">
        <v>1</v>
      </c>
      <c r="K31" s="74">
        <v>1</v>
      </c>
      <c r="L31" s="74">
        <v>1</v>
      </c>
      <c r="M31" s="75">
        <f t="shared" si="0"/>
        <v>6</v>
      </c>
    </row>
    <row r="32" spans="2:13">
      <c r="B32" s="2">
        <v>2</v>
      </c>
      <c r="C32" s="20" t="s">
        <v>34</v>
      </c>
      <c r="D32" s="22" t="s">
        <v>188</v>
      </c>
      <c r="E32" s="74">
        <v>0</v>
      </c>
      <c r="F32" s="74">
        <v>0</v>
      </c>
      <c r="G32" s="74">
        <v>1</v>
      </c>
      <c r="H32" s="74">
        <v>1</v>
      </c>
      <c r="I32" s="74">
        <v>1</v>
      </c>
      <c r="J32" s="74">
        <v>1</v>
      </c>
      <c r="K32" s="74">
        <v>1</v>
      </c>
      <c r="L32" s="74">
        <v>1</v>
      </c>
      <c r="M32" s="75">
        <f t="shared" si="0"/>
        <v>6</v>
      </c>
    </row>
    <row r="33" spans="2:13">
      <c r="B33" s="21">
        <v>2</v>
      </c>
      <c r="C33" s="20" t="s">
        <v>186</v>
      </c>
      <c r="D33" s="21" t="s">
        <v>41</v>
      </c>
      <c r="E33" s="74">
        <v>1</v>
      </c>
      <c r="F33" s="74">
        <v>1</v>
      </c>
      <c r="G33" s="74">
        <v>1</v>
      </c>
      <c r="H33" s="74">
        <v>1</v>
      </c>
      <c r="I33" s="74">
        <v>0</v>
      </c>
      <c r="J33" s="74">
        <v>1</v>
      </c>
      <c r="K33" s="74">
        <v>1</v>
      </c>
      <c r="L33" s="74">
        <v>1</v>
      </c>
      <c r="M33" s="75">
        <f t="shared" si="0"/>
        <v>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N40"/>
  <sheetViews>
    <sheetView workbookViewId="0"/>
  </sheetViews>
  <sheetFormatPr defaultRowHeight="17"/>
  <cols>
    <col min="2" max="2" width="10.25" customWidth="1"/>
    <col min="3" max="8" width="10.58203125" customWidth="1"/>
  </cols>
  <sheetData>
    <row r="4" spans="2:14">
      <c r="B4" s="25" t="s">
        <v>95</v>
      </c>
      <c r="C4" s="25"/>
      <c r="D4" s="25"/>
      <c r="E4" s="25"/>
      <c r="F4" s="26"/>
      <c r="G4" s="24"/>
      <c r="H4" s="24"/>
      <c r="M4" s="25" t="s">
        <v>71</v>
      </c>
      <c r="N4" s="24"/>
    </row>
    <row r="5" spans="2:14">
      <c r="B5" s="64" t="s">
        <v>96</v>
      </c>
      <c r="C5" s="64" t="s">
        <v>97</v>
      </c>
      <c r="D5" s="64" t="s">
        <v>98</v>
      </c>
      <c r="E5" s="65" t="s">
        <v>99</v>
      </c>
      <c r="F5" s="64" t="s">
        <v>100</v>
      </c>
      <c r="G5" s="64" t="s">
        <v>101</v>
      </c>
      <c r="H5" s="65" t="s">
        <v>102</v>
      </c>
      <c r="M5" s="64" t="s">
        <v>111</v>
      </c>
      <c r="N5" s="64" t="s">
        <v>112</v>
      </c>
    </row>
    <row r="6" spans="2:14">
      <c r="B6" s="25" t="s">
        <v>103</v>
      </c>
      <c r="C6" s="25" t="s">
        <v>104</v>
      </c>
      <c r="D6" s="25" t="s">
        <v>105</v>
      </c>
      <c r="E6" s="81">
        <v>3000</v>
      </c>
      <c r="F6" s="66">
        <v>0.54166666666666663</v>
      </c>
      <c r="G6" s="66">
        <v>0.625</v>
      </c>
      <c r="H6" s="81">
        <v>6000</v>
      </c>
      <c r="M6" s="54" t="s">
        <v>113</v>
      </c>
      <c r="N6" s="68">
        <v>0</v>
      </c>
    </row>
    <row r="7" spans="2:14">
      <c r="B7" s="25" t="s">
        <v>106</v>
      </c>
      <c r="C7" s="25" t="s">
        <v>107</v>
      </c>
      <c r="D7" s="25" t="s">
        <v>108</v>
      </c>
      <c r="E7" s="81">
        <v>4000</v>
      </c>
      <c r="F7" s="66">
        <v>0.65277777777777779</v>
      </c>
      <c r="G7" s="66">
        <v>0.72916666666666663</v>
      </c>
      <c r="H7" s="81">
        <v>8000</v>
      </c>
      <c r="M7" s="54" t="s">
        <v>114</v>
      </c>
      <c r="N7" s="68">
        <v>3000</v>
      </c>
    </row>
    <row r="8" spans="2:14">
      <c r="B8" s="25"/>
      <c r="C8" s="25"/>
      <c r="D8" s="25"/>
      <c r="E8" s="81"/>
      <c r="F8" s="66"/>
      <c r="G8" s="66"/>
      <c r="H8" s="81"/>
      <c r="M8" s="54" t="s">
        <v>115</v>
      </c>
      <c r="N8" s="68">
        <v>4000</v>
      </c>
    </row>
    <row r="9" spans="2:14">
      <c r="B9" s="25"/>
      <c r="C9" s="25"/>
      <c r="D9" s="25"/>
      <c r="E9" s="81"/>
      <c r="F9" s="66"/>
      <c r="G9" s="66"/>
      <c r="H9" s="81"/>
    </row>
    <row r="10" spans="2:14">
      <c r="B10" s="25"/>
      <c r="C10" s="25"/>
      <c r="D10" s="25"/>
      <c r="E10" s="81"/>
      <c r="F10" s="66"/>
      <c r="G10" s="66"/>
      <c r="H10" s="81"/>
    </row>
    <row r="11" spans="2:14">
      <c r="B11" s="25"/>
      <c r="C11" s="25"/>
      <c r="D11" s="25"/>
      <c r="E11" s="81"/>
      <c r="F11" s="66"/>
      <c r="G11" s="66"/>
      <c r="H11" s="81"/>
    </row>
    <row r="12" spans="2:14">
      <c r="B12" s="25"/>
      <c r="C12" s="25"/>
      <c r="D12" s="25"/>
      <c r="E12" s="81"/>
      <c r="F12" s="66"/>
      <c r="G12" s="66"/>
      <c r="H12" s="81"/>
    </row>
    <row r="13" spans="2:14">
      <c r="B13" s="25"/>
      <c r="C13" s="25"/>
      <c r="D13" s="25"/>
      <c r="E13" s="81"/>
      <c r="F13" s="66"/>
      <c r="G13" s="66"/>
      <c r="H13" s="81"/>
    </row>
    <row r="14" spans="2:14">
      <c r="B14" s="25"/>
      <c r="C14" s="25"/>
      <c r="D14" s="25"/>
      <c r="E14" s="81"/>
      <c r="F14" s="66"/>
      <c r="G14" s="66"/>
      <c r="H14" s="81"/>
    </row>
    <row r="15" spans="2:14">
      <c r="B15" s="25"/>
      <c r="C15" s="25"/>
      <c r="D15" s="25"/>
      <c r="E15" s="81"/>
      <c r="F15" s="66"/>
      <c r="G15" s="66"/>
      <c r="H15" s="81"/>
    </row>
    <row r="16" spans="2:14">
      <c r="B16" s="25"/>
      <c r="C16" s="25"/>
      <c r="D16" s="25"/>
      <c r="E16" s="81"/>
      <c r="F16" s="66"/>
      <c r="G16" s="66"/>
      <c r="H16" s="81"/>
    </row>
    <row r="17" spans="2:8">
      <c r="B17" s="25"/>
      <c r="C17" s="25"/>
      <c r="D17" s="25"/>
      <c r="E17" s="81"/>
      <c r="F17" s="66"/>
      <c r="G17" s="66"/>
      <c r="H17" s="81"/>
    </row>
    <row r="18" spans="2:8">
      <c r="B18" s="25"/>
      <c r="C18" s="25"/>
      <c r="D18" s="25"/>
      <c r="E18" s="81"/>
      <c r="F18" s="66"/>
      <c r="G18" s="66"/>
      <c r="H18" s="81"/>
    </row>
    <row r="19" spans="2:8">
      <c r="B19" s="25"/>
      <c r="C19" s="25"/>
      <c r="D19" s="25"/>
      <c r="E19" s="81"/>
      <c r="F19" s="66"/>
      <c r="G19" s="66"/>
      <c r="H19" s="81"/>
    </row>
    <row r="20" spans="2:8">
      <c r="B20" s="25"/>
      <c r="C20" s="25"/>
      <c r="D20" s="25"/>
      <c r="E20" s="81"/>
      <c r="F20" s="66"/>
      <c r="G20" s="66"/>
      <c r="H20" s="81"/>
    </row>
    <row r="21" spans="2:8">
      <c r="B21" s="25"/>
      <c r="C21" s="25"/>
      <c r="D21" s="25"/>
      <c r="E21" s="81"/>
      <c r="F21" s="66"/>
      <c r="G21" s="66"/>
      <c r="H21" s="81"/>
    </row>
    <row r="22" spans="2:8">
      <c r="B22" s="25"/>
      <c r="C22" s="25"/>
      <c r="D22" s="25"/>
      <c r="E22" s="81"/>
      <c r="F22" s="66"/>
      <c r="G22" s="66"/>
      <c r="H22" s="81"/>
    </row>
    <row r="23" spans="2:8">
      <c r="B23" s="25"/>
      <c r="C23" s="25"/>
      <c r="D23" s="25"/>
      <c r="E23" s="81"/>
      <c r="F23" s="66"/>
      <c r="G23" s="66"/>
      <c r="H23" s="81"/>
    </row>
    <row r="24" spans="2:8">
      <c r="B24" s="25"/>
      <c r="C24" s="25"/>
      <c r="D24" s="25"/>
      <c r="E24" s="81"/>
      <c r="F24" s="66"/>
      <c r="G24" s="66"/>
      <c r="H24" s="81"/>
    </row>
    <row r="25" spans="2:8">
      <c r="B25" s="25"/>
      <c r="C25" s="25"/>
      <c r="D25" s="25"/>
      <c r="E25" s="81"/>
      <c r="F25" s="66"/>
      <c r="G25" s="66"/>
      <c r="H25" s="81"/>
    </row>
    <row r="26" spans="2:8">
      <c r="B26" s="25"/>
      <c r="C26" s="25"/>
      <c r="D26" s="25"/>
      <c r="E26" s="81"/>
      <c r="F26" s="66"/>
      <c r="G26" s="66"/>
      <c r="H26" s="81"/>
    </row>
    <row r="27" spans="2:8">
      <c r="B27" s="25"/>
      <c r="C27" s="25"/>
      <c r="D27" s="25"/>
      <c r="E27" s="81"/>
      <c r="F27" s="66"/>
      <c r="G27" s="66"/>
      <c r="H27" s="81"/>
    </row>
    <row r="28" spans="2:8">
      <c r="B28" s="25"/>
      <c r="C28" s="25"/>
      <c r="D28" s="25"/>
      <c r="E28" s="81"/>
      <c r="F28" s="66"/>
      <c r="G28" s="66"/>
      <c r="H28" s="81"/>
    </row>
    <row r="29" spans="2:8">
      <c r="B29" s="25"/>
      <c r="C29" s="25"/>
      <c r="D29" s="25"/>
      <c r="E29" s="81"/>
      <c r="F29" s="66"/>
      <c r="G29" s="66"/>
      <c r="H29" s="81"/>
    </row>
    <row r="30" spans="2:8">
      <c r="B30" s="25"/>
      <c r="C30" s="25"/>
      <c r="D30" s="25"/>
      <c r="E30" s="81"/>
      <c r="F30" s="66"/>
      <c r="G30" s="66"/>
      <c r="H30" s="81"/>
    </row>
    <row r="31" spans="2:8">
      <c r="B31" s="25"/>
      <c r="C31" s="25"/>
      <c r="D31" s="25"/>
      <c r="E31" s="81"/>
      <c r="F31" s="66"/>
      <c r="G31" s="66"/>
      <c r="H31" s="81"/>
    </row>
    <row r="32" spans="2:8">
      <c r="B32" s="25"/>
      <c r="C32" s="25"/>
      <c r="D32" s="25"/>
      <c r="E32" s="81"/>
      <c r="F32" s="66"/>
      <c r="G32" s="66"/>
      <c r="H32" s="81"/>
    </row>
    <row r="33" spans="2:8">
      <c r="B33" s="25"/>
      <c r="C33" s="25"/>
      <c r="D33" s="25"/>
      <c r="E33" s="81"/>
      <c r="F33" s="66"/>
      <c r="G33" s="66"/>
      <c r="H33" s="81"/>
    </row>
    <row r="34" spans="2:8">
      <c r="B34" s="25"/>
      <c r="C34" s="25"/>
      <c r="D34" s="25"/>
      <c r="E34" s="81"/>
      <c r="F34" s="66"/>
      <c r="G34" s="66"/>
      <c r="H34" s="81"/>
    </row>
    <row r="35" spans="2:8">
      <c r="B35" s="25"/>
      <c r="C35" s="25"/>
      <c r="D35" s="25"/>
      <c r="E35" s="81"/>
      <c r="F35" s="66"/>
      <c r="G35" s="66"/>
      <c r="H35" s="81"/>
    </row>
    <row r="36" spans="2:8">
      <c r="B36" s="25"/>
      <c r="C36" s="25"/>
      <c r="D36" s="25"/>
      <c r="E36" s="81"/>
      <c r="F36" s="66"/>
      <c r="G36" s="66"/>
      <c r="H36" s="81"/>
    </row>
    <row r="37" spans="2:8">
      <c r="B37" s="25"/>
      <c r="C37" s="25"/>
      <c r="D37" s="25"/>
      <c r="E37" s="81"/>
      <c r="F37" s="66"/>
      <c r="G37" s="66"/>
      <c r="H37" s="81"/>
    </row>
    <row r="38" spans="2:8">
      <c r="B38" s="25"/>
      <c r="C38" s="25"/>
      <c r="D38" s="25"/>
      <c r="E38" s="81"/>
      <c r="F38" s="66"/>
      <c r="G38" s="66"/>
      <c r="H38" s="81"/>
    </row>
    <row r="39" spans="2:8">
      <c r="B39" s="25"/>
      <c r="C39" s="25"/>
      <c r="D39" s="25"/>
      <c r="E39" s="81"/>
      <c r="F39" s="66"/>
      <c r="G39" s="66"/>
      <c r="H39" s="81"/>
    </row>
    <row r="40" spans="2:8">
      <c r="B40" s="25"/>
      <c r="C40" s="25"/>
      <c r="D40" s="25"/>
      <c r="E40" s="81"/>
      <c r="F40" s="66"/>
      <c r="G40" s="66"/>
      <c r="H40" s="8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등록작업">
          <controlPr defaultSize="0" autoLine="0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463550</xdr:colOff>
                <xdr:row>3</xdr:row>
                <xdr:rowOff>57150</xdr:rowOff>
              </to>
            </anchor>
          </controlPr>
        </control>
      </mc:Choice>
      <mc:Fallback>
        <control shapeId="7169" r:id="rId4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2022-07-23T05:27:41Z</dcterms:modified>
</cp:coreProperties>
</file>