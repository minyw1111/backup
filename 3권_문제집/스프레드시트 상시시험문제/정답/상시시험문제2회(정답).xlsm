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기본서\1급\교정\2023년컴활1급\3권_문제집\스프레드시트 상시시험문제\정답\"/>
    </mc:Choice>
  </mc:AlternateContent>
  <bookViews>
    <workbookView xWindow="0" yWindow="0" windowWidth="17660" windowHeight="14070" tabRatio="837"/>
  </bookViews>
  <sheets>
    <sheet name="기본작업-1" sheetId="1" r:id="rId1"/>
    <sheet name="기본작업-2" sheetId="3" r:id="rId2"/>
    <sheet name="계산작업" sheetId="2" r:id="rId3"/>
    <sheet name="분석작업-1" sheetId="5" r:id="rId4"/>
    <sheet name="분석작업-2" sheetId="4" r:id="rId5"/>
    <sheet name="기타작업-1" sheetId="6" r:id="rId6"/>
    <sheet name="기타작업-2" sheetId="7" r:id="rId7"/>
    <sheet name="기타작업-3" sheetId="8" r:id="rId8"/>
  </sheets>
  <functionGroups builtInGroupCount="18"/>
  <definedNames>
    <definedName name="_xlnm._FilterDatabase" localSheetId="0" hidden="1">'기본작업-1'!$A$2:$H$18</definedName>
    <definedName name="_xlnm.Criteria" localSheetId="0">'기본작업-1'!$J$2:$J$3</definedName>
    <definedName name="_xlnm.Extract" localSheetId="0">'기본작업-1'!$J$5:$M$5</definedName>
    <definedName name="_xlnm.Print_Area" localSheetId="1">'기본작업-2'!$A$2:$J$99</definedName>
    <definedName name="_xlnm.Print_Titles" localSheetId="1">'기본작업-2'!$2:$2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수강현황" name="수강현황" connection="수강현황"/>
        </x15:modelTables>
      </x15:dataModel>
    </ext>
  </extLst>
</workbook>
</file>

<file path=xl/calcChain.xml><?xml version="1.0" encoding="utf-8"?>
<calcChain xmlns="http://schemas.openxmlformats.org/spreadsheetml/2006/main">
  <c r="J3" i="1" l="1"/>
  <c r="B23" i="2" l="1" a="1"/>
  <c r="B23" i="2" s="1"/>
  <c r="B24" i="2" a="1"/>
  <c r="B24" i="2" s="1"/>
  <c r="B22" i="2" a="1"/>
  <c r="B22" i="2" s="1"/>
  <c r="G3" i="2" l="1"/>
  <c r="E22" i="2" l="1" a="1"/>
  <c r="E22" i="2" s="1"/>
  <c r="E23" i="2" a="1"/>
  <c r="E23" i="2" s="1"/>
  <c r="E24" i="2" a="1"/>
  <c r="E24" i="2" s="1"/>
  <c r="F4" i="2"/>
  <c r="F5" i="2"/>
  <c r="F6" i="2"/>
  <c r="F7" i="2"/>
  <c r="F8" i="2"/>
  <c r="H8" i="2" s="1"/>
  <c r="F9" i="2"/>
  <c r="H9" i="2" s="1"/>
  <c r="F10" i="2"/>
  <c r="H10" i="2" s="1"/>
  <c r="F11" i="2"/>
  <c r="H11" i="2" s="1"/>
  <c r="F12" i="2"/>
  <c r="H12" i="2" s="1"/>
  <c r="F13" i="2"/>
  <c r="H13" i="2" s="1"/>
  <c r="F14" i="2"/>
  <c r="F15" i="2"/>
  <c r="F16" i="2"/>
  <c r="H16" i="2" s="1"/>
  <c r="F17" i="2"/>
  <c r="H17" i="2" s="1"/>
  <c r="F18" i="2"/>
  <c r="H18" i="2" s="1"/>
  <c r="F3" i="2"/>
  <c r="H3" i="2" s="1"/>
  <c r="H4" i="2"/>
  <c r="H5" i="2"/>
  <c r="H6" i="2"/>
  <c r="H7" i="2"/>
  <c r="H14" i="2"/>
  <c r="H15" i="2"/>
  <c r="E10" i="2"/>
  <c r="E9" i="2"/>
  <c r="E4" i="2"/>
  <c r="E5" i="2"/>
  <c r="E6" i="2"/>
  <c r="E7" i="2"/>
  <c r="E8" i="2"/>
  <c r="E15" i="2"/>
  <c r="E11" i="2"/>
  <c r="E12" i="2"/>
  <c r="E13" i="2"/>
  <c r="E14" i="2"/>
  <c r="E16" i="2"/>
  <c r="E17" i="2"/>
  <c r="E18" i="2"/>
  <c r="E3" i="2"/>
  <c r="G9" i="2"/>
  <c r="G5" i="2"/>
  <c r="G15" i="2"/>
  <c r="G18" i="2"/>
  <c r="G7" i="2"/>
  <c r="G10" i="2"/>
  <c r="G11" i="2"/>
  <c r="G17" i="2"/>
  <c r="G4" i="2"/>
  <c r="G6" i="2"/>
  <c r="G12" i="2"/>
  <c r="G14" i="2"/>
  <c r="G13" i="2"/>
  <c r="G16" i="2"/>
  <c r="G8" i="2"/>
  <c r="D9" i="7" l="1"/>
  <c r="E9" i="7"/>
  <c r="F9" i="7"/>
  <c r="C9" i="7"/>
  <c r="F7" i="7"/>
  <c r="E7" i="7"/>
  <c r="D7" i="7"/>
  <c r="C7" i="7"/>
  <c r="F5" i="7"/>
  <c r="E5" i="7"/>
  <c r="D5" i="7"/>
  <c r="C5" i="7"/>
  <c r="B5" i="4" l="1"/>
  <c r="B8" i="4" s="1"/>
  <c r="B13" i="4" s="1"/>
  <c r="G24" i="2" l="1" a="1"/>
  <c r="G24" i="2" s="1"/>
  <c r="F24" i="2" a="1"/>
  <c r="F24" i="2" s="1"/>
  <c r="G23" i="2" a="1"/>
  <c r="G23" i="2" s="1"/>
  <c r="F23" i="2" a="1"/>
  <c r="F23" i="2" s="1"/>
  <c r="G22" i="2" a="1"/>
  <c r="G22" i="2" s="1"/>
  <c r="F22" i="2" a="1"/>
  <c r="F22" i="2" s="1"/>
</calcChain>
</file>

<file path=xl/connections.xml><?xml version="1.0" encoding="utf-8"?>
<connections xmlns="http://schemas.openxmlformats.org/spreadsheetml/2006/main">
  <connection id="1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수강현황" type="103" refreshedVersion="6" minRefreshableVersion="5">
    <extLst>
      <ext xmlns:x15="http://schemas.microsoft.com/office/spreadsheetml/2010/11/main" uri="{DE250136-89BD-433C-8126-D09CA5730AF9}">
        <x15:connection id="수강현황" autoDelete="1">
          <x15:textPr prompt="0" codePage="949" sourceFile="E:\영진(2023년)\1급\기출2회\수강현황.csv" tab="0" comma="1">
            <textFields count="10">
              <textField type="skip"/>
              <textField type="skip"/>
              <textField type="skip"/>
              <textField type="skip"/>
              <textField/>
              <textField/>
              <textField type="skip"/>
              <textField type="skip"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수강현황].[강좌명].&amp;[바리스타중급],[수강현황].[강좌명].&amp;[바이올린중급],[수강현황].[강좌명].&amp;[영어회화중급],[수강현황].[강좌명].&amp;[오카리나(중)],[수강현황].[강좌명].&amp;[종이접기(중)],[수강현황].[강좌명].&amp;[수채화그리기(중)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<sst xmlns="http://schemas.openxmlformats.org/spreadsheetml/2006/main" count="723" uniqueCount="271">
  <si>
    <t>동</t>
    <phoneticPr fontId="2" type="noConversion"/>
  </si>
  <si>
    <t>호수</t>
  </si>
  <si>
    <t>호수</t>
    <phoneticPr fontId="2" type="noConversion"/>
  </si>
  <si>
    <t>한수동</t>
    <phoneticPr fontId="2" type="noConversion"/>
  </si>
  <si>
    <t>나리동</t>
    <phoneticPr fontId="2" type="noConversion"/>
  </si>
  <si>
    <t>장미동</t>
    <phoneticPr fontId="2" type="noConversion"/>
  </si>
  <si>
    <t>장미동</t>
    <phoneticPr fontId="2" type="noConversion"/>
  </si>
  <si>
    <t>가족수</t>
  </si>
  <si>
    <t>전기료</t>
    <phoneticPr fontId="2" type="noConversion"/>
  </si>
  <si>
    <t>납부일</t>
    <phoneticPr fontId="2" type="noConversion"/>
  </si>
  <si>
    <t>[표1]</t>
    <phoneticPr fontId="2" type="noConversion"/>
  </si>
  <si>
    <t>동</t>
    <phoneticPr fontId="2" type="noConversion"/>
  </si>
  <si>
    <t>호수</t>
    <phoneticPr fontId="2" type="noConversion"/>
  </si>
  <si>
    <t>가족수</t>
    <phoneticPr fontId="2" type="noConversion"/>
  </si>
  <si>
    <t>전기사용요금</t>
    <phoneticPr fontId="2" type="noConversion"/>
  </si>
  <si>
    <t>공동금액</t>
    <phoneticPr fontId="2" type="noConversion"/>
  </si>
  <si>
    <t>단위별공동금액</t>
    <phoneticPr fontId="2" type="noConversion"/>
  </si>
  <si>
    <t>장미동</t>
    <phoneticPr fontId="2" type="noConversion"/>
  </si>
  <si>
    <t>합계</t>
    <phoneticPr fontId="2" type="noConversion"/>
  </si>
  <si>
    <t>동:호수</t>
    <phoneticPr fontId="2" type="noConversion"/>
  </si>
  <si>
    <t>[표4]</t>
    <phoneticPr fontId="2" type="noConversion"/>
  </si>
  <si>
    <t>전기사용량</t>
    <phoneticPr fontId="2" type="noConversion"/>
  </si>
  <si>
    <t>기본요금</t>
    <phoneticPr fontId="2" type="noConversion"/>
  </si>
  <si>
    <t>전력량요금</t>
    <phoneticPr fontId="2" type="noConversion"/>
  </si>
  <si>
    <t>차량금액</t>
    <phoneticPr fontId="3" type="noConversion"/>
  </si>
  <si>
    <t>인도금</t>
    <phoneticPr fontId="3" type="noConversion"/>
  </si>
  <si>
    <t>할부원금</t>
    <phoneticPr fontId="3" type="noConversion"/>
  </si>
  <si>
    <t>연이율</t>
    <phoneticPr fontId="3" type="noConversion"/>
  </si>
  <si>
    <t>상환기간(월)</t>
    <phoneticPr fontId="3" type="noConversion"/>
  </si>
  <si>
    <t>월납입금액</t>
    <phoneticPr fontId="3" type="noConversion"/>
  </si>
  <si>
    <r>
      <t>[표1]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자동차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할부금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계산</t>
    </r>
    <phoneticPr fontId="3" type="noConversion"/>
  </si>
  <si>
    <t>연이율</t>
    <phoneticPr fontId="2" type="noConversion"/>
  </si>
  <si>
    <t>[표2]</t>
    <phoneticPr fontId="2" type="noConversion"/>
  </si>
  <si>
    <t>상환기간(월)</t>
    <phoneticPr fontId="2" type="noConversion"/>
  </si>
  <si>
    <t>[표1] S사 연도별 수출입 현황</t>
    <phoneticPr fontId="3" type="noConversion"/>
  </si>
  <si>
    <t>단위: 만원</t>
    <phoneticPr fontId="3" type="noConversion"/>
  </si>
  <si>
    <t>구분</t>
    <phoneticPr fontId="3" type="noConversion"/>
  </si>
  <si>
    <t>수출</t>
    <phoneticPr fontId="3" type="noConversion"/>
  </si>
  <si>
    <t>증감률</t>
    <phoneticPr fontId="3" type="noConversion"/>
  </si>
  <si>
    <t>수입</t>
    <phoneticPr fontId="3" type="noConversion"/>
  </si>
  <si>
    <t>수지</t>
    <phoneticPr fontId="3" type="noConversion"/>
  </si>
  <si>
    <t>2023년</t>
    <phoneticPr fontId="2" type="noConversion"/>
  </si>
  <si>
    <t>2022년</t>
    <phoneticPr fontId="2" type="noConversion"/>
  </si>
  <si>
    <t>2019년</t>
  </si>
  <si>
    <t>2020년</t>
  </si>
  <si>
    <t>2021년</t>
  </si>
  <si>
    <t xml:space="preserve">[표1] </t>
    <phoneticPr fontId="2" type="noConversion"/>
  </si>
  <si>
    <t>단위별공동요금</t>
  </si>
  <si>
    <t>[표1]</t>
    <phoneticPr fontId="2" type="noConversion"/>
  </si>
  <si>
    <t>납부일</t>
    <phoneticPr fontId="2" type="noConversion"/>
  </si>
  <si>
    <t>한수동</t>
    <phoneticPr fontId="2" type="noConversion"/>
  </si>
  <si>
    <t>전기(kWh)</t>
    <phoneticPr fontId="2" type="noConversion"/>
  </si>
  <si>
    <t>장미동</t>
    <phoneticPr fontId="2" type="noConversion"/>
  </si>
  <si>
    <t>전기(kWh)</t>
    <phoneticPr fontId="2" type="noConversion"/>
  </si>
  <si>
    <t>[표2]</t>
    <phoneticPr fontId="2" type="noConversion"/>
  </si>
  <si>
    <t>[표3]</t>
    <phoneticPr fontId="2" type="noConversion"/>
  </si>
  <si>
    <t>승강기전기료</t>
    <phoneticPr fontId="2" type="noConversion"/>
  </si>
  <si>
    <t>동</t>
  </si>
  <si>
    <t>전기(kWh)</t>
  </si>
  <si>
    <t>전기사용요금</t>
  </si>
  <si>
    <t>공동금액</t>
  </si>
  <si>
    <t>승강기전기료</t>
  </si>
  <si>
    <t>한수동</t>
  </si>
  <si>
    <t>나리동</t>
  </si>
  <si>
    <t>장미동</t>
  </si>
  <si>
    <t>나리동 전기 사용 현황</t>
    <phoneticPr fontId="2" type="noConversion"/>
  </si>
  <si>
    <t>수강생코드</t>
  </si>
  <si>
    <t>수강생명</t>
  </si>
  <si>
    <t>주소</t>
  </si>
  <si>
    <t>강좌코드</t>
  </si>
  <si>
    <t>강좌명</t>
  </si>
  <si>
    <t>강사명</t>
  </si>
  <si>
    <t>수강료</t>
  </si>
  <si>
    <t>수강료합계</t>
  </si>
  <si>
    <t>납부액</t>
  </si>
  <si>
    <t>미납액</t>
  </si>
  <si>
    <t>A-023</t>
  </si>
  <si>
    <t>민유아</t>
  </si>
  <si>
    <t>서대문구</t>
  </si>
  <si>
    <t>VF01</t>
  </si>
  <si>
    <t>피트니스1</t>
  </si>
  <si>
    <t>한류민</t>
  </si>
  <si>
    <t>AC01</t>
  </si>
  <si>
    <t>바리스타기초</t>
  </si>
  <si>
    <t>최문하</t>
  </si>
  <si>
    <t>A-024</t>
  </si>
  <si>
    <t>강지음</t>
  </si>
  <si>
    <t>성북구</t>
  </si>
  <si>
    <t>CP02</t>
  </si>
  <si>
    <t>한지공예(오후)</t>
  </si>
  <si>
    <t>이윤호</t>
  </si>
  <si>
    <t>VJ03</t>
  </si>
  <si>
    <t>종이접기(고)</t>
  </si>
  <si>
    <t>정윤로</t>
  </si>
  <si>
    <t>A-025</t>
  </si>
  <si>
    <t>김미현</t>
  </si>
  <si>
    <t>도봉구</t>
  </si>
  <si>
    <t>CC02</t>
  </si>
  <si>
    <t>중식요리</t>
  </si>
  <si>
    <t>하민수</t>
  </si>
  <si>
    <t>TR01</t>
  </si>
  <si>
    <t>바이올린초급</t>
  </si>
  <si>
    <t>유지영</t>
  </si>
  <si>
    <t>A-026</t>
  </si>
  <si>
    <t>이윤하</t>
  </si>
  <si>
    <t>강남구</t>
  </si>
  <si>
    <t>VM03</t>
  </si>
  <si>
    <t>오카리나(고)</t>
  </si>
  <si>
    <t>윤지윤</t>
  </si>
  <si>
    <t>AM03</t>
  </si>
  <si>
    <t>트로트배우기3</t>
  </si>
  <si>
    <t>하지민</t>
  </si>
  <si>
    <t>A-027</t>
  </si>
  <si>
    <t>최연지</t>
  </si>
  <si>
    <t>VH02</t>
  </si>
  <si>
    <t>손바느질2</t>
  </si>
  <si>
    <t>하진아</t>
  </si>
  <si>
    <t>VP01</t>
  </si>
  <si>
    <t>수채화그리기(초)</t>
  </si>
  <si>
    <t>장하민</t>
  </si>
  <si>
    <t>A-028</t>
  </si>
  <si>
    <t>이민지</t>
  </si>
  <si>
    <t>광진구</t>
  </si>
  <si>
    <t>CC01</t>
  </si>
  <si>
    <t>일식요리</t>
  </si>
  <si>
    <t>A-029</t>
  </si>
  <si>
    <t>안영웅</t>
  </si>
  <si>
    <t>노원구</t>
  </si>
  <si>
    <t>A-030</t>
  </si>
  <si>
    <t>김사윤</t>
  </si>
  <si>
    <t>마포구</t>
  </si>
  <si>
    <t>AM02</t>
  </si>
  <si>
    <t>트로트배우기2</t>
  </si>
  <si>
    <t>A-031</t>
  </si>
  <si>
    <t>김사랑</t>
  </si>
  <si>
    <t>AM01</t>
  </si>
  <si>
    <t>트로트배우기1</t>
  </si>
  <si>
    <t>A-032</t>
  </si>
  <si>
    <t>정아진</t>
  </si>
  <si>
    <t>중랑구</t>
  </si>
  <si>
    <t>VJ01</t>
  </si>
  <si>
    <t>종이접기(초)</t>
  </si>
  <si>
    <t>VM02</t>
  </si>
  <si>
    <t>오카리나(중)</t>
  </si>
  <si>
    <t>A-033</t>
  </si>
  <si>
    <t>민유리</t>
  </si>
  <si>
    <t>VH01</t>
  </si>
  <si>
    <t>손바느질1</t>
  </si>
  <si>
    <t>CP01</t>
  </si>
  <si>
    <t>한지공예(오전)</t>
  </si>
  <si>
    <t>C-003</t>
  </si>
  <si>
    <t>박서진</t>
  </si>
  <si>
    <t>동작구</t>
  </si>
  <si>
    <t>CE02</t>
  </si>
  <si>
    <t>영어회화중급</t>
  </si>
  <si>
    <t>김윤하</t>
  </si>
  <si>
    <t>C-004</t>
  </si>
  <si>
    <t>박서후</t>
  </si>
  <si>
    <t>서초구</t>
  </si>
  <si>
    <t>CR02</t>
  </si>
  <si>
    <t>로봇코딩(오후)</t>
  </si>
  <si>
    <t>강윤아</t>
  </si>
  <si>
    <t>TR02</t>
  </si>
  <si>
    <t>바이올린중급</t>
  </si>
  <si>
    <t>C-005</t>
  </si>
  <si>
    <t>지수아</t>
  </si>
  <si>
    <t>관악구</t>
  </si>
  <si>
    <t>CD02</t>
  </si>
  <si>
    <t>방송댄스(자격증)</t>
  </si>
  <si>
    <t>이미나</t>
  </si>
  <si>
    <t>C-006</t>
  </si>
  <si>
    <t>지영훈</t>
  </si>
  <si>
    <t>C-007</t>
  </si>
  <si>
    <t>윤하진</t>
  </si>
  <si>
    <t>종로구</t>
  </si>
  <si>
    <t>AC02</t>
  </si>
  <si>
    <t>바리스타중급</t>
  </si>
  <si>
    <t>C-008</t>
  </si>
  <si>
    <t>윤하율</t>
  </si>
  <si>
    <t>중구</t>
  </si>
  <si>
    <t>C-009</t>
  </si>
  <si>
    <t>지민서</t>
  </si>
  <si>
    <t>은평구</t>
  </si>
  <si>
    <t>C-010</t>
  </si>
  <si>
    <t>장주영</t>
  </si>
  <si>
    <t>용산구</t>
  </si>
  <si>
    <t>VP02</t>
  </si>
  <si>
    <t>수채화그리기(중)</t>
  </si>
  <si>
    <t>C-011</t>
  </si>
  <si>
    <t>하미정</t>
  </si>
  <si>
    <t>금천구</t>
  </si>
  <si>
    <t>C-012</t>
  </si>
  <si>
    <t>한서윤</t>
  </si>
  <si>
    <t>강동구</t>
  </si>
  <si>
    <t>CE03</t>
  </si>
  <si>
    <t>영어회화고급</t>
  </si>
  <si>
    <t>C-013</t>
  </si>
  <si>
    <t>송파구</t>
  </si>
  <si>
    <t>D-014</t>
  </si>
  <si>
    <t>송창희</t>
  </si>
  <si>
    <t>강서구</t>
  </si>
  <si>
    <t>D-015</t>
  </si>
  <si>
    <t>나민우</t>
  </si>
  <si>
    <t>강북구</t>
  </si>
  <si>
    <t>D-016</t>
  </si>
  <si>
    <t>민지후</t>
  </si>
  <si>
    <t>D-017</t>
  </si>
  <si>
    <t>홍기영</t>
  </si>
  <si>
    <t>동대문구</t>
  </si>
  <si>
    <t>D-018</t>
  </si>
  <si>
    <t>황미음</t>
  </si>
  <si>
    <t>VF02</t>
  </si>
  <si>
    <t>피트니스2</t>
  </si>
  <si>
    <t>M-021</t>
  </si>
  <si>
    <t>진하민</t>
  </si>
  <si>
    <t>영등포구</t>
  </si>
  <si>
    <t>TR03</t>
  </si>
  <si>
    <t>바이올린고급</t>
  </si>
  <si>
    <t>M-022</t>
  </si>
  <si>
    <t>유하수</t>
  </si>
  <si>
    <t>CR01</t>
  </si>
  <si>
    <t>로봇코딩(오전)</t>
  </si>
  <si>
    <t>M-023</t>
  </si>
  <si>
    <t>윤미래</t>
  </si>
  <si>
    <t>M-024</t>
  </si>
  <si>
    <t>도미라</t>
  </si>
  <si>
    <t>M-025</t>
  </si>
  <si>
    <t>유진희</t>
  </si>
  <si>
    <t>M-026</t>
  </si>
  <si>
    <t>하창수</t>
  </si>
  <si>
    <t>M-027</t>
  </si>
  <si>
    <t>하창희</t>
  </si>
  <si>
    <t>M-028</t>
  </si>
  <si>
    <t>민윤서</t>
  </si>
  <si>
    <t>M-029</t>
  </si>
  <si>
    <t>정의진</t>
  </si>
  <si>
    <t>M-030</t>
  </si>
  <si>
    <t>서미라</t>
  </si>
  <si>
    <t>M-031</t>
  </si>
  <si>
    <t>서정윤</t>
  </si>
  <si>
    <t>S-009</t>
  </si>
  <si>
    <t>사미영</t>
  </si>
  <si>
    <t>VJ02</t>
  </si>
  <si>
    <t>종이접기(중)</t>
  </si>
  <si>
    <t>S-010</t>
  </si>
  <si>
    <t>한동수</t>
  </si>
  <si>
    <t>S-011</t>
  </si>
  <si>
    <t>최진이</t>
  </si>
  <si>
    <t>S-012</t>
  </si>
  <si>
    <t>이미리</t>
  </si>
  <si>
    <t>VM01</t>
  </si>
  <si>
    <t>오카리나(초)</t>
  </si>
  <si>
    <t>S-013</t>
  </si>
  <si>
    <t>임영진</t>
  </si>
  <si>
    <t>S-014</t>
  </si>
  <si>
    <t>강미현</t>
  </si>
  <si>
    <t>S-015</t>
  </si>
  <si>
    <t>민서율</t>
  </si>
  <si>
    <t>S-016</t>
  </si>
  <si>
    <t>한지후</t>
  </si>
  <si>
    <t>S-017</t>
  </si>
  <si>
    <t>도은서</t>
  </si>
  <si>
    <t>S-018</t>
  </si>
  <si>
    <t>장한서</t>
  </si>
  <si>
    <t>조건</t>
    <phoneticPr fontId="2" type="noConversion"/>
  </si>
  <si>
    <t>총합계</t>
  </si>
  <si>
    <t>합계: 납부액</t>
  </si>
  <si>
    <t>(다중 항목)</t>
  </si>
  <si>
    <t>납부액비율</t>
  </si>
  <si>
    <t>합계: 미납액</t>
  </si>
  <si>
    <t>32,193원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</si>
</sst>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General\ &quot;이&quot;&quot;상&quot;"/>
    <numFmt numFmtId="177" formatCode="General\ &quot;미&quot;&quot;만&quot;"/>
    <numFmt numFmtId="178" formatCode="0&quot;Kwh~&quot;"/>
    <numFmt numFmtId="179" formatCode="0&quot;Kwh&quot;"/>
    <numFmt numFmtId="180" formatCode="_-* #,##0.0_-;\-* #,##0.0_-;_-* &quot;-&quot;_-;_-@_-"/>
    <numFmt numFmtId="181" formatCode="0_ "/>
    <numFmt numFmtId="182" formatCode="_-* #,##0.00_-;\-* #,##0.00_-;_-* &quot;-&quot;_-;_-@_-"/>
    <numFmt numFmtId="183" formatCode="yyyy/mm/dd\ aaa"/>
    <numFmt numFmtId="184" formatCode="0.00;[Red]&quot;▼&quot;* 0.00;;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0" xfId="1" applyFont="1">
      <alignment vertical="center"/>
    </xf>
    <xf numFmtId="176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80" fontId="0" fillId="0" borderId="1" xfId="1" applyNumberFormat="1" applyFont="1" applyBorder="1">
      <alignment vertical="center"/>
    </xf>
    <xf numFmtId="9" fontId="0" fillId="0" borderId="1" xfId="1" applyNumberFormat="1" applyFont="1" applyBorder="1">
      <alignment vertical="center"/>
    </xf>
    <xf numFmtId="9" fontId="0" fillId="0" borderId="1" xfId="0" applyNumberFormat="1" applyBorder="1">
      <alignment vertical="center"/>
    </xf>
    <xf numFmtId="0" fontId="5" fillId="0" borderId="1" xfId="0" applyFont="1" applyBorder="1" applyAlignment="1">
      <alignment horizontal="left" vertical="center" indent="1"/>
    </xf>
    <xf numFmtId="42" fontId="5" fillId="0" borderId="1" xfId="2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9" fontId="5" fillId="0" borderId="1" xfId="3" applyFont="1" applyBorder="1" applyAlignment="1">
      <alignment horizontal="center" vertical="center"/>
    </xf>
    <xf numFmtId="0" fontId="0" fillId="0" borderId="0" xfId="0" applyFont="1" applyAlignment="1"/>
    <xf numFmtId="0" fontId="4" fillId="0" borderId="1" xfId="0" applyFont="1" applyFill="1" applyBorder="1" applyAlignment="1">
      <alignment horizontal="center"/>
    </xf>
    <xf numFmtId="0" fontId="4" fillId="0" borderId="2" xfId="0" applyFont="1" applyBorder="1" applyAlignment="1"/>
    <xf numFmtId="41" fontId="4" fillId="0" borderId="1" xfId="1" applyFont="1" applyBorder="1" applyAlignment="1"/>
    <xf numFmtId="0" fontId="4" fillId="0" borderId="5" xfId="0" applyFont="1" applyBorder="1" applyAlignment="1">
      <alignment horizontal="right"/>
    </xf>
    <xf numFmtId="182" fontId="4" fillId="0" borderId="1" xfId="1" applyNumberFormat="1" applyFont="1" applyBorder="1" applyAlignment="1"/>
    <xf numFmtId="43" fontId="4" fillId="0" borderId="1" xfId="0" applyNumberFormat="1" applyFont="1" applyBorder="1" applyAlignment="1"/>
    <xf numFmtId="0" fontId="4" fillId="0" borderId="1" xfId="0" applyFont="1" applyBorder="1" applyAlignment="1"/>
    <xf numFmtId="41" fontId="0" fillId="0" borderId="0" xfId="0" applyNumberFormat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83" fontId="0" fillId="0" borderId="1" xfId="0" applyNumberFormat="1" applyBorder="1">
      <alignment vertical="center"/>
    </xf>
    <xf numFmtId="41" fontId="7" fillId="0" borderId="1" xfId="1" applyFont="1" applyFill="1" applyBorder="1" applyAlignment="1" applyProtection="1">
      <alignment horizontal="right" vertical="center" wrapText="1"/>
    </xf>
    <xf numFmtId="0" fontId="6" fillId="0" borderId="1" xfId="0" applyFont="1" applyFill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42" fontId="0" fillId="0" borderId="1" xfId="0" applyNumberFormat="1" applyBorder="1">
      <alignment vertical="center"/>
    </xf>
    <xf numFmtId="184" fontId="4" fillId="0" borderId="1" xfId="1" applyNumberFormat="1" applyFont="1" applyBorder="1" applyAlignment="1"/>
    <xf numFmtId="184" fontId="4" fillId="0" borderId="1" xfId="0" applyNumberFormat="1" applyFont="1" applyBorder="1" applyAlignment="1"/>
    <xf numFmtId="14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7" xfId="1" applyFont="1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'기타작업-1'!$C$1</c:f>
          <c:strCache>
            <c:ptCount val="1"/>
            <c:pt idx="0">
              <c:v>나리동 전기 사용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'기타작업-1'!$E$2</c:f>
              <c:strCache>
                <c:ptCount val="1"/>
                <c:pt idx="0">
                  <c:v>전기사용요금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'기타작업-1'!$B$3:$B$8</c:f>
              <c:numCache>
                <c:formatCode>General</c:formatCode>
                <c:ptCount val="6"/>
                <c:pt idx="0">
                  <c:v>101</c:v>
                </c:pt>
                <c:pt idx="1">
                  <c:v>102</c:v>
                </c:pt>
                <c:pt idx="2">
                  <c:v>201</c:v>
                </c:pt>
                <c:pt idx="3">
                  <c:v>202</c:v>
                </c:pt>
                <c:pt idx="4">
                  <c:v>301</c:v>
                </c:pt>
                <c:pt idx="5">
                  <c:v>302</c:v>
                </c:pt>
              </c:numCache>
            </c:numRef>
          </c:cat>
          <c:val>
            <c:numRef>
              <c:f>'기타작업-1'!$E$3:$E$8</c:f>
              <c:numCache>
                <c:formatCode>_(* #,##0_);_(* \(#,##0\);_(* "-"_);_(@_)</c:formatCode>
                <c:ptCount val="6"/>
                <c:pt idx="0">
                  <c:v>91594.987999999998</c:v>
                </c:pt>
                <c:pt idx="1">
                  <c:v>18805</c:v>
                </c:pt>
                <c:pt idx="2">
                  <c:v>19755</c:v>
                </c:pt>
                <c:pt idx="3">
                  <c:v>38694.822000000007</c:v>
                </c:pt>
                <c:pt idx="4">
                  <c:v>52851.299999999996</c:v>
                </c:pt>
                <c:pt idx="5">
                  <c:v>39263.4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A0-4C59-8599-7D898C846E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43859023"/>
        <c:axId val="1943843215"/>
      </c:barChart>
      <c:lineChart>
        <c:grouping val="standard"/>
        <c:varyColors val="0"/>
        <c:ser>
          <c:idx val="0"/>
          <c:order val="1"/>
          <c:tx>
            <c:strRef>
              <c:f>'기타작업-1'!$G$2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'기타작업-1'!$B$3:$B$8</c:f>
              <c:numCache>
                <c:formatCode>General</c:formatCode>
                <c:ptCount val="6"/>
                <c:pt idx="0">
                  <c:v>101</c:v>
                </c:pt>
                <c:pt idx="1">
                  <c:v>102</c:v>
                </c:pt>
                <c:pt idx="2">
                  <c:v>201</c:v>
                </c:pt>
                <c:pt idx="3">
                  <c:v>202</c:v>
                </c:pt>
                <c:pt idx="4">
                  <c:v>301</c:v>
                </c:pt>
                <c:pt idx="5">
                  <c:v>302</c:v>
                </c:pt>
              </c:numCache>
            </c:numRef>
          </c:cat>
          <c:val>
            <c:numRef>
              <c:f>'기타작업-1'!$G$3:$G$8</c:f>
              <c:numCache>
                <c:formatCode>_(* #,##0_);_(* \(#,##0\);_(* "-"_);_(@_)</c:formatCode>
                <c:ptCount val="6"/>
                <c:pt idx="0">
                  <c:v>411</c:v>
                </c:pt>
                <c:pt idx="1">
                  <c:v>375</c:v>
                </c:pt>
                <c:pt idx="2">
                  <c:v>411</c:v>
                </c:pt>
                <c:pt idx="3">
                  <c:v>300</c:v>
                </c:pt>
                <c:pt idx="4">
                  <c:v>300</c:v>
                </c:pt>
                <c:pt idx="5">
                  <c:v>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C27-415C-AD8B-F5C727926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857168"/>
        <c:axId val="668853424"/>
      </c:lineChart>
      <c:catAx>
        <c:axId val="1943859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'기타작업-1'!$B$2</c:f>
              <c:strCache>
                <c:ptCount val="1"/>
                <c:pt idx="0">
                  <c:v>호수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3843215"/>
        <c:crosses val="autoZero"/>
        <c:auto val="1"/>
        <c:lblAlgn val="ctr"/>
        <c:lblOffset val="100"/>
        <c:noMultiLvlLbl val="0"/>
      </c:catAx>
      <c:valAx>
        <c:axId val="1943843215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3859023"/>
        <c:crosses val="autoZero"/>
        <c:crossBetween val="between"/>
      </c:valAx>
      <c:valAx>
        <c:axId val="668853424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8857168"/>
        <c:crosses val="max"/>
        <c:crossBetween val="between"/>
      </c:valAx>
      <c:catAx>
        <c:axId val="668857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8853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일반서식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cmd등록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4672.558803009262" backgroundQuery="1" createdVersion="6" refreshedVersion="6" minRefreshableVersion="3" recordCount="0" supportSubquery="1" supportAdvancedDrill="1">
  <cacheSource type="external" connectionId="1"/>
  <cacheFields count="5">
    <cacheField name="[수강현황].[강좌명].[강좌명]" caption="강좌명" numFmtId="0" level="1">
      <sharedItems containsSemiMixedTypes="0" containsNonDate="0" containsString="0"/>
    </cacheField>
    <cacheField name="[수강현황].[강사명].[강사명]" caption="강사명" numFmtId="0" hierarchy="1" level="1">
      <sharedItems count="6">
        <s v="김윤하"/>
        <s v="유지영"/>
        <s v="윤지윤"/>
        <s v="장하민"/>
        <s v="정윤로"/>
        <s v="최문하"/>
      </sharedItems>
    </cacheField>
    <cacheField name="[Measures].[합계: 납부액]" caption="합계: 납부액" numFmtId="0" hierarchy="6" level="32767"/>
    <cacheField name="[Measures].[합계: 미납액]" caption="합계: 미납액" numFmtId="0" hierarchy="7" level="32767"/>
    <cacheField name="Dummy0" numFmtId="0" hierarchy="8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9">
    <cacheHierarchy uniqueName="[수강현황].[강좌명]" caption="강좌명" attribute="1" defaultMemberUniqueName="[수강현황].[강좌명].[All]" allUniqueName="[수강현황].[강좌명].[All]" dimensionUniqueName="[수강현황]" displayFolder="" count="2" memberValueDatatype="130" unbalanced="0">
      <fieldsUsage count="2">
        <fieldUsage x="-1"/>
        <fieldUsage x="0"/>
      </fieldsUsage>
    </cacheHierarchy>
    <cacheHierarchy uniqueName="[수강현황].[강사명]" caption="강사명" attribute="1" defaultMemberUniqueName="[수강현황].[강사명].[All]" allUniqueName="[수강현황].[강사명].[All]" dimensionUniqueName="[수강현황]" displayFolder="" count="2" memberValueDatatype="130" unbalanced="0">
      <fieldsUsage count="2">
        <fieldUsage x="-1"/>
        <fieldUsage x="1"/>
      </fieldsUsage>
    </cacheHierarchy>
    <cacheHierarchy uniqueName="[수강현황].[납부액]" caption="납부액" attribute="1" defaultMemberUniqueName="[수강현황].[납부액].[All]" allUniqueName="[수강현황].[납부액].[All]" dimensionUniqueName="[수강현황]" displayFolder="" count="0" memberValueDatatype="20" unbalanced="0"/>
    <cacheHierarchy uniqueName="[수강현황].[미납액]" caption="미납액" attribute="1" defaultMemberUniqueName="[수강현황].[미납액].[All]" allUniqueName="[수강현황].[미납액].[All]" dimensionUniqueName="[수강현황]" displayFolder="" count="0" memberValueDatatype="20" unbalanced="0"/>
    <cacheHierarchy uniqueName="[Measures].[__XL_Count 수강현황]" caption="__XL_Count 수강현황" measure="1" displayFolder="" measureGroup="수강현황" count="0" hidden="1"/>
    <cacheHierarchy uniqueName="[Measures].[__No measures defined]" caption="__No measures defined" measure="1" displayFolder="" count="0" hidden="1"/>
    <cacheHierarchy uniqueName="[Measures].[합계: 납부액]" caption="합계: 납부액" measure="1" displayFolder="" measureGroup="수강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미납액]" caption="합계: 미납액" measure="1" displayFolder="" measureGroup="수강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Dummy0" caption="강좌명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2">
    <dimension measure="1" name="Measures" uniqueName="[Measures]" caption="Measures"/>
    <dimension name="수강현황" uniqueName="[수강현황]" caption="수강현황"/>
  </dimensions>
  <measureGroups count="1">
    <measureGroup name="수강현황" caption="수강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mergeItem="1" createdVersion="6" indent="0" compact="0" outline="1" outlineData="1" compactData="0" multipleFieldFilters="0">
  <location ref="B4:E11" firstHeaderRow="0" firstDataRow="1" firstDataCol="1" rowPageCount="1" colPageCount="1"/>
  <pivotFields count="5">
    <pivotField axis="axisPage" compact="0" allDrilled="1" showAll="0" dataSourceSort="1" defaultAttributeDrillState="1">
      <items count="1">
        <item t="default"/>
      </items>
    </pivotField>
    <pivotField axis="axisRow" compact="0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compact="0" showAll="0"/>
    <pivotField dataField="1" compact="0" showAl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0" name="[수강현황].[강좌명].&amp;[바리스타중급]" cap="바리스타중급"/>
  </pageFields>
  <dataFields count="3">
    <dataField name="합계: 납부액" fld="2" baseField="1" baseItem="0" numFmtId="41"/>
    <dataField name="합계: 미납액" fld="3" baseField="1" baseItem="0" numFmtId="41"/>
    <dataField name="납부액비율" fld="4" showDataAs="percentOfCol" baseField="1" baseItem="0" numFmtId="10">
      <extLst>
        <ext xmlns:x14="http://schemas.microsoft.com/office/spreadsheetml/2009/9/main" uri="{E15A36E0-9728-4e99-A89B-3F7291B0FE68}">
          <x14:dataField sourceField="2" uniqueName="[__Xl2].[Measures].[합계: 납부액]"/>
        </ext>
      </extLst>
    </dataField>
  </dataFields>
  <pivotHierarchies count="9">
    <pivotHierarchy multipleItemSelectionAllowed="1" dragToData="1">
      <members count="6" level="1">
        <member name="[수강현황].[강좌명].&amp;[바리스타중급]"/>
        <member name="[수강현황].[강좌명].&amp;[바이올린중급]"/>
        <member name="[수강현황].[강좌명].&amp;[영어회화중급]"/>
        <member name="[수강현황].[강좌명].&amp;[오카리나(중)]"/>
        <member name="[수강현황].[강좌명].&amp;[종이접기(중)]"/>
        <member name="[수강현황].[강좌명].&amp;[수채화그리기(중)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수강현황">
        <x15:activeTabTopLevelEntity name="[수강현황]"/>
      </x15:pivotTableUISettings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18"/>
  <sheetViews>
    <sheetView tabSelected="1" workbookViewId="0"/>
  </sheetViews>
  <sheetFormatPr defaultRowHeight="17"/>
  <cols>
    <col min="4" max="4" width="10.4140625" bestFit="1" customWidth="1"/>
    <col min="5" max="5" width="12.33203125" bestFit="1" customWidth="1"/>
    <col min="6" max="6" width="10.83203125" customWidth="1"/>
    <col min="7" max="7" width="12.5" customWidth="1"/>
    <col min="8" max="8" width="15.1640625" bestFit="1" customWidth="1"/>
    <col min="13" max="13" width="9.75" bestFit="1" customWidth="1"/>
  </cols>
  <sheetData>
    <row r="2" spans="1:13">
      <c r="A2" s="29" t="s">
        <v>57</v>
      </c>
      <c r="B2" s="29" t="s">
        <v>1</v>
      </c>
      <c r="C2" s="29" t="s">
        <v>7</v>
      </c>
      <c r="D2" s="29" t="s">
        <v>58</v>
      </c>
      <c r="E2" s="29" t="s">
        <v>59</v>
      </c>
      <c r="F2" s="29" t="s">
        <v>60</v>
      </c>
      <c r="G2" s="29" t="s">
        <v>61</v>
      </c>
      <c r="H2" s="2" t="s">
        <v>9</v>
      </c>
      <c r="J2" s="36" t="s">
        <v>264</v>
      </c>
    </row>
    <row r="3" spans="1:13">
      <c r="A3" s="2" t="s">
        <v>62</v>
      </c>
      <c r="B3" s="2">
        <v>101</v>
      </c>
      <c r="C3" s="2">
        <v>4</v>
      </c>
      <c r="D3" s="3">
        <v>319</v>
      </c>
      <c r="E3" s="3">
        <v>54293.37</v>
      </c>
      <c r="F3" s="3">
        <v>8230</v>
      </c>
      <c r="G3" s="3">
        <v>2469</v>
      </c>
      <c r="H3" s="31">
        <v>44704</v>
      </c>
      <c r="J3" t="b">
        <f>AND(A3="나리동",ISODD(C3))</f>
        <v>0</v>
      </c>
    </row>
    <row r="4" spans="1:13">
      <c r="A4" s="2" t="s">
        <v>63</v>
      </c>
      <c r="B4" s="2">
        <v>101</v>
      </c>
      <c r="C4" s="2">
        <v>5</v>
      </c>
      <c r="D4" s="3">
        <v>409</v>
      </c>
      <c r="E4" s="3">
        <v>91594.987999999998</v>
      </c>
      <c r="F4" s="3">
        <v>12000</v>
      </c>
      <c r="G4" s="3">
        <v>3600</v>
      </c>
      <c r="H4" s="31">
        <v>44696</v>
      </c>
    </row>
    <row r="5" spans="1:13">
      <c r="A5" s="2" t="s">
        <v>64</v>
      </c>
      <c r="B5" s="2">
        <v>203</v>
      </c>
      <c r="C5" s="2">
        <v>3</v>
      </c>
      <c r="D5" s="3">
        <v>310</v>
      </c>
      <c r="E5" s="3">
        <v>52851.299999999996</v>
      </c>
      <c r="F5" s="3">
        <v>15000</v>
      </c>
      <c r="G5" s="3">
        <v>4500</v>
      </c>
      <c r="H5" s="31">
        <v>44699</v>
      </c>
      <c r="J5" s="29" t="s">
        <v>57</v>
      </c>
      <c r="K5" s="29" t="s">
        <v>1</v>
      </c>
      <c r="L5" s="29" t="s">
        <v>7</v>
      </c>
      <c r="M5" s="29" t="s">
        <v>58</v>
      </c>
    </row>
    <row r="6" spans="1:13">
      <c r="A6" s="2" t="s">
        <v>62</v>
      </c>
      <c r="B6" s="2">
        <v>201</v>
      </c>
      <c r="C6" s="2">
        <v>4</v>
      </c>
      <c r="D6" s="3">
        <v>423</v>
      </c>
      <c r="E6" s="3">
        <v>95434.824000000008</v>
      </c>
      <c r="F6" s="3">
        <v>8230</v>
      </c>
      <c r="G6" s="3">
        <v>2469</v>
      </c>
      <c r="H6" s="31">
        <v>44701</v>
      </c>
      <c r="J6" s="2" t="s">
        <v>63</v>
      </c>
      <c r="K6" s="2">
        <v>101</v>
      </c>
      <c r="L6" s="2">
        <v>5</v>
      </c>
      <c r="M6" s="3">
        <v>409</v>
      </c>
    </row>
    <row r="7" spans="1:13">
      <c r="A7" s="2" t="s">
        <v>63</v>
      </c>
      <c r="B7" s="2">
        <v>303</v>
      </c>
      <c r="C7" s="2">
        <v>2</v>
      </c>
      <c r="D7" s="3">
        <v>258</v>
      </c>
      <c r="E7" s="3">
        <v>39263.4</v>
      </c>
      <c r="F7" s="3">
        <v>12000</v>
      </c>
      <c r="G7" s="3">
        <v>4800</v>
      </c>
      <c r="H7" s="31">
        <v>44702</v>
      </c>
      <c r="J7" s="2" t="s">
        <v>63</v>
      </c>
      <c r="K7" s="2">
        <v>202</v>
      </c>
      <c r="L7" s="2">
        <v>3</v>
      </c>
      <c r="M7" s="3">
        <v>262</v>
      </c>
    </row>
    <row r="8" spans="1:13">
      <c r="A8" s="2" t="s">
        <v>64</v>
      </c>
      <c r="B8" s="2">
        <v>303</v>
      </c>
      <c r="C8" s="2">
        <v>1</v>
      </c>
      <c r="D8" s="3">
        <v>189</v>
      </c>
      <c r="E8" s="3">
        <v>18805</v>
      </c>
      <c r="F8" s="3">
        <v>15000</v>
      </c>
      <c r="G8" s="3">
        <v>6000</v>
      </c>
      <c r="H8" s="31">
        <v>44700</v>
      </c>
      <c r="J8" s="2" t="s">
        <v>63</v>
      </c>
      <c r="K8" s="2">
        <v>402</v>
      </c>
      <c r="L8" s="2">
        <v>7</v>
      </c>
      <c r="M8" s="3">
        <v>420</v>
      </c>
    </row>
    <row r="9" spans="1:13">
      <c r="A9" s="2" t="s">
        <v>64</v>
      </c>
      <c r="B9" s="2">
        <v>102</v>
      </c>
      <c r="C9" s="2">
        <v>5</v>
      </c>
      <c r="D9" s="3">
        <v>506</v>
      </c>
      <c r="E9" s="3">
        <v>111880.79199999999</v>
      </c>
      <c r="F9" s="3">
        <v>15000</v>
      </c>
      <c r="G9" s="3">
        <v>4500</v>
      </c>
      <c r="H9" s="31">
        <v>44698</v>
      </c>
    </row>
    <row r="10" spans="1:13">
      <c r="A10" s="2" t="s">
        <v>62</v>
      </c>
      <c r="B10" s="2">
        <v>502</v>
      </c>
      <c r="C10" s="2">
        <v>3</v>
      </c>
      <c r="D10" s="3">
        <v>418</v>
      </c>
      <c r="E10" s="3">
        <v>94378.384000000005</v>
      </c>
      <c r="F10" s="3">
        <v>8230</v>
      </c>
      <c r="G10" s="3">
        <v>2469</v>
      </c>
      <c r="H10" s="31">
        <v>44697</v>
      </c>
    </row>
    <row r="11" spans="1:13">
      <c r="A11" s="2" t="s">
        <v>62</v>
      </c>
      <c r="B11" s="2">
        <v>401</v>
      </c>
      <c r="C11" s="2">
        <v>2</v>
      </c>
      <c r="D11" s="3">
        <v>195</v>
      </c>
      <c r="E11" s="3">
        <v>19375</v>
      </c>
      <c r="F11" s="3">
        <v>8230</v>
      </c>
      <c r="G11" s="3">
        <v>2469</v>
      </c>
      <c r="H11" s="31">
        <v>44703</v>
      </c>
    </row>
    <row r="12" spans="1:13">
      <c r="A12" s="2" t="s">
        <v>63</v>
      </c>
      <c r="B12" s="2">
        <v>202</v>
      </c>
      <c r="C12" s="2">
        <v>3</v>
      </c>
      <c r="D12" s="3">
        <v>262</v>
      </c>
      <c r="E12" s="3">
        <v>38694.822000000007</v>
      </c>
      <c r="F12" s="3">
        <v>12000</v>
      </c>
      <c r="G12" s="3">
        <v>3600</v>
      </c>
      <c r="H12" s="31">
        <v>44697</v>
      </c>
    </row>
    <row r="13" spans="1:13">
      <c r="A13" s="2" t="s">
        <v>64</v>
      </c>
      <c r="B13" s="2">
        <v>502</v>
      </c>
      <c r="C13" s="2">
        <v>2</v>
      </c>
      <c r="D13" s="3">
        <v>199</v>
      </c>
      <c r="E13" s="3">
        <v>19755</v>
      </c>
      <c r="F13" s="3">
        <v>15000</v>
      </c>
      <c r="G13" s="3">
        <v>6000</v>
      </c>
      <c r="H13" s="31">
        <v>44698</v>
      </c>
    </row>
    <row r="14" spans="1:13">
      <c r="A14" s="2" t="s">
        <v>62</v>
      </c>
      <c r="B14" s="2">
        <v>303</v>
      </c>
      <c r="C14" s="2">
        <v>4</v>
      </c>
      <c r="D14" s="3">
        <v>341</v>
      </c>
      <c r="E14" s="3">
        <v>57818.43</v>
      </c>
      <c r="F14" s="3">
        <v>8230</v>
      </c>
      <c r="G14" s="3">
        <v>2469</v>
      </c>
      <c r="H14" s="31">
        <v>44700</v>
      </c>
    </row>
    <row r="15" spans="1:13">
      <c r="A15" s="2" t="s">
        <v>64</v>
      </c>
      <c r="B15" s="2">
        <v>201</v>
      </c>
      <c r="C15" s="2">
        <v>3</v>
      </c>
      <c r="D15" s="3">
        <v>329</v>
      </c>
      <c r="E15" s="3">
        <v>55895.67</v>
      </c>
      <c r="F15" s="3">
        <v>15000</v>
      </c>
      <c r="G15" s="3">
        <v>4500</v>
      </c>
      <c r="H15" s="31">
        <v>44705</v>
      </c>
    </row>
    <row r="16" spans="1:13">
      <c r="A16" s="2" t="s">
        <v>63</v>
      </c>
      <c r="B16" s="2">
        <v>501</v>
      </c>
      <c r="C16" s="2">
        <v>6</v>
      </c>
      <c r="D16" s="3">
        <v>411</v>
      </c>
      <c r="E16" s="3">
        <v>92013.251999999993</v>
      </c>
      <c r="F16" s="3">
        <v>12000</v>
      </c>
      <c r="G16" s="3">
        <v>4800</v>
      </c>
      <c r="H16" s="31">
        <v>44704</v>
      </c>
    </row>
    <row r="17" spans="1:8">
      <c r="A17" s="2" t="s">
        <v>62</v>
      </c>
      <c r="B17" s="2">
        <v>601</v>
      </c>
      <c r="C17" s="2">
        <v>3</v>
      </c>
      <c r="D17" s="3">
        <v>274</v>
      </c>
      <c r="E17" s="3">
        <v>40409.394</v>
      </c>
      <c r="F17" s="3">
        <v>8230</v>
      </c>
      <c r="G17" s="3">
        <v>2469</v>
      </c>
      <c r="H17" s="31">
        <v>44706</v>
      </c>
    </row>
    <row r="18" spans="1:8">
      <c r="A18" s="2" t="s">
        <v>63</v>
      </c>
      <c r="B18" s="2">
        <v>402</v>
      </c>
      <c r="C18" s="2">
        <v>7</v>
      </c>
      <c r="D18" s="3">
        <v>420</v>
      </c>
      <c r="E18" s="3">
        <v>93895.44</v>
      </c>
      <c r="F18" s="3">
        <v>12000</v>
      </c>
      <c r="G18" s="3">
        <v>4800</v>
      </c>
      <c r="H18" s="31">
        <v>44707</v>
      </c>
    </row>
  </sheetData>
  <phoneticPr fontId="2" type="noConversion"/>
  <conditionalFormatting sqref="A3:H18">
    <cfRule type="expression" dxfId="0" priority="1">
      <formula>AND($A3="한수동",OR(WEEKDAY($H3,2)=1,WEEKDAY($H3,2)=3))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J99"/>
  <sheetViews>
    <sheetView workbookViewId="0"/>
  </sheetViews>
  <sheetFormatPr defaultRowHeight="17"/>
  <cols>
    <col min="1" max="1" width="10.58203125" style="35" bestFit="1" customWidth="1"/>
    <col min="2" max="2" width="8.6640625" style="35"/>
    <col min="3" max="3" width="8.83203125" style="35" customWidth="1"/>
    <col min="4" max="4" width="8.6640625" style="35"/>
    <col min="5" max="5" width="22.1640625" style="35" customWidth="1"/>
    <col min="6" max="6" width="6.83203125" style="35" bestFit="1" customWidth="1"/>
    <col min="7" max="7" width="8.75" bestFit="1" customWidth="1"/>
    <col min="8" max="8" width="10.6640625" bestFit="1" customWidth="1"/>
    <col min="9" max="10" width="8.9140625" bestFit="1" customWidth="1"/>
  </cols>
  <sheetData>
    <row r="2" spans="1:10">
      <c r="A2" s="33" t="s">
        <v>66</v>
      </c>
      <c r="B2" s="33" t="s">
        <v>67</v>
      </c>
      <c r="C2" s="33" t="s">
        <v>68</v>
      </c>
      <c r="D2" s="33" t="s">
        <v>69</v>
      </c>
      <c r="E2" s="33" t="s">
        <v>70</v>
      </c>
      <c r="F2" s="33" t="s">
        <v>71</v>
      </c>
      <c r="G2" s="33" t="s">
        <v>72</v>
      </c>
      <c r="H2" s="33" t="s">
        <v>73</v>
      </c>
      <c r="I2" s="33" t="s">
        <v>74</v>
      </c>
      <c r="J2" s="33" t="s">
        <v>75</v>
      </c>
    </row>
    <row r="3" spans="1:10">
      <c r="A3" s="34" t="s">
        <v>76</v>
      </c>
      <c r="B3" s="34" t="s">
        <v>77</v>
      </c>
      <c r="C3" s="34" t="s">
        <v>78</v>
      </c>
      <c r="D3" s="34" t="s">
        <v>79</v>
      </c>
      <c r="E3" s="34" t="s">
        <v>80</v>
      </c>
      <c r="F3" s="34" t="s">
        <v>81</v>
      </c>
      <c r="G3" s="32">
        <v>65000</v>
      </c>
      <c r="H3" s="32">
        <v>325000</v>
      </c>
      <c r="I3" s="32">
        <v>260000</v>
      </c>
      <c r="J3" s="32">
        <v>65000</v>
      </c>
    </row>
    <row r="4" spans="1:10">
      <c r="A4" s="34" t="s">
        <v>76</v>
      </c>
      <c r="B4" s="34" t="s">
        <v>77</v>
      </c>
      <c r="C4" s="34" t="s">
        <v>78</v>
      </c>
      <c r="D4" s="34" t="s">
        <v>82</v>
      </c>
      <c r="E4" s="34" t="s">
        <v>83</v>
      </c>
      <c r="F4" s="34" t="s">
        <v>84</v>
      </c>
      <c r="G4" s="32">
        <v>55000</v>
      </c>
      <c r="H4" s="32">
        <v>275000</v>
      </c>
      <c r="I4" s="32">
        <v>220000</v>
      </c>
      <c r="J4" s="32">
        <v>55000</v>
      </c>
    </row>
    <row r="5" spans="1:10">
      <c r="A5" s="34" t="s">
        <v>85</v>
      </c>
      <c r="B5" s="34" t="s">
        <v>86</v>
      </c>
      <c r="C5" s="34" t="s">
        <v>87</v>
      </c>
      <c r="D5" s="34" t="s">
        <v>88</v>
      </c>
      <c r="E5" s="34" t="s">
        <v>89</v>
      </c>
      <c r="F5" s="34" t="s">
        <v>90</v>
      </c>
      <c r="G5" s="32">
        <v>65000</v>
      </c>
      <c r="H5" s="32">
        <v>325000</v>
      </c>
      <c r="I5" s="32">
        <v>325000</v>
      </c>
      <c r="J5" s="32">
        <v>0</v>
      </c>
    </row>
    <row r="6" spans="1:10">
      <c r="A6" s="34" t="s">
        <v>85</v>
      </c>
      <c r="B6" s="34" t="s">
        <v>86</v>
      </c>
      <c r="C6" s="34" t="s">
        <v>87</v>
      </c>
      <c r="D6" s="34" t="s">
        <v>91</v>
      </c>
      <c r="E6" s="34" t="s">
        <v>92</v>
      </c>
      <c r="F6" s="34" t="s">
        <v>93</v>
      </c>
      <c r="G6" s="32">
        <v>68000</v>
      </c>
      <c r="H6" s="32">
        <v>340000</v>
      </c>
      <c r="I6" s="32">
        <v>204000</v>
      </c>
      <c r="J6" s="32">
        <v>136000</v>
      </c>
    </row>
    <row r="7" spans="1:10">
      <c r="A7" s="34" t="s">
        <v>94</v>
      </c>
      <c r="B7" s="34" t="s">
        <v>95</v>
      </c>
      <c r="C7" s="34" t="s">
        <v>96</v>
      </c>
      <c r="D7" s="34" t="s">
        <v>97</v>
      </c>
      <c r="E7" s="34" t="s">
        <v>98</v>
      </c>
      <c r="F7" s="34" t="s">
        <v>99</v>
      </c>
      <c r="G7" s="32">
        <v>75000</v>
      </c>
      <c r="H7" s="32">
        <v>450000</v>
      </c>
      <c r="I7" s="32">
        <v>375000</v>
      </c>
      <c r="J7" s="32">
        <v>75000</v>
      </c>
    </row>
    <row r="8" spans="1:10">
      <c r="A8" s="34" t="s">
        <v>94</v>
      </c>
      <c r="B8" s="34" t="s">
        <v>95</v>
      </c>
      <c r="C8" s="34" t="s">
        <v>96</v>
      </c>
      <c r="D8" s="34" t="s">
        <v>100</v>
      </c>
      <c r="E8" s="34" t="s">
        <v>101</v>
      </c>
      <c r="F8" s="34" t="s">
        <v>102</v>
      </c>
      <c r="G8" s="32">
        <v>50000</v>
      </c>
      <c r="H8" s="32">
        <v>300000</v>
      </c>
      <c r="I8" s="32">
        <v>250000</v>
      </c>
      <c r="J8" s="32">
        <v>50000</v>
      </c>
    </row>
    <row r="9" spans="1:10">
      <c r="A9" s="34" t="s">
        <v>103</v>
      </c>
      <c r="B9" s="34" t="s">
        <v>104</v>
      </c>
      <c r="C9" s="34" t="s">
        <v>105</v>
      </c>
      <c r="D9" s="34" t="s">
        <v>106</v>
      </c>
      <c r="E9" s="34" t="s">
        <v>107</v>
      </c>
      <c r="F9" s="34" t="s">
        <v>108</v>
      </c>
      <c r="G9" s="32">
        <v>60000</v>
      </c>
      <c r="H9" s="32">
        <v>420000</v>
      </c>
      <c r="I9" s="32">
        <v>420000</v>
      </c>
      <c r="J9" s="32">
        <v>0</v>
      </c>
    </row>
    <row r="10" spans="1:10">
      <c r="A10" s="34" t="s">
        <v>103</v>
      </c>
      <c r="B10" s="34" t="s">
        <v>104</v>
      </c>
      <c r="C10" s="34" t="s">
        <v>105</v>
      </c>
      <c r="D10" s="34" t="s">
        <v>109</v>
      </c>
      <c r="E10" s="34" t="s">
        <v>110</v>
      </c>
      <c r="F10" s="34" t="s">
        <v>111</v>
      </c>
      <c r="G10" s="32">
        <v>70000</v>
      </c>
      <c r="H10" s="32">
        <v>490000</v>
      </c>
      <c r="I10" s="32">
        <v>420000</v>
      </c>
      <c r="J10" s="32">
        <v>70000</v>
      </c>
    </row>
    <row r="11" spans="1:10">
      <c r="A11" s="34" t="s">
        <v>112</v>
      </c>
      <c r="B11" s="34" t="s">
        <v>113</v>
      </c>
      <c r="C11" s="34" t="s">
        <v>105</v>
      </c>
      <c r="D11" s="34" t="s">
        <v>114</v>
      </c>
      <c r="E11" s="34" t="s">
        <v>115</v>
      </c>
      <c r="F11" s="34" t="s">
        <v>116</v>
      </c>
      <c r="G11" s="32">
        <v>50000</v>
      </c>
      <c r="H11" s="32">
        <v>250000</v>
      </c>
      <c r="I11" s="32">
        <v>250000</v>
      </c>
      <c r="J11" s="32">
        <v>0</v>
      </c>
    </row>
    <row r="12" spans="1:10">
      <c r="A12" s="34" t="s">
        <v>112</v>
      </c>
      <c r="B12" s="34" t="s">
        <v>113</v>
      </c>
      <c r="C12" s="34" t="s">
        <v>105</v>
      </c>
      <c r="D12" s="34" t="s">
        <v>117</v>
      </c>
      <c r="E12" s="34" t="s">
        <v>118</v>
      </c>
      <c r="F12" s="34" t="s">
        <v>119</v>
      </c>
      <c r="G12" s="32">
        <v>75000</v>
      </c>
      <c r="H12" s="32">
        <v>375000</v>
      </c>
      <c r="I12" s="32">
        <v>225000</v>
      </c>
      <c r="J12" s="32">
        <v>150000</v>
      </c>
    </row>
    <row r="13" spans="1:10">
      <c r="A13" s="34" t="s">
        <v>120</v>
      </c>
      <c r="B13" s="34" t="s">
        <v>121</v>
      </c>
      <c r="C13" s="34" t="s">
        <v>122</v>
      </c>
      <c r="D13" s="34" t="s">
        <v>123</v>
      </c>
      <c r="E13" s="34" t="s">
        <v>124</v>
      </c>
      <c r="F13" s="34" t="s">
        <v>99</v>
      </c>
      <c r="G13" s="32">
        <v>75000</v>
      </c>
      <c r="H13" s="32">
        <v>375000</v>
      </c>
      <c r="I13" s="32">
        <v>300000</v>
      </c>
      <c r="J13" s="32">
        <v>75000</v>
      </c>
    </row>
    <row r="14" spans="1:10">
      <c r="A14" s="34" t="s">
        <v>120</v>
      </c>
      <c r="B14" s="34" t="s">
        <v>121</v>
      </c>
      <c r="C14" s="34" t="s">
        <v>122</v>
      </c>
      <c r="D14" s="34" t="s">
        <v>79</v>
      </c>
      <c r="E14" s="34" t="s">
        <v>80</v>
      </c>
      <c r="F14" s="34" t="s">
        <v>81</v>
      </c>
      <c r="G14" s="32">
        <v>65000</v>
      </c>
      <c r="H14" s="32">
        <v>325000</v>
      </c>
      <c r="I14" s="32">
        <v>260000</v>
      </c>
      <c r="J14" s="32">
        <v>65000</v>
      </c>
    </row>
    <row r="15" spans="1:10">
      <c r="A15" s="34" t="s">
        <v>125</v>
      </c>
      <c r="B15" s="34" t="s">
        <v>126</v>
      </c>
      <c r="C15" s="34" t="s">
        <v>127</v>
      </c>
      <c r="D15" s="34" t="s">
        <v>106</v>
      </c>
      <c r="E15" s="34" t="s">
        <v>107</v>
      </c>
      <c r="F15" s="34" t="s">
        <v>108</v>
      </c>
      <c r="G15" s="32">
        <v>60000</v>
      </c>
      <c r="H15" s="32">
        <v>240000</v>
      </c>
      <c r="I15" s="32">
        <v>180000</v>
      </c>
      <c r="J15" s="32">
        <v>60000</v>
      </c>
    </row>
    <row r="16" spans="1:10">
      <c r="A16" s="34" t="s">
        <v>125</v>
      </c>
      <c r="B16" s="34" t="s">
        <v>126</v>
      </c>
      <c r="C16" s="34" t="s">
        <v>127</v>
      </c>
      <c r="D16" s="34" t="s">
        <v>114</v>
      </c>
      <c r="E16" s="34" t="s">
        <v>115</v>
      </c>
      <c r="F16" s="34" t="s">
        <v>116</v>
      </c>
      <c r="G16" s="32">
        <v>50000</v>
      </c>
      <c r="H16" s="32">
        <v>200000</v>
      </c>
      <c r="I16" s="32">
        <v>150000</v>
      </c>
      <c r="J16" s="32">
        <v>50000</v>
      </c>
    </row>
    <row r="17" spans="1:10">
      <c r="A17" s="34" t="s">
        <v>128</v>
      </c>
      <c r="B17" s="34" t="s">
        <v>129</v>
      </c>
      <c r="C17" s="34" t="s">
        <v>130</v>
      </c>
      <c r="D17" s="34" t="s">
        <v>131</v>
      </c>
      <c r="E17" s="34" t="s">
        <v>132</v>
      </c>
      <c r="F17" s="34" t="s">
        <v>111</v>
      </c>
      <c r="G17" s="32">
        <v>70000</v>
      </c>
      <c r="H17" s="32">
        <v>350000</v>
      </c>
      <c r="I17" s="32">
        <v>280000</v>
      </c>
      <c r="J17" s="32">
        <v>70000</v>
      </c>
    </row>
    <row r="18" spans="1:10">
      <c r="A18" s="34" t="s">
        <v>128</v>
      </c>
      <c r="B18" s="34" t="s">
        <v>129</v>
      </c>
      <c r="C18" s="34" t="s">
        <v>130</v>
      </c>
      <c r="D18" s="34" t="s">
        <v>82</v>
      </c>
      <c r="E18" s="34" t="s">
        <v>83</v>
      </c>
      <c r="F18" s="34" t="s">
        <v>84</v>
      </c>
      <c r="G18" s="32">
        <v>55000</v>
      </c>
      <c r="H18" s="32">
        <v>275000</v>
      </c>
      <c r="I18" s="32">
        <v>165000</v>
      </c>
      <c r="J18" s="32">
        <v>110000</v>
      </c>
    </row>
    <row r="19" spans="1:10">
      <c r="A19" s="34" t="s">
        <v>133</v>
      </c>
      <c r="B19" s="34" t="s">
        <v>134</v>
      </c>
      <c r="C19" s="34" t="s">
        <v>87</v>
      </c>
      <c r="D19" s="34" t="s">
        <v>135</v>
      </c>
      <c r="E19" s="34" t="s">
        <v>136</v>
      </c>
      <c r="F19" s="34" t="s">
        <v>111</v>
      </c>
      <c r="G19" s="32">
        <v>70000</v>
      </c>
      <c r="H19" s="32">
        <v>420000</v>
      </c>
      <c r="I19" s="32">
        <v>350000</v>
      </c>
      <c r="J19" s="32">
        <v>70000</v>
      </c>
    </row>
    <row r="20" spans="1:10">
      <c r="A20" s="34" t="s">
        <v>133</v>
      </c>
      <c r="B20" s="34" t="s">
        <v>134</v>
      </c>
      <c r="C20" s="34" t="s">
        <v>87</v>
      </c>
      <c r="D20" s="34" t="s">
        <v>97</v>
      </c>
      <c r="E20" s="34" t="s">
        <v>98</v>
      </c>
      <c r="F20" s="34" t="s">
        <v>99</v>
      </c>
      <c r="G20" s="32">
        <v>75000</v>
      </c>
      <c r="H20" s="32">
        <v>450000</v>
      </c>
      <c r="I20" s="32">
        <v>375000</v>
      </c>
      <c r="J20" s="32">
        <v>75000</v>
      </c>
    </row>
    <row r="21" spans="1:10">
      <c r="A21" s="34" t="s">
        <v>137</v>
      </c>
      <c r="B21" s="34" t="s">
        <v>138</v>
      </c>
      <c r="C21" s="34" t="s">
        <v>139</v>
      </c>
      <c r="D21" s="34" t="s">
        <v>140</v>
      </c>
      <c r="E21" s="34" t="s">
        <v>141</v>
      </c>
      <c r="F21" s="34" t="s">
        <v>93</v>
      </c>
      <c r="G21" s="32">
        <v>68000</v>
      </c>
      <c r="H21" s="32">
        <v>340000</v>
      </c>
      <c r="I21" s="32">
        <v>272000</v>
      </c>
      <c r="J21" s="32">
        <v>68000</v>
      </c>
    </row>
    <row r="22" spans="1:10">
      <c r="A22" s="34" t="s">
        <v>137</v>
      </c>
      <c r="B22" s="34" t="s">
        <v>138</v>
      </c>
      <c r="C22" s="34" t="s">
        <v>139</v>
      </c>
      <c r="D22" s="34" t="s">
        <v>142</v>
      </c>
      <c r="E22" s="34" t="s">
        <v>143</v>
      </c>
      <c r="F22" s="34" t="s">
        <v>108</v>
      </c>
      <c r="G22" s="32">
        <v>60000</v>
      </c>
      <c r="H22" s="32">
        <v>300000</v>
      </c>
      <c r="I22" s="32">
        <v>240000</v>
      </c>
      <c r="J22" s="32">
        <v>60000</v>
      </c>
    </row>
    <row r="23" spans="1:10">
      <c r="A23" s="34" t="s">
        <v>144</v>
      </c>
      <c r="B23" s="34" t="s">
        <v>145</v>
      </c>
      <c r="C23" s="34" t="s">
        <v>130</v>
      </c>
      <c r="D23" s="34" t="s">
        <v>146</v>
      </c>
      <c r="E23" s="34" t="s">
        <v>147</v>
      </c>
      <c r="F23" s="34" t="s">
        <v>116</v>
      </c>
      <c r="G23" s="32">
        <v>50000</v>
      </c>
      <c r="H23" s="32">
        <v>250000</v>
      </c>
      <c r="I23" s="32">
        <v>250000</v>
      </c>
      <c r="J23" s="32">
        <v>0</v>
      </c>
    </row>
    <row r="24" spans="1:10">
      <c r="A24" s="34" t="s">
        <v>144</v>
      </c>
      <c r="B24" s="34" t="s">
        <v>145</v>
      </c>
      <c r="C24" s="34" t="s">
        <v>130</v>
      </c>
      <c r="D24" s="34" t="s">
        <v>148</v>
      </c>
      <c r="E24" s="34" t="s">
        <v>149</v>
      </c>
      <c r="F24" s="34" t="s">
        <v>90</v>
      </c>
      <c r="G24" s="32">
        <v>65000</v>
      </c>
      <c r="H24" s="32">
        <v>325000</v>
      </c>
      <c r="I24" s="32">
        <v>195000</v>
      </c>
      <c r="J24" s="32">
        <v>130000</v>
      </c>
    </row>
    <row r="25" spans="1:10">
      <c r="A25" s="34" t="s">
        <v>150</v>
      </c>
      <c r="B25" s="34" t="s">
        <v>151</v>
      </c>
      <c r="C25" s="34" t="s">
        <v>152</v>
      </c>
      <c r="D25" s="34" t="s">
        <v>153</v>
      </c>
      <c r="E25" s="34" t="s">
        <v>154</v>
      </c>
      <c r="F25" s="34" t="s">
        <v>155</v>
      </c>
      <c r="G25" s="32">
        <v>70000</v>
      </c>
      <c r="H25" s="32">
        <v>350000</v>
      </c>
      <c r="I25" s="32">
        <v>280000</v>
      </c>
      <c r="J25" s="32">
        <v>70000</v>
      </c>
    </row>
    <row r="26" spans="1:10">
      <c r="A26" s="34" t="s">
        <v>150</v>
      </c>
      <c r="B26" s="34" t="s">
        <v>151</v>
      </c>
      <c r="C26" s="34" t="s">
        <v>152</v>
      </c>
      <c r="D26" s="34" t="s">
        <v>79</v>
      </c>
      <c r="E26" s="34" t="s">
        <v>80</v>
      </c>
      <c r="F26" s="34" t="s">
        <v>81</v>
      </c>
      <c r="G26" s="32">
        <v>65000</v>
      </c>
      <c r="H26" s="32">
        <v>325000</v>
      </c>
      <c r="I26" s="32">
        <v>260000</v>
      </c>
      <c r="J26" s="32">
        <v>65000</v>
      </c>
    </row>
    <row r="27" spans="1:10">
      <c r="A27" s="34" t="s">
        <v>156</v>
      </c>
      <c r="B27" s="34" t="s">
        <v>157</v>
      </c>
      <c r="C27" s="34" t="s">
        <v>158</v>
      </c>
      <c r="D27" s="34" t="s">
        <v>159</v>
      </c>
      <c r="E27" s="34" t="s">
        <v>160</v>
      </c>
      <c r="F27" s="34" t="s">
        <v>161</v>
      </c>
      <c r="G27" s="32">
        <v>75000</v>
      </c>
      <c r="H27" s="32">
        <v>150000</v>
      </c>
      <c r="I27" s="32">
        <v>150000</v>
      </c>
      <c r="J27" s="32">
        <v>0</v>
      </c>
    </row>
    <row r="28" spans="1:10">
      <c r="A28" s="34" t="s">
        <v>156</v>
      </c>
      <c r="B28" s="34" t="s">
        <v>157</v>
      </c>
      <c r="C28" s="34" t="s">
        <v>158</v>
      </c>
      <c r="D28" s="34" t="s">
        <v>162</v>
      </c>
      <c r="E28" s="34" t="s">
        <v>163</v>
      </c>
      <c r="F28" s="34" t="s">
        <v>102</v>
      </c>
      <c r="G28" s="32">
        <v>80000</v>
      </c>
      <c r="H28" s="32">
        <v>160000</v>
      </c>
      <c r="I28" s="32">
        <v>160000</v>
      </c>
      <c r="J28" s="32">
        <v>0</v>
      </c>
    </row>
    <row r="29" spans="1:10">
      <c r="A29" s="34" t="s">
        <v>164</v>
      </c>
      <c r="B29" s="34" t="s">
        <v>165</v>
      </c>
      <c r="C29" s="34" t="s">
        <v>166</v>
      </c>
      <c r="D29" s="34" t="s">
        <v>109</v>
      </c>
      <c r="E29" s="34" t="s">
        <v>110</v>
      </c>
      <c r="F29" s="34" t="s">
        <v>111</v>
      </c>
      <c r="G29" s="32">
        <v>70000</v>
      </c>
      <c r="H29" s="32">
        <v>350000</v>
      </c>
      <c r="I29" s="32">
        <v>280000</v>
      </c>
      <c r="J29" s="32">
        <v>70000</v>
      </c>
    </row>
    <row r="30" spans="1:10">
      <c r="A30" s="34" t="s">
        <v>164</v>
      </c>
      <c r="B30" s="34" t="s">
        <v>165</v>
      </c>
      <c r="C30" s="34" t="s">
        <v>166</v>
      </c>
      <c r="D30" s="34" t="s">
        <v>167</v>
      </c>
      <c r="E30" s="34" t="s">
        <v>168</v>
      </c>
      <c r="F30" s="34" t="s">
        <v>169</v>
      </c>
      <c r="G30" s="32">
        <v>60000</v>
      </c>
      <c r="H30" s="32">
        <v>300000</v>
      </c>
      <c r="I30" s="32">
        <v>300000</v>
      </c>
      <c r="J30" s="32">
        <v>0</v>
      </c>
    </row>
    <row r="31" spans="1:10">
      <c r="A31" s="34" t="s">
        <v>170</v>
      </c>
      <c r="B31" s="34" t="s">
        <v>171</v>
      </c>
      <c r="C31" s="34" t="s">
        <v>166</v>
      </c>
      <c r="D31" s="34" t="s">
        <v>117</v>
      </c>
      <c r="E31" s="34" t="s">
        <v>118</v>
      </c>
      <c r="F31" s="34" t="s">
        <v>119</v>
      </c>
      <c r="G31" s="32">
        <v>75000</v>
      </c>
      <c r="H31" s="32">
        <v>450000</v>
      </c>
      <c r="I31" s="32">
        <v>450000</v>
      </c>
      <c r="J31" s="32">
        <v>0</v>
      </c>
    </row>
    <row r="32" spans="1:10">
      <c r="A32" s="34" t="s">
        <v>170</v>
      </c>
      <c r="B32" s="34" t="s">
        <v>171</v>
      </c>
      <c r="C32" s="34" t="s">
        <v>166</v>
      </c>
      <c r="D32" s="34" t="s">
        <v>79</v>
      </c>
      <c r="E32" s="34" t="s">
        <v>80</v>
      </c>
      <c r="F32" s="34" t="s">
        <v>81</v>
      </c>
      <c r="G32" s="32">
        <v>65000</v>
      </c>
      <c r="H32" s="32">
        <v>390000</v>
      </c>
      <c r="I32" s="32">
        <v>325000</v>
      </c>
      <c r="J32" s="32">
        <v>65000</v>
      </c>
    </row>
    <row r="33" spans="1:10">
      <c r="A33" s="34" t="s">
        <v>172</v>
      </c>
      <c r="B33" s="34" t="s">
        <v>173</v>
      </c>
      <c r="C33" s="34" t="s">
        <v>174</v>
      </c>
      <c r="D33" s="34" t="s">
        <v>175</v>
      </c>
      <c r="E33" s="34" t="s">
        <v>176</v>
      </c>
      <c r="F33" s="34" t="s">
        <v>84</v>
      </c>
      <c r="G33" s="32">
        <v>55000</v>
      </c>
      <c r="H33" s="32">
        <v>275000</v>
      </c>
      <c r="I33" s="32">
        <v>275000</v>
      </c>
      <c r="J33" s="32">
        <v>0</v>
      </c>
    </row>
    <row r="34" spans="1:10">
      <c r="A34" s="34" t="s">
        <v>172</v>
      </c>
      <c r="B34" s="34" t="s">
        <v>173</v>
      </c>
      <c r="C34" s="34" t="s">
        <v>174</v>
      </c>
      <c r="D34" s="34" t="s">
        <v>97</v>
      </c>
      <c r="E34" s="34" t="s">
        <v>98</v>
      </c>
      <c r="F34" s="34" t="s">
        <v>99</v>
      </c>
      <c r="G34" s="32">
        <v>75000</v>
      </c>
      <c r="H34" s="32">
        <v>375000</v>
      </c>
      <c r="I34" s="32">
        <v>300000</v>
      </c>
      <c r="J34" s="32">
        <v>75000</v>
      </c>
    </row>
    <row r="35" spans="1:10">
      <c r="A35" s="34" t="s">
        <v>177</v>
      </c>
      <c r="B35" s="34" t="s">
        <v>178</v>
      </c>
      <c r="C35" s="34" t="s">
        <v>179</v>
      </c>
      <c r="D35" s="34" t="s">
        <v>100</v>
      </c>
      <c r="E35" s="34" t="s">
        <v>101</v>
      </c>
      <c r="F35" s="34" t="s">
        <v>102</v>
      </c>
      <c r="G35" s="32">
        <v>50000</v>
      </c>
      <c r="H35" s="32">
        <v>250000</v>
      </c>
      <c r="I35" s="32">
        <v>200000</v>
      </c>
      <c r="J35" s="32">
        <v>50000</v>
      </c>
    </row>
    <row r="36" spans="1:10">
      <c r="A36" s="34" t="s">
        <v>177</v>
      </c>
      <c r="B36" s="34" t="s">
        <v>178</v>
      </c>
      <c r="C36" s="34" t="s">
        <v>179</v>
      </c>
      <c r="D36" s="34" t="s">
        <v>106</v>
      </c>
      <c r="E36" s="34" t="s">
        <v>107</v>
      </c>
      <c r="F36" s="34" t="s">
        <v>108</v>
      </c>
      <c r="G36" s="32">
        <v>60000</v>
      </c>
      <c r="H36" s="32">
        <v>300000</v>
      </c>
      <c r="I36" s="32">
        <v>300000</v>
      </c>
      <c r="J36" s="32">
        <v>0</v>
      </c>
    </row>
    <row r="37" spans="1:10">
      <c r="A37" s="34" t="s">
        <v>180</v>
      </c>
      <c r="B37" s="34" t="s">
        <v>181</v>
      </c>
      <c r="C37" s="34" t="s">
        <v>182</v>
      </c>
      <c r="D37" s="34" t="s">
        <v>167</v>
      </c>
      <c r="E37" s="34" t="s">
        <v>168</v>
      </c>
      <c r="F37" s="34" t="s">
        <v>169</v>
      </c>
      <c r="G37" s="32">
        <v>60000</v>
      </c>
      <c r="H37" s="32">
        <v>300000</v>
      </c>
      <c r="I37" s="32">
        <v>240000</v>
      </c>
      <c r="J37" s="32">
        <v>60000</v>
      </c>
    </row>
    <row r="38" spans="1:10">
      <c r="A38" s="34" t="s">
        <v>180</v>
      </c>
      <c r="B38" s="34" t="s">
        <v>181</v>
      </c>
      <c r="C38" s="34" t="s">
        <v>182</v>
      </c>
      <c r="D38" s="34" t="s">
        <v>79</v>
      </c>
      <c r="E38" s="34" t="s">
        <v>80</v>
      </c>
      <c r="F38" s="34" t="s">
        <v>81</v>
      </c>
      <c r="G38" s="32">
        <v>65000</v>
      </c>
      <c r="H38" s="32">
        <v>325000</v>
      </c>
      <c r="I38" s="32">
        <v>260000</v>
      </c>
      <c r="J38" s="32">
        <v>65000</v>
      </c>
    </row>
    <row r="39" spans="1:10">
      <c r="A39" s="34" t="s">
        <v>183</v>
      </c>
      <c r="B39" s="34" t="s">
        <v>184</v>
      </c>
      <c r="C39" s="34" t="s">
        <v>185</v>
      </c>
      <c r="D39" s="34" t="s">
        <v>91</v>
      </c>
      <c r="E39" s="34" t="s">
        <v>92</v>
      </c>
      <c r="F39" s="34" t="s">
        <v>93</v>
      </c>
      <c r="G39" s="32">
        <v>68000</v>
      </c>
      <c r="H39" s="32">
        <v>340000</v>
      </c>
      <c r="I39" s="32">
        <v>340000</v>
      </c>
      <c r="J39" s="32">
        <v>0</v>
      </c>
    </row>
    <row r="40" spans="1:10">
      <c r="A40" s="34" t="s">
        <v>183</v>
      </c>
      <c r="B40" s="34" t="s">
        <v>184</v>
      </c>
      <c r="C40" s="34" t="s">
        <v>185</v>
      </c>
      <c r="D40" s="34" t="s">
        <v>186</v>
      </c>
      <c r="E40" s="34" t="s">
        <v>187</v>
      </c>
      <c r="F40" s="34" t="s">
        <v>119</v>
      </c>
      <c r="G40" s="32">
        <v>75000</v>
      </c>
      <c r="H40" s="32">
        <v>375000</v>
      </c>
      <c r="I40" s="32">
        <v>225000</v>
      </c>
      <c r="J40" s="32">
        <v>150000</v>
      </c>
    </row>
    <row r="41" spans="1:10">
      <c r="A41" s="34" t="s">
        <v>188</v>
      </c>
      <c r="B41" s="34" t="s">
        <v>189</v>
      </c>
      <c r="C41" s="34" t="s">
        <v>190</v>
      </c>
      <c r="D41" s="34" t="s">
        <v>135</v>
      </c>
      <c r="E41" s="34" t="s">
        <v>136</v>
      </c>
      <c r="F41" s="34" t="s">
        <v>111</v>
      </c>
      <c r="G41" s="32">
        <v>70000</v>
      </c>
      <c r="H41" s="32">
        <v>280000</v>
      </c>
      <c r="I41" s="32">
        <v>140000</v>
      </c>
      <c r="J41" s="32">
        <v>140000</v>
      </c>
    </row>
    <row r="42" spans="1:10">
      <c r="A42" s="34" t="s">
        <v>188</v>
      </c>
      <c r="B42" s="34" t="s">
        <v>189</v>
      </c>
      <c r="C42" s="34" t="s">
        <v>190</v>
      </c>
      <c r="D42" s="34" t="s">
        <v>148</v>
      </c>
      <c r="E42" s="34" t="s">
        <v>149</v>
      </c>
      <c r="F42" s="34" t="s">
        <v>90</v>
      </c>
      <c r="G42" s="32">
        <v>65000</v>
      </c>
      <c r="H42" s="32">
        <v>260000</v>
      </c>
      <c r="I42" s="32">
        <v>195000</v>
      </c>
      <c r="J42" s="32">
        <v>65000</v>
      </c>
    </row>
    <row r="43" spans="1:10">
      <c r="A43" s="34" t="s">
        <v>191</v>
      </c>
      <c r="B43" s="34" t="s">
        <v>192</v>
      </c>
      <c r="C43" s="34" t="s">
        <v>193</v>
      </c>
      <c r="D43" s="34" t="s">
        <v>114</v>
      </c>
      <c r="E43" s="34" t="s">
        <v>115</v>
      </c>
      <c r="F43" s="34" t="s">
        <v>116</v>
      </c>
      <c r="G43" s="32">
        <v>50000</v>
      </c>
      <c r="H43" s="32">
        <v>250000</v>
      </c>
      <c r="I43" s="32">
        <v>200000</v>
      </c>
      <c r="J43" s="32">
        <v>50000</v>
      </c>
    </row>
    <row r="44" spans="1:10">
      <c r="A44" s="34" t="s">
        <v>191</v>
      </c>
      <c r="B44" s="34" t="s">
        <v>192</v>
      </c>
      <c r="C44" s="34" t="s">
        <v>193</v>
      </c>
      <c r="D44" s="34" t="s">
        <v>194</v>
      </c>
      <c r="E44" s="34" t="s">
        <v>195</v>
      </c>
      <c r="F44" s="34" t="s">
        <v>155</v>
      </c>
      <c r="G44" s="32">
        <v>70000</v>
      </c>
      <c r="H44" s="32">
        <v>350000</v>
      </c>
      <c r="I44" s="32">
        <v>350000</v>
      </c>
      <c r="J44" s="32">
        <v>0</v>
      </c>
    </row>
    <row r="45" spans="1:10">
      <c r="A45" s="34" t="s">
        <v>196</v>
      </c>
      <c r="B45" s="34" t="s">
        <v>77</v>
      </c>
      <c r="C45" s="34" t="s">
        <v>197</v>
      </c>
      <c r="D45" s="34" t="s">
        <v>117</v>
      </c>
      <c r="E45" s="34" t="s">
        <v>118</v>
      </c>
      <c r="F45" s="34" t="s">
        <v>119</v>
      </c>
      <c r="G45" s="32">
        <v>75000</v>
      </c>
      <c r="H45" s="32">
        <v>450000</v>
      </c>
      <c r="I45" s="32">
        <v>375000</v>
      </c>
      <c r="J45" s="32">
        <v>75000</v>
      </c>
    </row>
    <row r="46" spans="1:10">
      <c r="A46" s="34" t="s">
        <v>196</v>
      </c>
      <c r="B46" s="34" t="s">
        <v>77</v>
      </c>
      <c r="C46" s="34" t="s">
        <v>197</v>
      </c>
      <c r="D46" s="34" t="s">
        <v>194</v>
      </c>
      <c r="E46" s="34" t="s">
        <v>195</v>
      </c>
      <c r="F46" s="34" t="s">
        <v>155</v>
      </c>
      <c r="G46" s="32">
        <v>70000</v>
      </c>
      <c r="H46" s="32">
        <v>420000</v>
      </c>
      <c r="I46" s="32">
        <v>280000</v>
      </c>
      <c r="J46" s="32">
        <v>140000</v>
      </c>
    </row>
    <row r="47" spans="1:10">
      <c r="A47" s="34" t="s">
        <v>198</v>
      </c>
      <c r="B47" s="34" t="s">
        <v>199</v>
      </c>
      <c r="C47" s="34" t="s">
        <v>200</v>
      </c>
      <c r="D47" s="34" t="s">
        <v>79</v>
      </c>
      <c r="E47" s="34" t="s">
        <v>80</v>
      </c>
      <c r="F47" s="34" t="s">
        <v>81</v>
      </c>
      <c r="G47" s="32">
        <v>65000</v>
      </c>
      <c r="H47" s="32">
        <v>325000</v>
      </c>
      <c r="I47" s="32">
        <v>260000</v>
      </c>
      <c r="J47" s="32">
        <v>65000</v>
      </c>
    </row>
    <row r="48" spans="1:10">
      <c r="A48" s="34" t="s">
        <v>198</v>
      </c>
      <c r="B48" s="34" t="s">
        <v>199</v>
      </c>
      <c r="C48" s="34" t="s">
        <v>200</v>
      </c>
      <c r="D48" s="34" t="s">
        <v>131</v>
      </c>
      <c r="E48" s="34" t="s">
        <v>132</v>
      </c>
      <c r="F48" s="34" t="s">
        <v>111</v>
      </c>
      <c r="G48" s="32">
        <v>70000</v>
      </c>
      <c r="H48" s="32">
        <v>350000</v>
      </c>
      <c r="I48" s="32">
        <v>210000</v>
      </c>
      <c r="J48" s="32">
        <v>140000</v>
      </c>
    </row>
    <row r="49" spans="1:10">
      <c r="A49" s="34" t="s">
        <v>201</v>
      </c>
      <c r="B49" s="34" t="s">
        <v>202</v>
      </c>
      <c r="C49" s="34" t="s">
        <v>203</v>
      </c>
      <c r="D49" s="34" t="s">
        <v>131</v>
      </c>
      <c r="E49" s="34" t="s">
        <v>132</v>
      </c>
      <c r="F49" s="34" t="s">
        <v>111</v>
      </c>
      <c r="G49" s="32">
        <v>70000</v>
      </c>
      <c r="H49" s="32">
        <v>490000</v>
      </c>
      <c r="I49" s="32">
        <v>420000</v>
      </c>
      <c r="J49" s="32">
        <v>70000</v>
      </c>
    </row>
    <row r="50" spans="1:10">
      <c r="A50" s="34" t="s">
        <v>201</v>
      </c>
      <c r="B50" s="34" t="s">
        <v>202</v>
      </c>
      <c r="C50" s="34" t="s">
        <v>203</v>
      </c>
      <c r="D50" s="34" t="s">
        <v>153</v>
      </c>
      <c r="E50" s="34" t="s">
        <v>154</v>
      </c>
      <c r="F50" s="34" t="s">
        <v>155</v>
      </c>
      <c r="G50" s="32">
        <v>70000</v>
      </c>
      <c r="H50" s="32">
        <v>490000</v>
      </c>
      <c r="I50" s="32">
        <v>420000</v>
      </c>
      <c r="J50" s="32">
        <v>70000</v>
      </c>
    </row>
    <row r="51" spans="1:10">
      <c r="A51" s="34" t="s">
        <v>204</v>
      </c>
      <c r="B51" s="34" t="s">
        <v>205</v>
      </c>
      <c r="C51" s="34" t="s">
        <v>193</v>
      </c>
      <c r="D51" s="34" t="s">
        <v>82</v>
      </c>
      <c r="E51" s="34" t="s">
        <v>83</v>
      </c>
      <c r="F51" s="34" t="s">
        <v>84</v>
      </c>
      <c r="G51" s="32">
        <v>55000</v>
      </c>
      <c r="H51" s="32">
        <v>275000</v>
      </c>
      <c r="I51" s="32">
        <v>275000</v>
      </c>
      <c r="J51" s="32">
        <v>0</v>
      </c>
    </row>
    <row r="52" spans="1:10">
      <c r="A52" s="34" t="s">
        <v>204</v>
      </c>
      <c r="B52" s="34" t="s">
        <v>205</v>
      </c>
      <c r="C52" s="34" t="s">
        <v>193</v>
      </c>
      <c r="D52" s="34" t="s">
        <v>97</v>
      </c>
      <c r="E52" s="34" t="s">
        <v>98</v>
      </c>
      <c r="F52" s="34" t="s">
        <v>99</v>
      </c>
      <c r="G52" s="32">
        <v>75000</v>
      </c>
      <c r="H52" s="32">
        <v>375000</v>
      </c>
      <c r="I52" s="32">
        <v>300000</v>
      </c>
      <c r="J52" s="32">
        <v>75000</v>
      </c>
    </row>
    <row r="53" spans="1:10">
      <c r="A53" s="34" t="s">
        <v>206</v>
      </c>
      <c r="B53" s="34" t="s">
        <v>207</v>
      </c>
      <c r="C53" s="34" t="s">
        <v>208</v>
      </c>
      <c r="D53" s="34" t="s">
        <v>142</v>
      </c>
      <c r="E53" s="34" t="s">
        <v>143</v>
      </c>
      <c r="F53" s="34" t="s">
        <v>108</v>
      </c>
      <c r="G53" s="32">
        <v>60000</v>
      </c>
      <c r="H53" s="32">
        <v>60000</v>
      </c>
      <c r="I53" s="32">
        <v>60000</v>
      </c>
      <c r="J53" s="32">
        <v>0</v>
      </c>
    </row>
    <row r="54" spans="1:10">
      <c r="A54" s="34" t="s">
        <v>206</v>
      </c>
      <c r="B54" s="34" t="s">
        <v>207</v>
      </c>
      <c r="C54" s="34" t="s">
        <v>208</v>
      </c>
      <c r="D54" s="34" t="s">
        <v>159</v>
      </c>
      <c r="E54" s="34" t="s">
        <v>160</v>
      </c>
      <c r="F54" s="34" t="s">
        <v>161</v>
      </c>
      <c r="G54" s="32">
        <v>75000</v>
      </c>
      <c r="H54" s="32">
        <v>75000</v>
      </c>
      <c r="I54" s="32">
        <v>75000</v>
      </c>
      <c r="J54" s="32">
        <v>0</v>
      </c>
    </row>
    <row r="55" spans="1:10">
      <c r="A55" s="34" t="s">
        <v>209</v>
      </c>
      <c r="B55" s="34" t="s">
        <v>210</v>
      </c>
      <c r="C55" s="34" t="s">
        <v>179</v>
      </c>
      <c r="D55" s="34" t="s">
        <v>162</v>
      </c>
      <c r="E55" s="34" t="s">
        <v>163</v>
      </c>
      <c r="F55" s="34" t="s">
        <v>102</v>
      </c>
      <c r="G55" s="32">
        <v>80000</v>
      </c>
      <c r="H55" s="32">
        <v>400000</v>
      </c>
      <c r="I55" s="32">
        <v>320000</v>
      </c>
      <c r="J55" s="32">
        <v>80000</v>
      </c>
    </row>
    <row r="56" spans="1:10">
      <c r="A56" s="34" t="s">
        <v>209</v>
      </c>
      <c r="B56" s="34" t="s">
        <v>210</v>
      </c>
      <c r="C56" s="34" t="s">
        <v>179</v>
      </c>
      <c r="D56" s="34" t="s">
        <v>211</v>
      </c>
      <c r="E56" s="34" t="s">
        <v>212</v>
      </c>
      <c r="F56" s="34" t="s">
        <v>81</v>
      </c>
      <c r="G56" s="32">
        <v>65000</v>
      </c>
      <c r="H56" s="32">
        <v>325000</v>
      </c>
      <c r="I56" s="32">
        <v>195000</v>
      </c>
      <c r="J56" s="32">
        <v>130000</v>
      </c>
    </row>
    <row r="57" spans="1:10">
      <c r="A57" s="34" t="s">
        <v>213</v>
      </c>
      <c r="B57" s="34" t="s">
        <v>214</v>
      </c>
      <c r="C57" s="34" t="s">
        <v>215</v>
      </c>
      <c r="D57" s="34" t="s">
        <v>216</v>
      </c>
      <c r="E57" s="34" t="s">
        <v>217</v>
      </c>
      <c r="F57" s="34" t="s">
        <v>102</v>
      </c>
      <c r="G57" s="32">
        <v>80000</v>
      </c>
      <c r="H57" s="32">
        <v>480000</v>
      </c>
      <c r="I57" s="32">
        <v>400000</v>
      </c>
      <c r="J57" s="32">
        <v>80000</v>
      </c>
    </row>
    <row r="58" spans="1:10">
      <c r="A58" s="34" t="s">
        <v>213</v>
      </c>
      <c r="B58" s="34" t="s">
        <v>214</v>
      </c>
      <c r="C58" s="34" t="s">
        <v>215</v>
      </c>
      <c r="D58" s="34" t="s">
        <v>175</v>
      </c>
      <c r="E58" s="34" t="s">
        <v>176</v>
      </c>
      <c r="F58" s="34" t="s">
        <v>84</v>
      </c>
      <c r="G58" s="32">
        <v>55000</v>
      </c>
      <c r="H58" s="32">
        <v>330000</v>
      </c>
      <c r="I58" s="32">
        <v>220000</v>
      </c>
      <c r="J58" s="32">
        <v>110000</v>
      </c>
    </row>
    <row r="59" spans="1:10">
      <c r="A59" s="34" t="s">
        <v>218</v>
      </c>
      <c r="B59" s="34" t="s">
        <v>219</v>
      </c>
      <c r="C59" s="34" t="s">
        <v>130</v>
      </c>
      <c r="D59" s="34" t="s">
        <v>220</v>
      </c>
      <c r="E59" s="34" t="s">
        <v>221</v>
      </c>
      <c r="F59" s="34" t="s">
        <v>161</v>
      </c>
      <c r="G59" s="32">
        <v>75000</v>
      </c>
      <c r="H59" s="32">
        <v>375000</v>
      </c>
      <c r="I59" s="32">
        <v>300000</v>
      </c>
      <c r="J59" s="32">
        <v>75000</v>
      </c>
    </row>
    <row r="60" spans="1:10">
      <c r="A60" s="34" t="s">
        <v>218</v>
      </c>
      <c r="B60" s="34" t="s">
        <v>219</v>
      </c>
      <c r="C60" s="34" t="s">
        <v>130</v>
      </c>
      <c r="D60" s="34" t="s">
        <v>153</v>
      </c>
      <c r="E60" s="34" t="s">
        <v>154</v>
      </c>
      <c r="F60" s="34" t="s">
        <v>155</v>
      </c>
      <c r="G60" s="32">
        <v>70000</v>
      </c>
      <c r="H60" s="32">
        <v>350000</v>
      </c>
      <c r="I60" s="32">
        <v>280000</v>
      </c>
      <c r="J60" s="32">
        <v>70000</v>
      </c>
    </row>
    <row r="61" spans="1:10">
      <c r="A61" s="34" t="s">
        <v>222</v>
      </c>
      <c r="B61" s="34" t="s">
        <v>223</v>
      </c>
      <c r="C61" s="34" t="s">
        <v>166</v>
      </c>
      <c r="D61" s="34" t="s">
        <v>186</v>
      </c>
      <c r="E61" s="34" t="s">
        <v>187</v>
      </c>
      <c r="F61" s="34" t="s">
        <v>119</v>
      </c>
      <c r="G61" s="32">
        <v>75000</v>
      </c>
      <c r="H61" s="32">
        <v>375000</v>
      </c>
      <c r="I61" s="32">
        <v>300000</v>
      </c>
      <c r="J61" s="32">
        <v>75000</v>
      </c>
    </row>
    <row r="62" spans="1:10">
      <c r="A62" s="34" t="s">
        <v>222</v>
      </c>
      <c r="B62" s="34" t="s">
        <v>223</v>
      </c>
      <c r="C62" s="34" t="s">
        <v>166</v>
      </c>
      <c r="D62" s="34" t="s">
        <v>131</v>
      </c>
      <c r="E62" s="34" t="s">
        <v>132</v>
      </c>
      <c r="F62" s="34" t="s">
        <v>111</v>
      </c>
      <c r="G62" s="32">
        <v>70000</v>
      </c>
      <c r="H62" s="32">
        <v>350000</v>
      </c>
      <c r="I62" s="32">
        <v>210000</v>
      </c>
      <c r="J62" s="32">
        <v>140000</v>
      </c>
    </row>
    <row r="63" spans="1:10">
      <c r="A63" s="34" t="s">
        <v>224</v>
      </c>
      <c r="B63" s="34" t="s">
        <v>225</v>
      </c>
      <c r="C63" s="34" t="s">
        <v>152</v>
      </c>
      <c r="D63" s="34" t="s">
        <v>167</v>
      </c>
      <c r="E63" s="34" t="s">
        <v>168</v>
      </c>
      <c r="F63" s="34" t="s">
        <v>169</v>
      </c>
      <c r="G63" s="32">
        <v>60000</v>
      </c>
      <c r="H63" s="32">
        <v>420000</v>
      </c>
      <c r="I63" s="32">
        <v>360000</v>
      </c>
      <c r="J63" s="32">
        <v>60000</v>
      </c>
    </row>
    <row r="64" spans="1:10">
      <c r="A64" s="34" t="s">
        <v>224</v>
      </c>
      <c r="B64" s="34" t="s">
        <v>225</v>
      </c>
      <c r="C64" s="34" t="s">
        <v>152</v>
      </c>
      <c r="D64" s="34" t="s">
        <v>140</v>
      </c>
      <c r="E64" s="34" t="s">
        <v>141</v>
      </c>
      <c r="F64" s="34" t="s">
        <v>93</v>
      </c>
      <c r="G64" s="32">
        <v>68000</v>
      </c>
      <c r="H64" s="32">
        <v>476000</v>
      </c>
      <c r="I64" s="32">
        <v>408000</v>
      </c>
      <c r="J64" s="32">
        <v>68000</v>
      </c>
    </row>
    <row r="65" spans="1:10">
      <c r="A65" s="34" t="s">
        <v>226</v>
      </c>
      <c r="B65" s="34" t="s">
        <v>227</v>
      </c>
      <c r="C65" s="34" t="s">
        <v>174</v>
      </c>
      <c r="D65" s="34" t="s">
        <v>106</v>
      </c>
      <c r="E65" s="34" t="s">
        <v>107</v>
      </c>
      <c r="F65" s="34" t="s">
        <v>108</v>
      </c>
      <c r="G65" s="32">
        <v>60000</v>
      </c>
      <c r="H65" s="32">
        <v>300000</v>
      </c>
      <c r="I65" s="32">
        <v>300000</v>
      </c>
      <c r="J65" s="32">
        <v>0</v>
      </c>
    </row>
    <row r="66" spans="1:10">
      <c r="A66" s="34" t="s">
        <v>226</v>
      </c>
      <c r="B66" s="34" t="s">
        <v>227</v>
      </c>
      <c r="C66" s="34" t="s">
        <v>174</v>
      </c>
      <c r="D66" s="34" t="s">
        <v>146</v>
      </c>
      <c r="E66" s="34" t="s">
        <v>147</v>
      </c>
      <c r="F66" s="34" t="s">
        <v>116</v>
      </c>
      <c r="G66" s="32">
        <v>50000</v>
      </c>
      <c r="H66" s="32">
        <v>250000</v>
      </c>
      <c r="I66" s="32">
        <v>150000</v>
      </c>
      <c r="J66" s="32">
        <v>100000</v>
      </c>
    </row>
    <row r="67" spans="1:10">
      <c r="A67" s="34" t="s">
        <v>228</v>
      </c>
      <c r="B67" s="34" t="s">
        <v>229</v>
      </c>
      <c r="C67" s="34" t="s">
        <v>139</v>
      </c>
      <c r="D67" s="34" t="s">
        <v>148</v>
      </c>
      <c r="E67" s="34" t="s">
        <v>149</v>
      </c>
      <c r="F67" s="34" t="s">
        <v>90</v>
      </c>
      <c r="G67" s="32">
        <v>65000</v>
      </c>
      <c r="H67" s="32">
        <v>325000</v>
      </c>
      <c r="I67" s="32">
        <v>260000</v>
      </c>
      <c r="J67" s="32">
        <v>65000</v>
      </c>
    </row>
    <row r="68" spans="1:10">
      <c r="A68" s="34" t="s">
        <v>228</v>
      </c>
      <c r="B68" s="34" t="s">
        <v>229</v>
      </c>
      <c r="C68" s="34" t="s">
        <v>139</v>
      </c>
      <c r="D68" s="34" t="s">
        <v>131</v>
      </c>
      <c r="E68" s="34" t="s">
        <v>132</v>
      </c>
      <c r="F68" s="34" t="s">
        <v>111</v>
      </c>
      <c r="G68" s="32">
        <v>70000</v>
      </c>
      <c r="H68" s="32">
        <v>350000</v>
      </c>
      <c r="I68" s="32">
        <v>350000</v>
      </c>
      <c r="J68" s="32">
        <v>0</v>
      </c>
    </row>
    <row r="69" spans="1:10">
      <c r="A69" s="34" t="s">
        <v>230</v>
      </c>
      <c r="B69" s="34" t="s">
        <v>231</v>
      </c>
      <c r="C69" s="34" t="s">
        <v>127</v>
      </c>
      <c r="D69" s="34" t="s">
        <v>216</v>
      </c>
      <c r="E69" s="34" t="s">
        <v>217</v>
      </c>
      <c r="F69" s="34" t="s">
        <v>102</v>
      </c>
      <c r="G69" s="32">
        <v>80000</v>
      </c>
      <c r="H69" s="32">
        <v>480000</v>
      </c>
      <c r="I69" s="32">
        <v>400000</v>
      </c>
      <c r="J69" s="32">
        <v>80000</v>
      </c>
    </row>
    <row r="70" spans="1:10">
      <c r="A70" s="34" t="s">
        <v>230</v>
      </c>
      <c r="B70" s="34" t="s">
        <v>231</v>
      </c>
      <c r="C70" s="34" t="s">
        <v>127</v>
      </c>
      <c r="D70" s="34" t="s">
        <v>186</v>
      </c>
      <c r="E70" s="34" t="s">
        <v>187</v>
      </c>
      <c r="F70" s="34" t="s">
        <v>119</v>
      </c>
      <c r="G70" s="32">
        <v>75000</v>
      </c>
      <c r="H70" s="32">
        <v>450000</v>
      </c>
      <c r="I70" s="32">
        <v>450000</v>
      </c>
      <c r="J70" s="32">
        <v>0</v>
      </c>
    </row>
    <row r="71" spans="1:10">
      <c r="A71" s="34" t="s">
        <v>232</v>
      </c>
      <c r="B71" s="34" t="s">
        <v>233</v>
      </c>
      <c r="C71" s="34" t="s">
        <v>96</v>
      </c>
      <c r="D71" s="34" t="s">
        <v>79</v>
      </c>
      <c r="E71" s="34" t="s">
        <v>80</v>
      </c>
      <c r="F71" s="34" t="s">
        <v>81</v>
      </c>
      <c r="G71" s="32">
        <v>65000</v>
      </c>
      <c r="H71" s="32">
        <v>325000</v>
      </c>
      <c r="I71" s="32">
        <v>195000</v>
      </c>
      <c r="J71" s="32">
        <v>130000</v>
      </c>
    </row>
    <row r="72" spans="1:10">
      <c r="A72" s="34" t="s">
        <v>232</v>
      </c>
      <c r="B72" s="34" t="s">
        <v>233</v>
      </c>
      <c r="C72" s="34" t="s">
        <v>96</v>
      </c>
      <c r="D72" s="34" t="s">
        <v>106</v>
      </c>
      <c r="E72" s="34" t="s">
        <v>107</v>
      </c>
      <c r="F72" s="34" t="s">
        <v>108</v>
      </c>
      <c r="G72" s="32">
        <v>60000</v>
      </c>
      <c r="H72" s="32">
        <v>300000</v>
      </c>
      <c r="I72" s="32">
        <v>240000</v>
      </c>
      <c r="J72" s="32">
        <v>60000</v>
      </c>
    </row>
    <row r="73" spans="1:10">
      <c r="A73" s="34" t="s">
        <v>234</v>
      </c>
      <c r="B73" s="34" t="s">
        <v>235</v>
      </c>
      <c r="C73" s="34" t="s">
        <v>182</v>
      </c>
      <c r="D73" s="34" t="s">
        <v>88</v>
      </c>
      <c r="E73" s="34" t="s">
        <v>89</v>
      </c>
      <c r="F73" s="34" t="s">
        <v>90</v>
      </c>
      <c r="G73" s="32">
        <v>65000</v>
      </c>
      <c r="H73" s="32">
        <v>260000</v>
      </c>
      <c r="I73" s="32">
        <v>130000</v>
      </c>
      <c r="J73" s="32">
        <v>130000</v>
      </c>
    </row>
    <row r="74" spans="1:10">
      <c r="A74" s="34" t="s">
        <v>234</v>
      </c>
      <c r="B74" s="34" t="s">
        <v>235</v>
      </c>
      <c r="C74" s="34" t="s">
        <v>182</v>
      </c>
      <c r="D74" s="34" t="s">
        <v>146</v>
      </c>
      <c r="E74" s="34" t="s">
        <v>147</v>
      </c>
      <c r="F74" s="34" t="s">
        <v>116</v>
      </c>
      <c r="G74" s="32">
        <v>50000</v>
      </c>
      <c r="H74" s="32">
        <v>200000</v>
      </c>
      <c r="I74" s="32">
        <v>150000</v>
      </c>
      <c r="J74" s="32">
        <v>50000</v>
      </c>
    </row>
    <row r="75" spans="1:10">
      <c r="A75" s="34" t="s">
        <v>236</v>
      </c>
      <c r="B75" s="34" t="s">
        <v>237</v>
      </c>
      <c r="C75" s="34" t="s">
        <v>190</v>
      </c>
      <c r="D75" s="34" t="s">
        <v>211</v>
      </c>
      <c r="E75" s="34" t="s">
        <v>212</v>
      </c>
      <c r="F75" s="34" t="s">
        <v>81</v>
      </c>
      <c r="G75" s="32">
        <v>65000</v>
      </c>
      <c r="H75" s="32">
        <v>325000</v>
      </c>
      <c r="I75" s="32">
        <v>260000</v>
      </c>
      <c r="J75" s="32">
        <v>65000</v>
      </c>
    </row>
    <row r="76" spans="1:10">
      <c r="A76" s="34" t="s">
        <v>236</v>
      </c>
      <c r="B76" s="34" t="s">
        <v>237</v>
      </c>
      <c r="C76" s="34" t="s">
        <v>190</v>
      </c>
      <c r="D76" s="34" t="s">
        <v>100</v>
      </c>
      <c r="E76" s="34" t="s">
        <v>101</v>
      </c>
      <c r="F76" s="34" t="s">
        <v>102</v>
      </c>
      <c r="G76" s="32">
        <v>50000</v>
      </c>
      <c r="H76" s="32">
        <v>250000</v>
      </c>
      <c r="I76" s="32">
        <v>200000</v>
      </c>
      <c r="J76" s="32">
        <v>50000</v>
      </c>
    </row>
    <row r="77" spans="1:10">
      <c r="A77" s="34" t="s">
        <v>238</v>
      </c>
      <c r="B77" s="34" t="s">
        <v>239</v>
      </c>
      <c r="C77" s="34" t="s">
        <v>190</v>
      </c>
      <c r="D77" s="34" t="s">
        <v>123</v>
      </c>
      <c r="E77" s="34" t="s">
        <v>124</v>
      </c>
      <c r="F77" s="34" t="s">
        <v>99</v>
      </c>
      <c r="G77" s="32">
        <v>75000</v>
      </c>
      <c r="H77" s="32">
        <v>525000</v>
      </c>
      <c r="I77" s="32">
        <v>375000</v>
      </c>
      <c r="J77" s="32">
        <v>150000</v>
      </c>
    </row>
    <row r="78" spans="1:10">
      <c r="A78" s="34" t="s">
        <v>238</v>
      </c>
      <c r="B78" s="34" t="s">
        <v>239</v>
      </c>
      <c r="C78" s="34" t="s">
        <v>190</v>
      </c>
      <c r="D78" s="34" t="s">
        <v>82</v>
      </c>
      <c r="E78" s="34" t="s">
        <v>83</v>
      </c>
      <c r="F78" s="34" t="s">
        <v>84</v>
      </c>
      <c r="G78" s="32">
        <v>55000</v>
      </c>
      <c r="H78" s="32">
        <v>385000</v>
      </c>
      <c r="I78" s="32">
        <v>330000</v>
      </c>
      <c r="J78" s="32">
        <v>55000</v>
      </c>
    </row>
    <row r="79" spans="1:10">
      <c r="A79" s="34" t="s">
        <v>240</v>
      </c>
      <c r="B79" s="34" t="s">
        <v>241</v>
      </c>
      <c r="C79" s="34" t="s">
        <v>127</v>
      </c>
      <c r="D79" s="34" t="s">
        <v>186</v>
      </c>
      <c r="E79" s="34" t="s">
        <v>187</v>
      </c>
      <c r="F79" s="34" t="s">
        <v>119</v>
      </c>
      <c r="G79" s="32">
        <v>75000</v>
      </c>
      <c r="H79" s="32">
        <v>375000</v>
      </c>
      <c r="I79" s="32">
        <v>300000</v>
      </c>
      <c r="J79" s="32">
        <v>75000</v>
      </c>
    </row>
    <row r="80" spans="1:10">
      <c r="A80" s="34" t="s">
        <v>240</v>
      </c>
      <c r="B80" s="34" t="s">
        <v>241</v>
      </c>
      <c r="C80" s="34" t="s">
        <v>127</v>
      </c>
      <c r="D80" s="34" t="s">
        <v>242</v>
      </c>
      <c r="E80" s="34" t="s">
        <v>243</v>
      </c>
      <c r="F80" s="34" t="s">
        <v>93</v>
      </c>
      <c r="G80" s="32">
        <v>68000</v>
      </c>
      <c r="H80" s="32">
        <v>340000</v>
      </c>
      <c r="I80" s="32">
        <v>272000</v>
      </c>
      <c r="J80" s="32">
        <v>68000</v>
      </c>
    </row>
    <row r="81" spans="1:10">
      <c r="A81" s="34" t="s">
        <v>244</v>
      </c>
      <c r="B81" s="34" t="s">
        <v>245</v>
      </c>
      <c r="C81" s="34" t="s">
        <v>87</v>
      </c>
      <c r="D81" s="34" t="s">
        <v>117</v>
      </c>
      <c r="E81" s="34" t="s">
        <v>118</v>
      </c>
      <c r="F81" s="34" t="s">
        <v>119</v>
      </c>
      <c r="G81" s="32">
        <v>75000</v>
      </c>
      <c r="H81" s="32">
        <v>375000</v>
      </c>
      <c r="I81" s="32">
        <v>300000</v>
      </c>
      <c r="J81" s="32">
        <v>75000</v>
      </c>
    </row>
    <row r="82" spans="1:10">
      <c r="A82" s="34" t="s">
        <v>244</v>
      </c>
      <c r="B82" s="34" t="s">
        <v>245</v>
      </c>
      <c r="C82" s="34" t="s">
        <v>87</v>
      </c>
      <c r="D82" s="34" t="s">
        <v>97</v>
      </c>
      <c r="E82" s="34" t="s">
        <v>98</v>
      </c>
      <c r="F82" s="34" t="s">
        <v>99</v>
      </c>
      <c r="G82" s="32">
        <v>75000</v>
      </c>
      <c r="H82" s="32">
        <v>375000</v>
      </c>
      <c r="I82" s="32">
        <v>300000</v>
      </c>
      <c r="J82" s="32">
        <v>75000</v>
      </c>
    </row>
    <row r="83" spans="1:10">
      <c r="A83" s="34" t="s">
        <v>246</v>
      </c>
      <c r="B83" s="34" t="s">
        <v>247</v>
      </c>
      <c r="C83" s="34" t="s">
        <v>122</v>
      </c>
      <c r="D83" s="34" t="s">
        <v>167</v>
      </c>
      <c r="E83" s="34" t="s">
        <v>168</v>
      </c>
      <c r="F83" s="34" t="s">
        <v>169</v>
      </c>
      <c r="G83" s="32">
        <v>60000</v>
      </c>
      <c r="H83" s="32">
        <v>360000</v>
      </c>
      <c r="I83" s="32">
        <v>300000</v>
      </c>
      <c r="J83" s="32">
        <v>60000</v>
      </c>
    </row>
    <row r="84" spans="1:10">
      <c r="A84" s="34" t="s">
        <v>246</v>
      </c>
      <c r="B84" s="34" t="s">
        <v>247</v>
      </c>
      <c r="C84" s="34" t="s">
        <v>122</v>
      </c>
      <c r="D84" s="34" t="s">
        <v>211</v>
      </c>
      <c r="E84" s="34" t="s">
        <v>212</v>
      </c>
      <c r="F84" s="34" t="s">
        <v>81</v>
      </c>
      <c r="G84" s="32">
        <v>65000</v>
      </c>
      <c r="H84" s="32">
        <v>390000</v>
      </c>
      <c r="I84" s="32">
        <v>390000</v>
      </c>
      <c r="J84" s="32">
        <v>0</v>
      </c>
    </row>
    <row r="85" spans="1:10">
      <c r="A85" s="34" t="s">
        <v>246</v>
      </c>
      <c r="B85" s="34" t="s">
        <v>247</v>
      </c>
      <c r="C85" s="34" t="s">
        <v>122</v>
      </c>
      <c r="D85" s="34" t="s">
        <v>82</v>
      </c>
      <c r="E85" s="34" t="s">
        <v>83</v>
      </c>
      <c r="F85" s="34" t="s">
        <v>84</v>
      </c>
      <c r="G85" s="32">
        <v>55000</v>
      </c>
      <c r="H85" s="32">
        <v>330000</v>
      </c>
      <c r="I85" s="32">
        <v>220000</v>
      </c>
      <c r="J85" s="32">
        <v>110000</v>
      </c>
    </row>
    <row r="86" spans="1:10">
      <c r="A86" s="34" t="s">
        <v>248</v>
      </c>
      <c r="B86" s="34" t="s">
        <v>249</v>
      </c>
      <c r="C86" s="34" t="s">
        <v>130</v>
      </c>
      <c r="D86" s="34" t="s">
        <v>250</v>
      </c>
      <c r="E86" s="34" t="s">
        <v>251</v>
      </c>
      <c r="F86" s="34" t="s">
        <v>108</v>
      </c>
      <c r="G86" s="32">
        <v>60000</v>
      </c>
      <c r="H86" s="32">
        <v>300000</v>
      </c>
      <c r="I86" s="32">
        <v>240000</v>
      </c>
      <c r="J86" s="32">
        <v>60000</v>
      </c>
    </row>
    <row r="87" spans="1:10">
      <c r="A87" s="34" t="s">
        <v>248</v>
      </c>
      <c r="B87" s="34" t="s">
        <v>249</v>
      </c>
      <c r="C87" s="34" t="s">
        <v>130</v>
      </c>
      <c r="D87" s="34" t="s">
        <v>175</v>
      </c>
      <c r="E87" s="34" t="s">
        <v>176</v>
      </c>
      <c r="F87" s="34" t="s">
        <v>84</v>
      </c>
      <c r="G87" s="32">
        <v>55000</v>
      </c>
      <c r="H87" s="32">
        <v>275000</v>
      </c>
      <c r="I87" s="32">
        <v>220000</v>
      </c>
      <c r="J87" s="32">
        <v>55000</v>
      </c>
    </row>
    <row r="88" spans="1:10">
      <c r="A88" s="34" t="s">
        <v>252</v>
      </c>
      <c r="B88" s="34" t="s">
        <v>253</v>
      </c>
      <c r="C88" s="34" t="s">
        <v>152</v>
      </c>
      <c r="D88" s="34" t="s">
        <v>97</v>
      </c>
      <c r="E88" s="34" t="s">
        <v>98</v>
      </c>
      <c r="F88" s="34" t="s">
        <v>99</v>
      </c>
      <c r="G88" s="32">
        <v>75000</v>
      </c>
      <c r="H88" s="32">
        <v>150000</v>
      </c>
      <c r="I88" s="32">
        <v>150000</v>
      </c>
      <c r="J88" s="32">
        <v>0</v>
      </c>
    </row>
    <row r="89" spans="1:10">
      <c r="A89" s="34" t="s">
        <v>252</v>
      </c>
      <c r="B89" s="34" t="s">
        <v>253</v>
      </c>
      <c r="C89" s="34" t="s">
        <v>152</v>
      </c>
      <c r="D89" s="34" t="s">
        <v>131</v>
      </c>
      <c r="E89" s="34" t="s">
        <v>132</v>
      </c>
      <c r="F89" s="34" t="s">
        <v>111</v>
      </c>
      <c r="G89" s="32">
        <v>70000</v>
      </c>
      <c r="H89" s="32">
        <v>140000</v>
      </c>
      <c r="I89" s="32">
        <v>140000</v>
      </c>
      <c r="J89" s="32">
        <v>0</v>
      </c>
    </row>
    <row r="90" spans="1:10">
      <c r="A90" s="34" t="s">
        <v>254</v>
      </c>
      <c r="B90" s="34" t="s">
        <v>255</v>
      </c>
      <c r="C90" s="34" t="s">
        <v>78</v>
      </c>
      <c r="D90" s="34" t="s">
        <v>220</v>
      </c>
      <c r="E90" s="34" t="s">
        <v>221</v>
      </c>
      <c r="F90" s="34" t="s">
        <v>161</v>
      </c>
      <c r="G90" s="32">
        <v>75000</v>
      </c>
      <c r="H90" s="32">
        <v>300000</v>
      </c>
      <c r="I90" s="32">
        <v>300000</v>
      </c>
      <c r="J90" s="32">
        <v>0</v>
      </c>
    </row>
    <row r="91" spans="1:10">
      <c r="A91" s="34" t="s">
        <v>254</v>
      </c>
      <c r="B91" s="34" t="s">
        <v>255</v>
      </c>
      <c r="C91" s="34" t="s">
        <v>78</v>
      </c>
      <c r="D91" s="34" t="s">
        <v>153</v>
      </c>
      <c r="E91" s="34" t="s">
        <v>154</v>
      </c>
      <c r="F91" s="34" t="s">
        <v>155</v>
      </c>
      <c r="G91" s="32">
        <v>70000</v>
      </c>
      <c r="H91" s="32">
        <v>280000</v>
      </c>
      <c r="I91" s="32">
        <v>210000</v>
      </c>
      <c r="J91" s="32">
        <v>70000</v>
      </c>
    </row>
    <row r="92" spans="1:10">
      <c r="A92" s="34" t="s">
        <v>256</v>
      </c>
      <c r="B92" s="34" t="s">
        <v>257</v>
      </c>
      <c r="C92" s="34" t="s">
        <v>182</v>
      </c>
      <c r="D92" s="34" t="s">
        <v>216</v>
      </c>
      <c r="E92" s="34" t="s">
        <v>217</v>
      </c>
      <c r="F92" s="34" t="s">
        <v>102</v>
      </c>
      <c r="G92" s="32">
        <v>80000</v>
      </c>
      <c r="H92" s="32">
        <v>400000</v>
      </c>
      <c r="I92" s="32">
        <v>400000</v>
      </c>
      <c r="J92" s="32">
        <v>0</v>
      </c>
    </row>
    <row r="93" spans="1:10">
      <c r="A93" s="34" t="s">
        <v>256</v>
      </c>
      <c r="B93" s="34" t="s">
        <v>257</v>
      </c>
      <c r="C93" s="34" t="s">
        <v>182</v>
      </c>
      <c r="D93" s="34" t="s">
        <v>142</v>
      </c>
      <c r="E93" s="34" t="s">
        <v>143</v>
      </c>
      <c r="F93" s="34" t="s">
        <v>108</v>
      </c>
      <c r="G93" s="32">
        <v>60000</v>
      </c>
      <c r="H93" s="32">
        <v>300000</v>
      </c>
      <c r="I93" s="32">
        <v>240000</v>
      </c>
      <c r="J93" s="32">
        <v>60000</v>
      </c>
    </row>
    <row r="94" spans="1:10">
      <c r="A94" s="34" t="s">
        <v>258</v>
      </c>
      <c r="B94" s="34" t="s">
        <v>259</v>
      </c>
      <c r="C94" s="34" t="s">
        <v>203</v>
      </c>
      <c r="D94" s="34" t="s">
        <v>140</v>
      </c>
      <c r="E94" s="34" t="s">
        <v>141</v>
      </c>
      <c r="F94" s="34" t="s">
        <v>93</v>
      </c>
      <c r="G94" s="32">
        <v>68000</v>
      </c>
      <c r="H94" s="32">
        <v>476000</v>
      </c>
      <c r="I94" s="32">
        <v>408000</v>
      </c>
      <c r="J94" s="32">
        <v>68000</v>
      </c>
    </row>
    <row r="95" spans="1:10">
      <c r="A95" s="34" t="s">
        <v>258</v>
      </c>
      <c r="B95" s="34" t="s">
        <v>259</v>
      </c>
      <c r="C95" s="34" t="s">
        <v>203</v>
      </c>
      <c r="D95" s="34" t="s">
        <v>88</v>
      </c>
      <c r="E95" s="34" t="s">
        <v>89</v>
      </c>
      <c r="F95" s="34" t="s">
        <v>90</v>
      </c>
      <c r="G95" s="32">
        <v>65000</v>
      </c>
      <c r="H95" s="32">
        <v>455000</v>
      </c>
      <c r="I95" s="32">
        <v>455000</v>
      </c>
      <c r="J95" s="32">
        <v>0</v>
      </c>
    </row>
    <row r="96" spans="1:10">
      <c r="A96" s="34" t="s">
        <v>260</v>
      </c>
      <c r="B96" s="34" t="s">
        <v>261</v>
      </c>
      <c r="C96" s="34" t="s">
        <v>182</v>
      </c>
      <c r="D96" s="34" t="s">
        <v>123</v>
      </c>
      <c r="E96" s="34" t="s">
        <v>124</v>
      </c>
      <c r="F96" s="34" t="s">
        <v>99</v>
      </c>
      <c r="G96" s="32">
        <v>75000</v>
      </c>
      <c r="H96" s="32">
        <v>450000</v>
      </c>
      <c r="I96" s="32">
        <v>375000</v>
      </c>
      <c r="J96" s="32">
        <v>75000</v>
      </c>
    </row>
    <row r="97" spans="1:10">
      <c r="A97" s="34" t="s">
        <v>260</v>
      </c>
      <c r="B97" s="34" t="s">
        <v>261</v>
      </c>
      <c r="C97" s="34" t="s">
        <v>182</v>
      </c>
      <c r="D97" s="34" t="s">
        <v>79</v>
      </c>
      <c r="E97" s="34" t="s">
        <v>80</v>
      </c>
      <c r="F97" s="34" t="s">
        <v>81</v>
      </c>
      <c r="G97" s="32">
        <v>65000</v>
      </c>
      <c r="H97" s="32">
        <v>390000</v>
      </c>
      <c r="I97" s="32">
        <v>260000</v>
      </c>
      <c r="J97" s="32">
        <v>130000</v>
      </c>
    </row>
    <row r="98" spans="1:10">
      <c r="A98" s="34" t="s">
        <v>262</v>
      </c>
      <c r="B98" s="34" t="s">
        <v>263</v>
      </c>
      <c r="C98" s="34" t="s">
        <v>215</v>
      </c>
      <c r="D98" s="34" t="s">
        <v>186</v>
      </c>
      <c r="E98" s="34" t="s">
        <v>187</v>
      </c>
      <c r="F98" s="34" t="s">
        <v>119</v>
      </c>
      <c r="G98" s="32">
        <v>75000</v>
      </c>
      <c r="H98" s="32">
        <v>375000</v>
      </c>
      <c r="I98" s="32">
        <v>225000</v>
      </c>
      <c r="J98" s="32">
        <v>150000</v>
      </c>
    </row>
    <row r="99" spans="1:10">
      <c r="A99" s="34" t="s">
        <v>262</v>
      </c>
      <c r="B99" s="34" t="s">
        <v>263</v>
      </c>
      <c r="C99" s="34" t="s">
        <v>215</v>
      </c>
      <c r="D99" s="34" t="s">
        <v>175</v>
      </c>
      <c r="E99" s="34" t="s">
        <v>176</v>
      </c>
      <c r="F99" s="34" t="s">
        <v>84</v>
      </c>
      <c r="G99" s="32">
        <v>55000</v>
      </c>
      <c r="H99" s="32">
        <v>275000</v>
      </c>
      <c r="I99" s="32">
        <v>220000</v>
      </c>
      <c r="J99" s="32">
        <v>55000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78" fitToHeight="2" orientation="portrait" r:id="rId1"/>
  <headerFooter differentOddEven="1">
    <oddFooter>&amp;L&amp;P쪽</oddFooter>
    <evenFooter>&amp;R&amp;P쪽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3"/>
  <sheetViews>
    <sheetView workbookViewId="0"/>
  </sheetViews>
  <sheetFormatPr defaultRowHeight="17"/>
  <cols>
    <col min="1" max="1" width="8.9140625" bestFit="1" customWidth="1"/>
    <col min="2" max="2" width="11.08203125" bestFit="1" customWidth="1"/>
    <col min="3" max="3" width="12.58203125" customWidth="1"/>
    <col min="4" max="4" width="12.83203125" customWidth="1"/>
    <col min="5" max="5" width="13.1640625" customWidth="1"/>
    <col min="6" max="6" width="12.33203125" bestFit="1" customWidth="1"/>
    <col min="7" max="8" width="14.5" customWidth="1"/>
  </cols>
  <sheetData>
    <row r="1" spans="1:8">
      <c r="A1" t="s">
        <v>10</v>
      </c>
    </row>
    <row r="2" spans="1:8">
      <c r="A2" s="2" t="s">
        <v>11</v>
      </c>
      <c r="B2" s="2" t="s">
        <v>12</v>
      </c>
      <c r="C2" s="2" t="s">
        <v>13</v>
      </c>
      <c r="D2" s="2" t="s">
        <v>53</v>
      </c>
      <c r="E2" s="30" t="s">
        <v>14</v>
      </c>
      <c r="F2" s="2" t="s">
        <v>15</v>
      </c>
      <c r="G2" s="30" t="s">
        <v>56</v>
      </c>
      <c r="H2" s="30" t="s">
        <v>16</v>
      </c>
    </row>
    <row r="3" spans="1:8">
      <c r="A3" s="2" t="s">
        <v>3</v>
      </c>
      <c r="B3" s="1">
        <v>101</v>
      </c>
      <c r="C3" s="1">
        <v>4</v>
      </c>
      <c r="D3" s="1">
        <v>319</v>
      </c>
      <c r="E3" s="3">
        <f t="shared" ref="E3:E18" si="0">VLOOKUP(D3,$A$29:$D$33,3)+D3*VLOOKUP(D3,$A$29:$D$33,4)*(1-VLOOKUP(D3,$A$29:$G$33,MATCH(C3,$E$27:$G$27,1)+4))</f>
        <v>54293.37</v>
      </c>
      <c r="F3" s="3">
        <f t="shared" ref="F3:F18" si="1">IF(A3="한수동",8230,IF(A3="나리동",12000,15000))</f>
        <v>8230</v>
      </c>
      <c r="G3" s="3">
        <f>fn승강기전기료(F3,B3)</f>
        <v>2469</v>
      </c>
      <c r="H3" s="2" t="str">
        <f t="shared" ref="H3:H18" si="2">QUOTIENT(F3,CHOOSE(RIGHT(B3,1),20,40,50))&amp;"원"</f>
        <v>411원</v>
      </c>
    </row>
    <row r="4" spans="1:8">
      <c r="A4" s="2" t="s">
        <v>4</v>
      </c>
      <c r="B4" s="1">
        <v>101</v>
      </c>
      <c r="C4" s="1">
        <v>5</v>
      </c>
      <c r="D4" s="1">
        <v>409</v>
      </c>
      <c r="E4" s="3">
        <f t="shared" si="0"/>
        <v>91594.987999999998</v>
      </c>
      <c r="F4" s="3">
        <f t="shared" si="1"/>
        <v>12000</v>
      </c>
      <c r="G4" s="3">
        <f t="shared" ref="G4:G18" si="3">fn승강기전기료(F4,B4)</f>
        <v>3600</v>
      </c>
      <c r="H4" s="2" t="str">
        <f t="shared" si="2"/>
        <v>600원</v>
      </c>
    </row>
    <row r="5" spans="1:8">
      <c r="A5" s="2" t="s">
        <v>6</v>
      </c>
      <c r="B5" s="1">
        <v>203</v>
      </c>
      <c r="C5" s="1">
        <v>3</v>
      </c>
      <c r="D5" s="1">
        <v>310</v>
      </c>
      <c r="E5" s="3">
        <f t="shared" si="0"/>
        <v>52851.299999999996</v>
      </c>
      <c r="F5" s="3">
        <f t="shared" si="1"/>
        <v>15000</v>
      </c>
      <c r="G5" s="3">
        <f t="shared" si="3"/>
        <v>4500</v>
      </c>
      <c r="H5" s="2" t="str">
        <f t="shared" si="2"/>
        <v>300원</v>
      </c>
    </row>
    <row r="6" spans="1:8">
      <c r="A6" s="2" t="s">
        <v>3</v>
      </c>
      <c r="B6" s="1">
        <v>201</v>
      </c>
      <c r="C6" s="1">
        <v>4</v>
      </c>
      <c r="D6" s="1">
        <v>423</v>
      </c>
      <c r="E6" s="3">
        <f t="shared" si="0"/>
        <v>95434.824000000008</v>
      </c>
      <c r="F6" s="3">
        <f t="shared" si="1"/>
        <v>8230</v>
      </c>
      <c r="G6" s="3">
        <f t="shared" si="3"/>
        <v>2469</v>
      </c>
      <c r="H6" s="2" t="str">
        <f t="shared" si="2"/>
        <v>411원</v>
      </c>
    </row>
    <row r="7" spans="1:8">
      <c r="A7" s="2" t="s">
        <v>4</v>
      </c>
      <c r="B7" s="1">
        <v>303</v>
      </c>
      <c r="C7" s="1">
        <v>2</v>
      </c>
      <c r="D7" s="1">
        <v>258</v>
      </c>
      <c r="E7" s="3">
        <f t="shared" si="0"/>
        <v>39263.4</v>
      </c>
      <c r="F7" s="3">
        <f t="shared" si="1"/>
        <v>12000</v>
      </c>
      <c r="G7" s="3">
        <f t="shared" si="3"/>
        <v>4800</v>
      </c>
      <c r="H7" s="2" t="str">
        <f t="shared" si="2"/>
        <v>240원</v>
      </c>
    </row>
    <row r="8" spans="1:8">
      <c r="A8" s="2" t="s">
        <v>5</v>
      </c>
      <c r="B8" s="1">
        <v>303</v>
      </c>
      <c r="C8" s="1">
        <v>1</v>
      </c>
      <c r="D8" s="1">
        <v>189</v>
      </c>
      <c r="E8" s="3">
        <f t="shared" si="0"/>
        <v>18805</v>
      </c>
      <c r="F8" s="3">
        <f t="shared" si="1"/>
        <v>15000</v>
      </c>
      <c r="G8" s="3">
        <f t="shared" si="3"/>
        <v>6000</v>
      </c>
      <c r="H8" s="2" t="str">
        <f t="shared" si="2"/>
        <v>300원</v>
      </c>
    </row>
    <row r="9" spans="1:8">
      <c r="A9" s="2" t="s">
        <v>52</v>
      </c>
      <c r="B9" s="1">
        <v>102</v>
      </c>
      <c r="C9" s="1">
        <v>5</v>
      </c>
      <c r="D9" s="1">
        <v>506</v>
      </c>
      <c r="E9" s="3">
        <f t="shared" si="0"/>
        <v>111880.79199999999</v>
      </c>
      <c r="F9" s="3">
        <f t="shared" si="1"/>
        <v>15000</v>
      </c>
      <c r="G9" s="3">
        <f t="shared" si="3"/>
        <v>4500</v>
      </c>
      <c r="H9" s="2" t="str">
        <f t="shared" si="2"/>
        <v>375원</v>
      </c>
    </row>
    <row r="10" spans="1:8">
      <c r="A10" s="2" t="s">
        <v>3</v>
      </c>
      <c r="B10" s="1">
        <v>502</v>
      </c>
      <c r="C10" s="1">
        <v>3</v>
      </c>
      <c r="D10" s="1">
        <v>418</v>
      </c>
      <c r="E10" s="3">
        <f t="shared" si="0"/>
        <v>94378.384000000005</v>
      </c>
      <c r="F10" s="3">
        <f t="shared" si="1"/>
        <v>8230</v>
      </c>
      <c r="G10" s="3">
        <f t="shared" si="3"/>
        <v>2469</v>
      </c>
      <c r="H10" s="2" t="str">
        <f t="shared" si="2"/>
        <v>205원</v>
      </c>
    </row>
    <row r="11" spans="1:8">
      <c r="A11" s="2" t="s">
        <v>3</v>
      </c>
      <c r="B11" s="1">
        <v>401</v>
      </c>
      <c r="C11" s="1">
        <v>2</v>
      </c>
      <c r="D11" s="1">
        <v>195</v>
      </c>
      <c r="E11" s="3">
        <f t="shared" si="0"/>
        <v>19375</v>
      </c>
      <c r="F11" s="3">
        <f t="shared" si="1"/>
        <v>8230</v>
      </c>
      <c r="G11" s="3">
        <f t="shared" si="3"/>
        <v>2469</v>
      </c>
      <c r="H11" s="2" t="str">
        <f t="shared" si="2"/>
        <v>411원</v>
      </c>
    </row>
    <row r="12" spans="1:8">
      <c r="A12" s="2" t="s">
        <v>4</v>
      </c>
      <c r="B12" s="1">
        <v>202</v>
      </c>
      <c r="C12" s="1">
        <v>3</v>
      </c>
      <c r="D12" s="1">
        <v>262</v>
      </c>
      <c r="E12" s="3">
        <f t="shared" si="0"/>
        <v>38694.822000000007</v>
      </c>
      <c r="F12" s="3">
        <f t="shared" si="1"/>
        <v>12000</v>
      </c>
      <c r="G12" s="3">
        <f t="shared" si="3"/>
        <v>3600</v>
      </c>
      <c r="H12" s="2" t="str">
        <f t="shared" si="2"/>
        <v>300원</v>
      </c>
    </row>
    <row r="13" spans="1:8">
      <c r="A13" s="2" t="s">
        <v>17</v>
      </c>
      <c r="B13" s="1">
        <v>502</v>
      </c>
      <c r="C13" s="1">
        <v>2</v>
      </c>
      <c r="D13" s="1">
        <v>199</v>
      </c>
      <c r="E13" s="3">
        <f t="shared" si="0"/>
        <v>19755</v>
      </c>
      <c r="F13" s="3">
        <f t="shared" si="1"/>
        <v>15000</v>
      </c>
      <c r="G13" s="3">
        <f t="shared" si="3"/>
        <v>6000</v>
      </c>
      <c r="H13" s="2" t="str">
        <f t="shared" si="2"/>
        <v>375원</v>
      </c>
    </row>
    <row r="14" spans="1:8">
      <c r="A14" s="2" t="s">
        <v>3</v>
      </c>
      <c r="B14" s="1">
        <v>303</v>
      </c>
      <c r="C14" s="1">
        <v>4</v>
      </c>
      <c r="D14" s="1">
        <v>341</v>
      </c>
      <c r="E14" s="3">
        <f t="shared" si="0"/>
        <v>57818.43</v>
      </c>
      <c r="F14" s="3">
        <f t="shared" si="1"/>
        <v>8230</v>
      </c>
      <c r="G14" s="3">
        <f t="shared" si="3"/>
        <v>2469</v>
      </c>
      <c r="H14" s="2" t="str">
        <f t="shared" si="2"/>
        <v>164원</v>
      </c>
    </row>
    <row r="15" spans="1:8">
      <c r="A15" s="2" t="s">
        <v>6</v>
      </c>
      <c r="B15" s="1">
        <v>201</v>
      </c>
      <c r="C15" s="1">
        <v>3</v>
      </c>
      <c r="D15" s="1">
        <v>329</v>
      </c>
      <c r="E15" s="3">
        <f t="shared" si="0"/>
        <v>55895.67</v>
      </c>
      <c r="F15" s="3">
        <f t="shared" si="1"/>
        <v>15000</v>
      </c>
      <c r="G15" s="3">
        <f t="shared" si="3"/>
        <v>4500</v>
      </c>
      <c r="H15" s="2" t="str">
        <f t="shared" si="2"/>
        <v>750원</v>
      </c>
    </row>
    <row r="16" spans="1:8">
      <c r="A16" s="2" t="s">
        <v>4</v>
      </c>
      <c r="B16" s="1">
        <v>501</v>
      </c>
      <c r="C16" s="1">
        <v>6</v>
      </c>
      <c r="D16" s="1">
        <v>411</v>
      </c>
      <c r="E16" s="3">
        <f t="shared" si="0"/>
        <v>92013.251999999993</v>
      </c>
      <c r="F16" s="3">
        <f t="shared" si="1"/>
        <v>12000</v>
      </c>
      <c r="G16" s="3">
        <f t="shared" si="3"/>
        <v>4800</v>
      </c>
      <c r="H16" s="2" t="str">
        <f t="shared" si="2"/>
        <v>600원</v>
      </c>
    </row>
    <row r="17" spans="1:8">
      <c r="A17" s="2" t="s">
        <v>3</v>
      </c>
      <c r="B17" s="1">
        <v>601</v>
      </c>
      <c r="C17" s="1">
        <v>3</v>
      </c>
      <c r="D17" s="1">
        <v>274</v>
      </c>
      <c r="E17" s="3">
        <f t="shared" si="0"/>
        <v>40409.394</v>
      </c>
      <c r="F17" s="3">
        <f t="shared" si="1"/>
        <v>8230</v>
      </c>
      <c r="G17" s="3">
        <f t="shared" si="3"/>
        <v>2469</v>
      </c>
      <c r="H17" s="2" t="str">
        <f t="shared" si="2"/>
        <v>411원</v>
      </c>
    </row>
    <row r="18" spans="1:8">
      <c r="A18" s="2" t="s">
        <v>4</v>
      </c>
      <c r="B18" s="1">
        <v>402</v>
      </c>
      <c r="C18" s="1">
        <v>7</v>
      </c>
      <c r="D18" s="1">
        <v>420</v>
      </c>
      <c r="E18" s="3">
        <f t="shared" si="0"/>
        <v>93895.44</v>
      </c>
      <c r="F18" s="3">
        <f t="shared" si="1"/>
        <v>12000</v>
      </c>
      <c r="G18" s="3">
        <f t="shared" si="3"/>
        <v>4800</v>
      </c>
      <c r="H18" s="2" t="str">
        <f t="shared" si="2"/>
        <v>300원</v>
      </c>
    </row>
    <row r="20" spans="1:8">
      <c r="A20" t="s">
        <v>54</v>
      </c>
      <c r="D20" t="s">
        <v>55</v>
      </c>
    </row>
    <row r="21" spans="1:8">
      <c r="A21" s="2" t="s">
        <v>11</v>
      </c>
      <c r="B21" s="30" t="s">
        <v>18</v>
      </c>
      <c r="D21" s="2" t="s">
        <v>19</v>
      </c>
      <c r="E21" s="30">
        <v>1</v>
      </c>
      <c r="F21" s="30">
        <v>2</v>
      </c>
      <c r="G21" s="30">
        <v>3</v>
      </c>
    </row>
    <row r="22" spans="1:8">
      <c r="A22" s="2" t="s">
        <v>3</v>
      </c>
      <c r="B22" s="2" t="str">
        <f t="array" ref="B22">CONCATENATE(SUM(($A$3:$A$18=A22)*($D$3:$D$18&gt;AVERAGE($D$3:$D$18))*$D$3:$D$18),"(",SUM(($A$3:$A$18=A22)*($D$3:$D$18&gt;AVERAGE($D$3:$D$18))),"세대)")</f>
        <v>1182(3세대)</v>
      </c>
      <c r="D22" s="2" t="s">
        <v>3</v>
      </c>
      <c r="E22" s="2">
        <f t="array" ref="E22">MAX(($A$3:$A$18=$D22)*(VALUE(RIGHT($B$3:$B$18,1))=E$21)*$D$3:$D$18)</f>
        <v>423</v>
      </c>
      <c r="F22" s="2">
        <f t="array" ref="F22">MAX(($A$3:$A$18=$D22)*(VALUE(RIGHT($B$3:$B$18,1))=F$21)*$D$3:$D$18)</f>
        <v>418</v>
      </c>
      <c r="G22" s="2">
        <f t="array" ref="G22">MAX(($A$3:$A$18=$D22)*(VALUE(RIGHT($B$3:$B$18,1))=G$21)*$D$3:$D$18)</f>
        <v>341</v>
      </c>
    </row>
    <row r="23" spans="1:8">
      <c r="A23" s="2" t="s">
        <v>4</v>
      </c>
      <c r="B23" s="2" t="str">
        <f t="array" ref="B23">CONCATENATE(SUM(($A$3:$A$18=A23)*($D$3:$D$18&gt;AVERAGE($D$3:$D$18))*$D$3:$D$18),"(",SUM(($A$3:$A$18=A23)*($D$3:$D$18&gt;AVERAGE($D$3:$D$18))),"세대)")</f>
        <v>1240(3세대)</v>
      </c>
      <c r="D23" s="2" t="s">
        <v>4</v>
      </c>
      <c r="E23" s="2">
        <f t="array" ref="E23">MAX(($A$3:$A$18=$D23)*(VALUE(RIGHT($B$3:$B$18,1))=E$21)*$D$3:$D$18)</f>
        <v>411</v>
      </c>
      <c r="F23" s="2">
        <f t="array" ref="F23">MAX(($A$3:$A$18=$D23)*(VALUE(RIGHT($B$3:$B$18,1))=F$21)*$D$3:$D$18)</f>
        <v>420</v>
      </c>
      <c r="G23" s="2">
        <f t="array" ref="G23">MAX(($A$3:$A$18=$D23)*(VALUE(RIGHT($B$3:$B$18,1))=G$21)*$D$3:$D$18)</f>
        <v>258</v>
      </c>
    </row>
    <row r="24" spans="1:8">
      <c r="A24" s="2" t="s">
        <v>6</v>
      </c>
      <c r="B24" s="2" t="str">
        <f t="array" ref="B24">CONCATENATE(SUM(($A$3:$A$18=A24)*($D$3:$D$18&gt;AVERAGE($D$3:$D$18))*$D$3:$D$18),"(",SUM(($A$3:$A$18=A24)*($D$3:$D$18&gt;AVERAGE($D$3:$D$18))),"세대)")</f>
        <v>835(2세대)</v>
      </c>
      <c r="D24" s="2" t="s">
        <v>6</v>
      </c>
      <c r="E24" s="2">
        <f t="array" ref="E24">MAX(($A$3:$A$18=$D24)*(VALUE(RIGHT($B$3:$B$18,1))=E$21)*$D$3:$D$18)</f>
        <v>329</v>
      </c>
      <c r="F24" s="2">
        <f t="array" ref="F24">MAX(($A$3:$A$18=$D24)*(VALUE(RIGHT($B$3:$B$18,1))=F$21)*$D$3:$D$18)</f>
        <v>506</v>
      </c>
      <c r="G24" s="2">
        <f t="array" ref="G24">MAX(($A$3:$A$18=$D24)*(VALUE(RIGHT($B$3:$B$18,1))=G$21)*$D$3:$D$18)</f>
        <v>310</v>
      </c>
    </row>
    <row r="26" spans="1:8">
      <c r="A26" t="s">
        <v>20</v>
      </c>
      <c r="D26" s="4"/>
      <c r="E26" s="44" t="s">
        <v>13</v>
      </c>
      <c r="F26" s="44"/>
      <c r="G26" s="44"/>
    </row>
    <row r="27" spans="1:8">
      <c r="A27" s="45" t="s">
        <v>21</v>
      </c>
      <c r="B27" s="46"/>
      <c r="C27" s="49" t="s">
        <v>22</v>
      </c>
      <c r="D27" s="51" t="s">
        <v>23</v>
      </c>
      <c r="E27" s="5">
        <v>1</v>
      </c>
      <c r="F27" s="6">
        <v>3</v>
      </c>
      <c r="G27" s="6">
        <v>5</v>
      </c>
    </row>
    <row r="28" spans="1:8">
      <c r="A28" s="47"/>
      <c r="B28" s="48"/>
      <c r="C28" s="50"/>
      <c r="D28" s="52"/>
      <c r="E28" s="7">
        <v>3</v>
      </c>
      <c r="F28" s="8">
        <v>5</v>
      </c>
      <c r="G28" s="8"/>
    </row>
    <row r="29" spans="1:8">
      <c r="A29" s="9">
        <v>1</v>
      </c>
      <c r="B29" s="10">
        <v>100</v>
      </c>
      <c r="C29" s="3">
        <v>730</v>
      </c>
      <c r="D29" s="11">
        <v>78.3</v>
      </c>
      <c r="E29" s="12">
        <v>0</v>
      </c>
      <c r="F29" s="13">
        <v>0.05</v>
      </c>
      <c r="G29" s="13">
        <v>7.0000000000000007E-2</v>
      </c>
    </row>
    <row r="30" spans="1:8">
      <c r="A30" s="9">
        <v>101</v>
      </c>
      <c r="B30" s="10">
        <v>200</v>
      </c>
      <c r="C30" s="3">
        <v>850</v>
      </c>
      <c r="D30" s="11">
        <v>95</v>
      </c>
      <c r="E30" s="12">
        <v>0</v>
      </c>
      <c r="F30" s="13">
        <v>0.03</v>
      </c>
      <c r="G30" s="13">
        <v>0.05</v>
      </c>
    </row>
    <row r="31" spans="1:8">
      <c r="A31" s="9">
        <v>201</v>
      </c>
      <c r="B31" s="10">
        <v>300</v>
      </c>
      <c r="C31" s="3">
        <v>1260</v>
      </c>
      <c r="D31" s="11">
        <v>147.30000000000001</v>
      </c>
      <c r="E31" s="13">
        <v>0</v>
      </c>
      <c r="F31" s="13">
        <v>0.03</v>
      </c>
      <c r="G31" s="13">
        <v>0.05</v>
      </c>
    </row>
    <row r="32" spans="1:8">
      <c r="A32" s="9">
        <v>301</v>
      </c>
      <c r="B32" s="10">
        <v>400</v>
      </c>
      <c r="C32" s="3">
        <v>3180</v>
      </c>
      <c r="D32" s="11">
        <v>163.5</v>
      </c>
      <c r="E32" s="13">
        <v>0</v>
      </c>
      <c r="F32" s="13">
        <v>0.02</v>
      </c>
      <c r="G32" s="13">
        <v>0.03</v>
      </c>
    </row>
    <row r="33" spans="1:7">
      <c r="A33" s="9">
        <v>400</v>
      </c>
      <c r="B33" s="10"/>
      <c r="C33" s="3">
        <v>6060</v>
      </c>
      <c r="D33" s="11">
        <v>215.6</v>
      </c>
      <c r="E33" s="13">
        <v>0</v>
      </c>
      <c r="F33" s="13">
        <v>0.02</v>
      </c>
      <c r="G33" s="13">
        <v>0.03</v>
      </c>
    </row>
  </sheetData>
  <mergeCells count="4">
    <mergeCell ref="E26:G26"/>
    <mergeCell ref="A27:B28"/>
    <mergeCell ref="C27:C28"/>
    <mergeCell ref="D27:D28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11"/>
  <sheetViews>
    <sheetView workbookViewId="0"/>
  </sheetViews>
  <sheetFormatPr defaultRowHeight="17"/>
  <cols>
    <col min="2" max="2" width="11" customWidth="1"/>
    <col min="3" max="3" width="12.5" customWidth="1"/>
    <col min="4" max="4" width="11.83203125" bestFit="1" customWidth="1"/>
    <col min="5" max="5" width="10.58203125" customWidth="1"/>
  </cols>
  <sheetData>
    <row r="2" spans="2:5">
      <c r="B2" s="37" t="s">
        <v>70</v>
      </c>
      <c r="C2" t="s" vm="1">
        <v>267</v>
      </c>
    </row>
    <row r="4" spans="2:5">
      <c r="B4" s="39" t="s">
        <v>71</v>
      </c>
      <c r="C4" s="35" t="s">
        <v>266</v>
      </c>
      <c r="D4" s="35" t="s">
        <v>269</v>
      </c>
      <c r="E4" s="35" t="s">
        <v>268</v>
      </c>
    </row>
    <row r="5" spans="2:5">
      <c r="B5" s="35" t="s">
        <v>155</v>
      </c>
      <c r="C5" s="28">
        <v>1190000</v>
      </c>
      <c r="D5" s="28">
        <v>280000</v>
      </c>
      <c r="E5" s="38">
        <v>0.24201749033963799</v>
      </c>
    </row>
    <row r="6" spans="2:5">
      <c r="B6" s="35" t="s">
        <v>102</v>
      </c>
      <c r="C6" s="28">
        <v>480000</v>
      </c>
      <c r="D6" s="28">
        <v>80000</v>
      </c>
      <c r="E6" s="38">
        <v>9.762050030506407E-2</v>
      </c>
    </row>
    <row r="7" spans="2:5">
      <c r="B7" s="35" t="s">
        <v>108</v>
      </c>
      <c r="C7" s="28">
        <v>540000</v>
      </c>
      <c r="D7" s="28">
        <v>120000</v>
      </c>
      <c r="E7" s="38">
        <v>0.10982306284319707</v>
      </c>
    </row>
    <row r="8" spans="2:5">
      <c r="B8" s="35" t="s">
        <v>119</v>
      </c>
      <c r="C8" s="28">
        <v>1500000</v>
      </c>
      <c r="D8" s="28">
        <v>450000</v>
      </c>
      <c r="E8" s="38">
        <v>0.30506406345332521</v>
      </c>
    </row>
    <row r="9" spans="2:5">
      <c r="B9" s="35" t="s">
        <v>93</v>
      </c>
      <c r="C9" s="28">
        <v>272000</v>
      </c>
      <c r="D9" s="28">
        <v>68000</v>
      </c>
      <c r="E9" s="38">
        <v>5.5318283506202971E-2</v>
      </c>
    </row>
    <row r="10" spans="2:5">
      <c r="B10" s="35" t="s">
        <v>84</v>
      </c>
      <c r="C10" s="28">
        <v>935000</v>
      </c>
      <c r="D10" s="28">
        <v>220000</v>
      </c>
      <c r="E10" s="38">
        <v>0.19015659955257272</v>
      </c>
    </row>
    <row r="11" spans="2:5">
      <c r="B11" s="35" t="s">
        <v>265</v>
      </c>
      <c r="C11" s="28">
        <v>4917000</v>
      </c>
      <c r="D11" s="28">
        <v>1218000</v>
      </c>
      <c r="E11" s="38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18"/>
  <sheetViews>
    <sheetView workbookViewId="0"/>
  </sheetViews>
  <sheetFormatPr defaultRowHeight="17"/>
  <cols>
    <col min="1" max="1" width="13.75" bestFit="1" customWidth="1"/>
    <col min="2" max="2" width="13.1640625" bestFit="1" customWidth="1"/>
    <col min="3" max="8" width="10.58203125" bestFit="1" customWidth="1"/>
  </cols>
  <sheetData>
    <row r="2" spans="1:8">
      <c r="A2" s="17" t="s">
        <v>30</v>
      </c>
      <c r="B2" s="17"/>
    </row>
    <row r="3" spans="1:8">
      <c r="A3" s="14" t="s">
        <v>24</v>
      </c>
      <c r="B3" s="15">
        <v>35000000</v>
      </c>
      <c r="D3" s="1" t="s">
        <v>31</v>
      </c>
    </row>
    <row r="4" spans="1:8">
      <c r="A4" s="14" t="s">
        <v>25</v>
      </c>
      <c r="B4" s="15">
        <v>5000000</v>
      </c>
      <c r="D4" s="13">
        <v>0.02</v>
      </c>
    </row>
    <row r="5" spans="1:8">
      <c r="A5" s="14" t="s">
        <v>26</v>
      </c>
      <c r="B5" s="15">
        <f>B3-B4</f>
        <v>30000000</v>
      </c>
      <c r="D5" s="13">
        <v>0.03</v>
      </c>
    </row>
    <row r="6" spans="1:8">
      <c r="A6" s="14" t="s">
        <v>27</v>
      </c>
      <c r="B6" s="19">
        <v>7.0000000000000007E-2</v>
      </c>
      <c r="D6" s="13">
        <v>0.04</v>
      </c>
    </row>
    <row r="7" spans="1:8">
      <c r="A7" s="14" t="s">
        <v>28</v>
      </c>
      <c r="B7" s="16">
        <v>40</v>
      </c>
      <c r="D7" s="13">
        <v>0.05</v>
      </c>
    </row>
    <row r="8" spans="1:8">
      <c r="A8" s="14" t="s">
        <v>29</v>
      </c>
      <c r="B8" s="15">
        <f>PMT(B6/12,B7,-B5)</f>
        <v>843075.21394993423</v>
      </c>
      <c r="D8" s="13">
        <v>0.06</v>
      </c>
    </row>
    <row r="9" spans="1:8">
      <c r="D9" s="13">
        <v>7.0000000000000007E-2</v>
      </c>
    </row>
    <row r="12" spans="1:8">
      <c r="B12" t="s">
        <v>32</v>
      </c>
      <c r="C12" t="s">
        <v>31</v>
      </c>
    </row>
    <row r="13" spans="1:8">
      <c r="B13" s="40">
        <f>B8</f>
        <v>843075.21394993423</v>
      </c>
      <c r="C13" s="13">
        <v>0.02</v>
      </c>
      <c r="D13" s="13">
        <v>0.03</v>
      </c>
      <c r="E13" s="13">
        <v>0.04</v>
      </c>
      <c r="F13" s="13">
        <v>0.05</v>
      </c>
      <c r="G13" s="13">
        <v>0.06</v>
      </c>
      <c r="H13" s="13">
        <v>7.0000000000000007E-2</v>
      </c>
    </row>
    <row r="14" spans="1:8">
      <c r="A14" s="18" t="s">
        <v>33</v>
      </c>
      <c r="B14" s="1">
        <v>12</v>
      </c>
      <c r="C14" s="3">
        <f t="dataTable" ref="C14:H18" dt2D="1" dtr="1" r1="B6" r2="B7"/>
        <v>2527166.0185231632</v>
      </c>
      <c r="D14" s="3">
        <v>2540810.9627546682</v>
      </c>
      <c r="E14" s="3">
        <v>2554497.1258667377</v>
      </c>
      <c r="F14" s="3">
        <v>2568224.453654014</v>
      </c>
      <c r="G14" s="3">
        <v>2581992.8912124191</v>
      </c>
      <c r="H14" s="3">
        <v>2595802.3829441415</v>
      </c>
    </row>
    <row r="15" spans="1:8">
      <c r="B15" s="1">
        <v>24</v>
      </c>
      <c r="C15" s="3">
        <v>1276207.9010544068</v>
      </c>
      <c r="D15" s="3">
        <v>1289436.3593866832</v>
      </c>
      <c r="E15" s="3">
        <v>1302747.6651232215</v>
      </c>
      <c r="F15" s="3">
        <v>1316141.6920220533</v>
      </c>
      <c r="G15" s="3">
        <v>1329618.3075827069</v>
      </c>
      <c r="H15" s="3">
        <v>1343177.3730943624</v>
      </c>
    </row>
    <row r="16" spans="1:8">
      <c r="B16" s="1">
        <v>36</v>
      </c>
      <c r="C16" s="3">
        <v>859277.36197369138</v>
      </c>
      <c r="D16" s="3">
        <v>872436.28891956992</v>
      </c>
      <c r="E16" s="3">
        <v>885719.55020531057</v>
      </c>
      <c r="F16" s="3">
        <v>899126.91313996434</v>
      </c>
      <c r="G16" s="3">
        <v>912658.12354665343</v>
      </c>
      <c r="H16" s="3">
        <v>926312.90596115822</v>
      </c>
    </row>
    <row r="17" spans="2:8">
      <c r="B17" s="1">
        <v>48</v>
      </c>
      <c r="C17" s="3">
        <v>650853.70918021118</v>
      </c>
      <c r="D17" s="3">
        <v>664029.80967934534</v>
      </c>
      <c r="E17" s="3">
        <v>677371.63925069931</v>
      </c>
      <c r="F17" s="3">
        <v>690878.80711939558</v>
      </c>
      <c r="G17" s="3">
        <v>704550.87143806845</v>
      </c>
      <c r="H17" s="3">
        <v>718387.33987328724</v>
      </c>
    </row>
    <row r="18" spans="2:8">
      <c r="B18" s="1">
        <v>60</v>
      </c>
      <c r="C18" s="3">
        <v>525832.80159733142</v>
      </c>
      <c r="D18" s="3">
        <v>539060.71992189414</v>
      </c>
      <c r="E18" s="3">
        <v>552495.66165799054</v>
      </c>
      <c r="F18" s="3">
        <v>566137.00932032801</v>
      </c>
      <c r="G18" s="3">
        <v>579984.04588283738</v>
      </c>
      <c r="H18" s="3">
        <v>594035.95621048613</v>
      </c>
    </row>
  </sheetData>
  <phoneticPr fontId="2" type="noConversion"/>
  <dataValidations count="1">
    <dataValidation type="list" allowBlank="1" showInputMessage="1" showErrorMessage="1" sqref="B6">
      <formula1>$D$4:$D$9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G12"/>
  <sheetViews>
    <sheetView workbookViewId="0"/>
  </sheetViews>
  <sheetFormatPr defaultRowHeight="17"/>
  <cols>
    <col min="4" max="4" width="10.4140625" bestFit="1" customWidth="1"/>
    <col min="5" max="5" width="12.33203125" bestFit="1" customWidth="1"/>
    <col min="7" max="7" width="14.33203125" bestFit="1" customWidth="1"/>
    <col min="8" max="8" width="12.33203125" bestFit="1" customWidth="1"/>
  </cols>
  <sheetData>
    <row r="1" spans="2:7">
      <c r="B1" t="s">
        <v>46</v>
      </c>
      <c r="C1" t="s">
        <v>65</v>
      </c>
    </row>
    <row r="2" spans="2:7">
      <c r="B2" s="2" t="s">
        <v>1</v>
      </c>
      <c r="C2" s="2" t="s">
        <v>7</v>
      </c>
      <c r="D2" s="29" t="s">
        <v>58</v>
      </c>
      <c r="E2" s="29" t="s">
        <v>59</v>
      </c>
      <c r="F2" s="29" t="s">
        <v>60</v>
      </c>
      <c r="G2" s="29" t="s">
        <v>47</v>
      </c>
    </row>
    <row r="3" spans="2:7">
      <c r="B3" s="2">
        <v>101</v>
      </c>
      <c r="C3" s="2">
        <v>5</v>
      </c>
      <c r="D3" s="3">
        <v>409</v>
      </c>
      <c r="E3" s="3">
        <v>91594.987999999998</v>
      </c>
      <c r="F3" s="3">
        <v>12000</v>
      </c>
      <c r="G3" s="3">
        <v>411</v>
      </c>
    </row>
    <row r="4" spans="2:7">
      <c r="B4" s="2">
        <v>102</v>
      </c>
      <c r="C4" s="2">
        <v>1</v>
      </c>
      <c r="D4" s="3">
        <v>189</v>
      </c>
      <c r="E4" s="3">
        <v>18805</v>
      </c>
      <c r="F4" s="3">
        <v>12000</v>
      </c>
      <c r="G4" s="3">
        <v>375</v>
      </c>
    </row>
    <row r="5" spans="2:7">
      <c r="B5" s="2">
        <v>201</v>
      </c>
      <c r="C5" s="2">
        <v>2</v>
      </c>
      <c r="D5" s="3">
        <v>199</v>
      </c>
      <c r="E5" s="3">
        <v>19755</v>
      </c>
      <c r="F5" s="3">
        <v>12000</v>
      </c>
      <c r="G5" s="3">
        <v>411</v>
      </c>
    </row>
    <row r="6" spans="2:7">
      <c r="B6" s="2">
        <v>202</v>
      </c>
      <c r="C6" s="2">
        <v>3</v>
      </c>
      <c r="D6" s="3">
        <v>262</v>
      </c>
      <c r="E6" s="3">
        <v>38694.822000000007</v>
      </c>
      <c r="F6" s="3">
        <v>12000</v>
      </c>
      <c r="G6" s="3">
        <v>300</v>
      </c>
    </row>
    <row r="7" spans="2:7">
      <c r="B7" s="2">
        <v>301</v>
      </c>
      <c r="C7" s="2">
        <v>3</v>
      </c>
      <c r="D7" s="3">
        <v>310</v>
      </c>
      <c r="E7" s="3">
        <v>52851.299999999996</v>
      </c>
      <c r="F7" s="3">
        <v>12000</v>
      </c>
      <c r="G7" s="3">
        <v>300</v>
      </c>
    </row>
    <row r="8" spans="2:7">
      <c r="B8" s="2">
        <v>302</v>
      </c>
      <c r="C8" s="2">
        <v>2</v>
      </c>
      <c r="D8" s="3">
        <v>258</v>
      </c>
      <c r="E8" s="3">
        <v>39263.4</v>
      </c>
      <c r="F8" s="3">
        <v>12000</v>
      </c>
      <c r="G8" s="3">
        <v>600</v>
      </c>
    </row>
    <row r="9" spans="2:7">
      <c r="B9" s="2">
        <v>401</v>
      </c>
      <c r="C9" s="2">
        <v>4</v>
      </c>
      <c r="D9" s="3">
        <v>420</v>
      </c>
      <c r="E9" s="3">
        <v>93895.44</v>
      </c>
      <c r="F9" s="3">
        <v>12000</v>
      </c>
      <c r="G9" s="3">
        <v>240</v>
      </c>
    </row>
    <row r="10" spans="2:7">
      <c r="B10" s="2">
        <v>402</v>
      </c>
      <c r="C10" s="2">
        <v>6</v>
      </c>
      <c r="D10" s="3">
        <v>411</v>
      </c>
      <c r="E10" s="3">
        <v>92013.251999999993</v>
      </c>
      <c r="F10" s="3">
        <v>12000</v>
      </c>
      <c r="G10" s="3">
        <v>411</v>
      </c>
    </row>
    <row r="11" spans="2:7">
      <c r="B11" s="2">
        <v>501</v>
      </c>
      <c r="C11" s="2">
        <v>4</v>
      </c>
      <c r="D11" s="3">
        <v>274</v>
      </c>
      <c r="E11" s="3">
        <v>40409.394</v>
      </c>
      <c r="F11" s="3">
        <v>12000</v>
      </c>
      <c r="G11" s="3">
        <v>411</v>
      </c>
    </row>
    <row r="12" spans="2:7">
      <c r="B12" s="2">
        <v>502</v>
      </c>
      <c r="C12" s="2">
        <v>5</v>
      </c>
      <c r="D12" s="3">
        <v>506</v>
      </c>
      <c r="E12" s="3">
        <v>111880.79199999999</v>
      </c>
      <c r="F12" s="3">
        <v>12000</v>
      </c>
      <c r="G12" s="3">
        <v>205</v>
      </c>
    </row>
  </sheetData>
  <sortState ref="B3:G11">
    <sortCondition ref="B3:B11"/>
  </sortState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2"/>
  <sheetViews>
    <sheetView workbookViewId="0"/>
  </sheetViews>
  <sheetFormatPr defaultRowHeight="17"/>
  <sheetData>
    <row r="1" spans="1:6">
      <c r="A1" s="20" t="s">
        <v>34</v>
      </c>
      <c r="B1" s="20"/>
      <c r="C1" s="20"/>
      <c r="D1" s="20"/>
      <c r="E1" s="20"/>
      <c r="F1" s="20"/>
    </row>
    <row r="2" spans="1:6">
      <c r="A2" s="20"/>
      <c r="B2" s="20"/>
      <c r="C2" s="20"/>
      <c r="D2" s="20"/>
      <c r="E2" s="20"/>
      <c r="F2" s="20" t="s">
        <v>35</v>
      </c>
    </row>
    <row r="3" spans="1:6">
      <c r="A3" s="21" t="s">
        <v>36</v>
      </c>
      <c r="B3" s="21" t="s">
        <v>43</v>
      </c>
      <c r="C3" s="21" t="s">
        <v>44</v>
      </c>
      <c r="D3" s="21" t="s">
        <v>45</v>
      </c>
      <c r="E3" s="21" t="s">
        <v>42</v>
      </c>
      <c r="F3" s="21" t="s">
        <v>41</v>
      </c>
    </row>
    <row r="4" spans="1:6">
      <c r="A4" s="22" t="s">
        <v>37</v>
      </c>
      <c r="B4" s="23">
        <v>34859</v>
      </c>
      <c r="C4" s="23">
        <v>52473</v>
      </c>
      <c r="D4" s="23">
        <v>60117</v>
      </c>
      <c r="E4" s="23">
        <v>64630</v>
      </c>
      <c r="F4" s="23">
        <v>81989</v>
      </c>
    </row>
    <row r="5" spans="1:6">
      <c r="A5" s="24" t="s">
        <v>38</v>
      </c>
      <c r="B5" s="25">
        <v>0.45</v>
      </c>
      <c r="C5" s="26">
        <f>(C4-B4)/B4</f>
        <v>0.50529275079606417</v>
      </c>
      <c r="D5" s="26">
        <f>(D4-C4)/C4</f>
        <v>0.14567491852952946</v>
      </c>
      <c r="E5" s="26">
        <f>(E4-D4)/D4</f>
        <v>7.5070279621404931E-2</v>
      </c>
      <c r="F5" s="26">
        <f>(F4-E4)/E4</f>
        <v>0.26859043787714681</v>
      </c>
    </row>
    <row r="6" spans="1:6">
      <c r="A6" s="22" t="s">
        <v>39</v>
      </c>
      <c r="B6" s="23">
        <v>17774</v>
      </c>
      <c r="C6" s="23">
        <v>34800</v>
      </c>
      <c r="D6" s="23">
        <v>37033</v>
      </c>
      <c r="E6" s="23">
        <v>46618</v>
      </c>
      <c r="F6" s="23">
        <v>67242</v>
      </c>
    </row>
    <row r="7" spans="1:6">
      <c r="A7" s="24" t="s">
        <v>38</v>
      </c>
      <c r="B7" s="25">
        <v>0.54</v>
      </c>
      <c r="C7" s="27">
        <f>ROUND((C6-B6)/B6,2)</f>
        <v>0.96</v>
      </c>
      <c r="D7" s="27">
        <f>ROUND((D6-C6)/C6,2)</f>
        <v>0.06</v>
      </c>
      <c r="E7" s="27">
        <f>ROUND((E6-D6)/D6,2)</f>
        <v>0.26</v>
      </c>
      <c r="F7" s="27">
        <f>ROUND((F6-E6)/E6,2)</f>
        <v>0.44</v>
      </c>
    </row>
    <row r="8" spans="1:6">
      <c r="A8" s="22" t="s">
        <v>40</v>
      </c>
      <c r="B8" s="23">
        <v>17085</v>
      </c>
      <c r="C8" s="23">
        <v>17673</v>
      </c>
      <c r="D8" s="23">
        <v>23084</v>
      </c>
      <c r="E8" s="23">
        <v>18012</v>
      </c>
      <c r="F8" s="23">
        <v>14747</v>
      </c>
    </row>
    <row r="9" spans="1:6">
      <c r="A9" s="24" t="s">
        <v>38</v>
      </c>
      <c r="B9" s="41">
        <v>0.36</v>
      </c>
      <c r="C9" s="42">
        <f>(C8-B8)/B8</f>
        <v>3.4416154521510096E-2</v>
      </c>
      <c r="D9" s="42">
        <f t="shared" ref="D9:F9" si="0">(D8-C8)/C8</f>
        <v>0.30617325864312794</v>
      </c>
      <c r="E9" s="42">
        <f t="shared" si="0"/>
        <v>-0.21971928608560043</v>
      </c>
      <c r="F9" s="42">
        <f t="shared" si="0"/>
        <v>-0.18126804352653786</v>
      </c>
    </row>
    <row r="11" spans="1:6">
      <c r="B11" s="28"/>
      <c r="C11" s="28"/>
      <c r="D11" s="28"/>
      <c r="E11" s="28"/>
      <c r="F11" s="28"/>
    </row>
    <row r="12" spans="1:6">
      <c r="B12" s="2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일반서식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3:G12"/>
  <sheetViews>
    <sheetView workbookViewId="0"/>
  </sheetViews>
  <sheetFormatPr defaultRowHeight="17"/>
  <cols>
    <col min="2" max="2" width="10.1640625" customWidth="1"/>
    <col min="3" max="3" width="11.75" customWidth="1"/>
    <col min="4" max="4" width="11.5" customWidth="1"/>
    <col min="5" max="5" width="12.6640625" customWidth="1"/>
  </cols>
  <sheetData>
    <row r="3" spans="1:7">
      <c r="A3" t="s">
        <v>48</v>
      </c>
    </row>
    <row r="4" spans="1:7">
      <c r="A4" s="2" t="s">
        <v>0</v>
      </c>
      <c r="B4" s="2" t="s">
        <v>2</v>
      </c>
      <c r="C4" s="2" t="s">
        <v>51</v>
      </c>
      <c r="D4" s="29" t="s">
        <v>8</v>
      </c>
      <c r="E4" s="29" t="s">
        <v>49</v>
      </c>
      <c r="G4" s="1" t="s">
        <v>0</v>
      </c>
    </row>
    <row r="5" spans="1:7">
      <c r="A5" s="1" t="s">
        <v>62</v>
      </c>
      <c r="B5" s="1">
        <v>502</v>
      </c>
      <c r="C5" s="1">
        <v>210</v>
      </c>
      <c r="D5" s="1" t="s">
        <v>270</v>
      </c>
      <c r="E5" s="43">
        <v>44672</v>
      </c>
      <c r="G5" s="1" t="s">
        <v>50</v>
      </c>
    </row>
    <row r="6" spans="1:7">
      <c r="A6" s="1"/>
      <c r="B6" s="1"/>
      <c r="C6" s="1"/>
      <c r="D6" s="1"/>
      <c r="E6" s="1"/>
      <c r="G6" s="1" t="s">
        <v>4</v>
      </c>
    </row>
    <row r="7" spans="1:7">
      <c r="A7" s="1"/>
      <c r="B7" s="1"/>
      <c r="C7" s="1"/>
      <c r="D7" s="1"/>
      <c r="E7" s="1"/>
      <c r="G7" s="1" t="s">
        <v>6</v>
      </c>
    </row>
    <row r="8" spans="1:7">
      <c r="A8" s="1"/>
      <c r="B8" s="1"/>
      <c r="C8" s="1"/>
      <c r="D8" s="1"/>
      <c r="E8" s="1"/>
    </row>
    <row r="9" spans="1:7">
      <c r="A9" s="1"/>
      <c r="B9" s="1"/>
      <c r="C9" s="1"/>
      <c r="D9" s="1"/>
      <c r="E9" s="1"/>
    </row>
    <row r="10" spans="1:7">
      <c r="A10" s="1"/>
      <c r="B10" s="1"/>
      <c r="C10" s="1"/>
      <c r="D10" s="1"/>
      <c r="E10" s="1"/>
    </row>
    <row r="11" spans="1:7">
      <c r="A11" s="1"/>
      <c r="B11" s="1"/>
      <c r="C11" s="1"/>
      <c r="D11" s="1"/>
      <c r="E11" s="1"/>
    </row>
    <row r="12" spans="1:7">
      <c r="A12" s="1"/>
      <c r="B12" s="1"/>
      <c r="C12" s="1"/>
      <c r="D12" s="1"/>
      <c r="E12" s="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등록">
          <controlPr defaultSize="0" autoLine="0" autoPict="0" r:id="rId4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2022-04-22T00:40:39Z</cp:lastPrinted>
  <dcterms:created xsi:type="dcterms:W3CDTF">2022-04-17T06:14:38Z</dcterms:created>
  <dcterms:modified xsi:type="dcterms:W3CDTF">2022-07-23T02:16:08Z</dcterms:modified>
</cp:coreProperties>
</file>