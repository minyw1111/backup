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3.xml" ContentType="application/vnd.openxmlformats-officedocument.spreadsheetml.query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2023년컴활1급\스프레드시트\기출변형문제\정답\"/>
    </mc:Choice>
  </mc:AlternateContent>
  <bookViews>
    <workbookView xWindow="0" yWindow="0" windowWidth="21150" windowHeight="11200" tabRatio="969"/>
  </bookViews>
  <sheets>
    <sheet name="기본작업-1" sheetId="2" r:id="rId1"/>
    <sheet name="기본작업-2" sheetId="9" r:id="rId2"/>
    <sheet name="계산작업" sheetId="3" r:id="rId3"/>
    <sheet name="분석작업-1" sheetId="8" r:id="rId4"/>
    <sheet name="분석작업-2" sheetId="4" r:id="rId5"/>
    <sheet name="차트작업" sheetId="6" r:id="rId6"/>
    <sheet name="매크로" sheetId="10" r:id="rId7"/>
    <sheet name="렌탈입력" sheetId="7" r:id="rId8"/>
  </sheets>
  <functionGroups builtInGroupCount="18"/>
  <definedNames>
    <definedName name="_xlnm._FilterDatabase" localSheetId="0" hidden="1">'기본작업-1'!$B$2:$I$36</definedName>
    <definedName name="_xlnm._FilterDatabase" localSheetId="1" hidden="1">'기본작업-2'!$B$2:$I$36</definedName>
    <definedName name="_xlnm._FilterDatabase" localSheetId="4" hidden="1">'분석작업-2'!$A$1:$F$26</definedName>
    <definedName name="_xlnm.Criteria" localSheetId="0">'기본작업-1'!$B$38:$B$39</definedName>
    <definedName name="_xlnm.Criteria" localSheetId="1">'기본작업-2'!#REF!</definedName>
    <definedName name="_xlnm.Extract" localSheetId="0">'기본작업-1'!$B$43:$G$43</definedName>
    <definedName name="_xlnm.Extract" localSheetId="1">'기본작업-2'!#REF!</definedName>
    <definedName name="MS_Access_Database_Query_1" localSheetId="0">'기본작업-1'!$B$2:$I$36</definedName>
    <definedName name="MS_Access_Database_Query_1" localSheetId="1">'기본작업-2'!$B$2:$I$36</definedName>
    <definedName name="MS_Access_Database_Query_1" localSheetId="6">매크로!$B$3:$G$16</definedName>
    <definedName name="_xlnm.Print_Area" localSheetId="1">'기본작업-2'!$B$2:$I$36</definedName>
  </definedNames>
  <calcPr calcId="162913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9" i="4" l="1"/>
  <c r="C27" i="4"/>
  <c r="C20" i="4"/>
  <c r="C17" i="4"/>
  <c r="C8" i="4"/>
  <c r="C5" i="4"/>
  <c r="E28" i="4"/>
  <c r="E9" i="4"/>
  <c r="E30" i="4" s="1"/>
  <c r="B39" i="2" l="1"/>
  <c r="G16" i="10" l="1"/>
  <c r="F16" i="10"/>
  <c r="F15" i="10"/>
  <c r="G15" i="10" s="1"/>
  <c r="G14" i="10"/>
  <c r="F14" i="10"/>
  <c r="F13" i="10"/>
  <c r="G13" i="10" s="1"/>
  <c r="G12" i="10"/>
  <c r="F12" i="10"/>
  <c r="F11" i="10"/>
  <c r="G11" i="10" s="1"/>
  <c r="F10" i="10"/>
  <c r="G10" i="10" s="1"/>
  <c r="F9" i="10"/>
  <c r="G9" i="10" s="1"/>
  <c r="G8" i="10"/>
  <c r="F8" i="10"/>
  <c r="F7" i="10"/>
  <c r="G7" i="10" s="1"/>
  <c r="F6" i="10"/>
  <c r="G6" i="10" s="1"/>
  <c r="F5" i="10"/>
  <c r="G5" i="10" s="1"/>
  <c r="G4" i="10"/>
  <c r="F4" i="10"/>
  <c r="I50" i="3" l="1"/>
  <c r="I51" i="3"/>
  <c r="I52" i="3"/>
  <c r="I53" i="3"/>
  <c r="I54" i="3"/>
  <c r="I49" i="3"/>
  <c r="L20" i="3" a="1"/>
  <c r="L20" i="3" s="1"/>
  <c r="L11" i="3" a="1"/>
  <c r="L11" i="3" s="1"/>
  <c r="M5" i="3"/>
  <c r="M6" i="3"/>
  <c r="M7" i="3"/>
  <c r="L6" i="3"/>
  <c r="L7" i="3"/>
  <c r="L5" i="3"/>
  <c r="I5" i="3"/>
  <c r="I7" i="3"/>
  <c r="I8" i="3"/>
  <c r="I19" i="3"/>
  <c r="I23" i="3"/>
  <c r="I31" i="3"/>
  <c r="I42" i="3"/>
  <c r="I20" i="3"/>
  <c r="I33" i="3"/>
  <c r="I25" i="3"/>
  <c r="I22" i="3"/>
  <c r="I40" i="3"/>
  <c r="I21" i="3"/>
  <c r="I43" i="3"/>
  <c r="I13" i="3"/>
  <c r="I14" i="3"/>
  <c r="I12" i="3"/>
  <c r="I15" i="3"/>
  <c r="I24" i="3"/>
  <c r="I37" i="3"/>
  <c r="I18" i="3"/>
  <c r="I28" i="3"/>
  <c r="I17" i="3"/>
  <c r="I38" i="3"/>
  <c r="I9" i="3"/>
  <c r="I11" i="3"/>
  <c r="I39" i="3"/>
  <c r="I36" i="3"/>
  <c r="I10" i="3"/>
  <c r="I26" i="3"/>
  <c r="I35" i="3"/>
  <c r="I29" i="3"/>
  <c r="I34" i="3"/>
  <c r="I41" i="3"/>
  <c r="I4" i="3"/>
  <c r="I6" i="3"/>
  <c r="I30" i="3"/>
  <c r="I27" i="3"/>
  <c r="I16" i="3"/>
  <c r="I32" i="3"/>
  <c r="L16" i="3" l="1"/>
  <c r="L15" i="3"/>
  <c r="L14" i="3"/>
  <c r="L13" i="3"/>
  <c r="L12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E:\영진(2021년)\1급\excel\스프레드시트(파일) - 최종\모의고사\화장품.accdb;DefaultDir=E:\영진(2021년)\1급\excel\스프레드시트(파일) - 최종\모의고사;DriverId=25;FIL=MS Access;MaxBufferSize=2048;PageTimeout=5;" command="SELECT 판매내역.물품명, 판매내역.거래구분, 판매내역.금액, 판매내역.포인트_x000d__x000a_FROM 판매내역 판매내역"/>
  </connection>
  <connection id="2" name="연결" type="1" refreshedVersion="0" savePassword="1" deleted="1" background="1" saveData="1">
    <dbPr connection="" command=""/>
  </connection>
  <connection id="3" name="연결1" type="1" refreshedVersion="0" savePassword="1" deleted="1" background="1" saveData="1">
    <dbPr connection="" command=""/>
  </connection>
</connections>
</file>

<file path=xl/sharedStrings.xml><?xml version="1.0" encoding="utf-8"?>
<sst xmlns="http://schemas.openxmlformats.org/spreadsheetml/2006/main" count="607" uniqueCount="176">
  <si>
    <t>주문번호</t>
    <phoneticPr fontId="4" type="noConversion"/>
  </si>
  <si>
    <t>구분</t>
    <phoneticPr fontId="4" type="noConversion"/>
  </si>
  <si>
    <t>상품명</t>
    <phoneticPr fontId="4" type="noConversion"/>
  </si>
  <si>
    <t>판매가격</t>
    <phoneticPr fontId="4" type="noConversion"/>
  </si>
  <si>
    <t>주문수량</t>
    <phoneticPr fontId="4" type="noConversion"/>
  </si>
  <si>
    <t>주문지역</t>
    <phoneticPr fontId="4" type="noConversion"/>
  </si>
  <si>
    <t>업체</t>
  </si>
  <si>
    <t>주문일자</t>
    <phoneticPr fontId="4" type="noConversion"/>
  </si>
  <si>
    <t>남성용</t>
    <phoneticPr fontId="4" type="noConversion"/>
  </si>
  <si>
    <t>로션</t>
  </si>
  <si>
    <t>충북</t>
  </si>
  <si>
    <t>HOMME</t>
    <phoneticPr fontId="4" type="noConversion"/>
  </si>
  <si>
    <t>남성용</t>
    <phoneticPr fontId="4" type="noConversion"/>
  </si>
  <si>
    <t>향수</t>
  </si>
  <si>
    <t>서울</t>
  </si>
  <si>
    <t>인천</t>
  </si>
  <si>
    <t>경기</t>
  </si>
  <si>
    <t>HOMME</t>
    <phoneticPr fontId="4" type="noConversion"/>
  </si>
  <si>
    <t>대구</t>
  </si>
  <si>
    <t>남성용</t>
    <phoneticPr fontId="4" type="noConversion"/>
  </si>
  <si>
    <t>HOMME</t>
    <phoneticPr fontId="4" type="noConversion"/>
  </si>
  <si>
    <t>대전</t>
  </si>
  <si>
    <t>여성용</t>
    <phoneticPr fontId="4" type="noConversion"/>
  </si>
  <si>
    <t>충남</t>
  </si>
  <si>
    <t>여성용</t>
    <phoneticPr fontId="4" type="noConversion"/>
  </si>
  <si>
    <t>[표1]</t>
    <phoneticPr fontId="4" type="noConversion"/>
  </si>
  <si>
    <t>주문코드</t>
    <phoneticPr fontId="4" type="noConversion"/>
  </si>
  <si>
    <t>지점</t>
    <phoneticPr fontId="4" type="noConversion"/>
  </si>
  <si>
    <t>분류</t>
    <phoneticPr fontId="4" type="noConversion"/>
  </si>
  <si>
    <t>일사분기</t>
    <phoneticPr fontId="4" type="noConversion"/>
  </si>
  <si>
    <t>이사분기</t>
    <phoneticPr fontId="4" type="noConversion"/>
  </si>
  <si>
    <t>삼사분기</t>
    <phoneticPr fontId="4" type="noConversion"/>
  </si>
  <si>
    <t>사사분기</t>
    <phoneticPr fontId="4" type="noConversion"/>
  </si>
  <si>
    <t>비고</t>
    <phoneticPr fontId="4" type="noConversion"/>
  </si>
  <si>
    <t>[표2]</t>
    <phoneticPr fontId="4" type="noConversion"/>
  </si>
  <si>
    <t>A001</t>
    <phoneticPr fontId="4" type="noConversion"/>
  </si>
  <si>
    <t>서울</t>
    <phoneticPr fontId="4" type="noConversion"/>
  </si>
  <si>
    <t>기능성</t>
  </si>
  <si>
    <t>분류</t>
    <phoneticPr fontId="4" type="noConversion"/>
  </si>
  <si>
    <t>사사분기</t>
    <phoneticPr fontId="4" type="noConversion"/>
  </si>
  <si>
    <t>A002</t>
  </si>
  <si>
    <t>인천</t>
    <phoneticPr fontId="4" type="noConversion"/>
  </si>
  <si>
    <t>베이스메이크업</t>
  </si>
  <si>
    <t>기능성</t>
    <phoneticPr fontId="4" type="noConversion"/>
  </si>
  <si>
    <t>A003</t>
  </si>
  <si>
    <t>색조</t>
  </si>
  <si>
    <t>색조</t>
    <phoneticPr fontId="4" type="noConversion"/>
  </si>
  <si>
    <t>A004</t>
  </si>
  <si>
    <t>서울</t>
    <phoneticPr fontId="4" type="noConversion"/>
  </si>
  <si>
    <t>베이스메이크업</t>
    <phoneticPr fontId="4" type="noConversion"/>
  </si>
  <si>
    <t>A005</t>
  </si>
  <si>
    <t>대전</t>
    <phoneticPr fontId="4" type="noConversion"/>
  </si>
  <si>
    <t>A006</t>
  </si>
  <si>
    <t>인천</t>
    <phoneticPr fontId="4" type="noConversion"/>
  </si>
  <si>
    <t>[표3]</t>
    <phoneticPr fontId="4" type="noConversion"/>
  </si>
  <si>
    <t>A007</t>
  </si>
  <si>
    <t>부산</t>
    <phoneticPr fontId="4" type="noConversion"/>
  </si>
  <si>
    <t>일사분기주문량</t>
    <phoneticPr fontId="4" type="noConversion"/>
  </si>
  <si>
    <t>판매업체수</t>
    <phoneticPr fontId="4" type="noConversion"/>
  </si>
  <si>
    <t>A008</t>
  </si>
  <si>
    <t>경기</t>
    <phoneticPr fontId="4" type="noConversion"/>
  </si>
  <si>
    <t>A009</t>
  </si>
  <si>
    <t>A010</t>
  </si>
  <si>
    <t>A011</t>
  </si>
  <si>
    <t>A012</t>
  </si>
  <si>
    <t>A013</t>
  </si>
  <si>
    <t>경기</t>
    <phoneticPr fontId="4" type="noConversion"/>
  </si>
  <si>
    <t>A014</t>
  </si>
  <si>
    <t>대구</t>
    <phoneticPr fontId="4" type="noConversion"/>
  </si>
  <si>
    <t>A015</t>
  </si>
  <si>
    <t>[표4]</t>
    <phoneticPr fontId="4" type="noConversion"/>
  </si>
  <si>
    <t>A016</t>
  </si>
  <si>
    <t>A017</t>
  </si>
  <si>
    <t>대전</t>
    <phoneticPr fontId="4" type="noConversion"/>
  </si>
  <si>
    <t>색조</t>
    <phoneticPr fontId="4" type="noConversion"/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</si>
  <si>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</si>
  <si>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</si>
  <si>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</si>
  <si>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</si>
  <si>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</si>
  <si>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</si>
  <si>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</si>
  <si>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</si>
  <si>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</si>
  <si>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</si>
  <si>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</si>
  <si>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</si>
  <si>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</si>
  <si>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</si>
  <si>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</si>
  <si>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</si>
  <si>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</si>
  <si>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</si>
  <si>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</si>
  <si>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</si>
  <si>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</si>
  <si>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</si>
  <si>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</si>
  <si>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[표5]</t>
    <phoneticPr fontId="4" type="noConversion"/>
  </si>
  <si>
    <t>[표6]</t>
    <phoneticPr fontId="4" type="noConversion"/>
  </si>
  <si>
    <t>등급점수</t>
    <phoneticPr fontId="4" type="noConversion"/>
  </si>
  <si>
    <t>주문등급</t>
    <phoneticPr fontId="4" type="noConversion"/>
  </si>
  <si>
    <t>주문량 총점수</t>
    <phoneticPr fontId="4" type="noConversion"/>
  </si>
  <si>
    <t>주문등급</t>
    <phoneticPr fontId="4" type="noConversion"/>
  </si>
  <si>
    <t>F</t>
    <phoneticPr fontId="4" type="noConversion"/>
  </si>
  <si>
    <t>D</t>
    <phoneticPr fontId="4" type="noConversion"/>
  </si>
  <si>
    <t>C</t>
    <phoneticPr fontId="4" type="noConversion"/>
  </si>
  <si>
    <t>대전</t>
    <phoneticPr fontId="4" type="noConversion"/>
  </si>
  <si>
    <t>B</t>
    <phoneticPr fontId="4" type="noConversion"/>
  </si>
  <si>
    <t>대구</t>
    <phoneticPr fontId="4" type="noConversion"/>
  </si>
  <si>
    <t>A</t>
    <phoneticPr fontId="4" type="noConversion"/>
  </si>
  <si>
    <t>부산</t>
    <phoneticPr fontId="4" type="noConversion"/>
  </si>
  <si>
    <t>거래구분</t>
  </si>
  <si>
    <t>물품명</t>
  </si>
  <si>
    <t>주문수량</t>
  </si>
  <si>
    <t>판매수량</t>
  </si>
  <si>
    <t>금액</t>
  </si>
  <si>
    <t>포인트</t>
  </si>
  <si>
    <t>카드</t>
  </si>
  <si>
    <t>현금</t>
  </si>
  <si>
    <t>쿠폰</t>
  </si>
  <si>
    <t>1월 적립금 분석표</t>
    <phoneticPr fontId="4" type="noConversion"/>
  </si>
  <si>
    <t>판매일자</t>
    <phoneticPr fontId="4" type="noConversion"/>
  </si>
  <si>
    <t>물품영</t>
    <phoneticPr fontId="4" type="noConversion"/>
  </si>
  <si>
    <t>판매단가</t>
    <phoneticPr fontId="4" type="noConversion"/>
  </si>
  <si>
    <t>판매금액</t>
    <phoneticPr fontId="4" type="noConversion"/>
  </si>
  <si>
    <t>적립금</t>
    <phoneticPr fontId="4" type="noConversion"/>
  </si>
  <si>
    <t>로션</t>
    <phoneticPr fontId="4" type="noConversion"/>
  </si>
  <si>
    <t>샴푸</t>
    <phoneticPr fontId="4" type="noConversion"/>
  </si>
  <si>
    <t>향수</t>
    <phoneticPr fontId="4" type="noConversion"/>
  </si>
  <si>
    <t>평 균 기 온  평 년 차</t>
    <phoneticPr fontId="4" type="noConversion"/>
  </si>
  <si>
    <t>지점</t>
  </si>
  <si>
    <t>1월</t>
    <phoneticPr fontId="4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</si>
  <si>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</si>
  <si>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</si>
  <si>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</si>
  <si>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</si>
  <si>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</si>
  <si>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</si>
  <si>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</si>
  <si>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</si>
  <si>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</si>
  <si>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</si>
  <si>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</si>
  <si>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속초</t>
    <phoneticPr fontId="4" type="noConversion"/>
  </si>
  <si>
    <t>철  원</t>
  </si>
  <si>
    <t>대관령</t>
  </si>
  <si>
    <t>춘  천</t>
  </si>
  <si>
    <t>강  릉</t>
  </si>
  <si>
    <t>[표1]</t>
    <phoneticPr fontId="4" type="noConversion"/>
  </si>
  <si>
    <t>제품명</t>
    <phoneticPr fontId="4" type="noConversion"/>
  </si>
  <si>
    <t>대여일수</t>
    <phoneticPr fontId="4" type="noConversion"/>
  </si>
  <si>
    <t>제품가격</t>
    <phoneticPr fontId="4" type="noConversion"/>
  </si>
  <si>
    <t>대여금액</t>
    <phoneticPr fontId="4" type="noConversion"/>
  </si>
  <si>
    <t>대여자</t>
    <phoneticPr fontId="4" type="noConversion"/>
  </si>
  <si>
    <t>제품명</t>
    <phoneticPr fontId="4" type="noConversion"/>
  </si>
  <si>
    <t>제품가격</t>
    <phoneticPr fontId="4" type="noConversion"/>
  </si>
  <si>
    <t>노트북</t>
    <phoneticPr fontId="4" type="noConversion"/>
  </si>
  <si>
    <t>데스크톱</t>
    <phoneticPr fontId="4" type="noConversion"/>
  </si>
  <si>
    <t>캠코더</t>
    <phoneticPr fontId="4" type="noConversion"/>
  </si>
  <si>
    <t>DVD재생기</t>
    <phoneticPr fontId="4" type="noConversion"/>
  </si>
  <si>
    <t>서버</t>
    <phoneticPr fontId="4" type="noConversion"/>
  </si>
  <si>
    <t>총합계</t>
  </si>
  <si>
    <t>합계 : 금액</t>
  </si>
  <si>
    <t>합계 : 포인트</t>
  </si>
  <si>
    <t>로션 요약</t>
  </si>
  <si>
    <t>향수 요약</t>
  </si>
  <si>
    <t>금액비율</t>
  </si>
  <si>
    <t>조건</t>
    <phoneticPr fontId="1" type="noConversion"/>
  </si>
  <si>
    <t>로션 평균</t>
  </si>
  <si>
    <t>향수 평균</t>
  </si>
  <si>
    <t>전체 평균</t>
  </si>
  <si>
    <t>카드 개수</t>
  </si>
  <si>
    <t>현금 개수</t>
  </si>
  <si>
    <t>쿠폰 개수</t>
  </si>
  <si>
    <t>전체 개수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</si>
</sst>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176" formatCode="yyyy/mm/dd\ "/>
    <numFmt numFmtId="177" formatCode="#\ &quot;이하&quot;"/>
    <numFmt numFmtId="178" formatCode="mm&quot;월&quot;\ dd&quot;일&quot;"/>
    <numFmt numFmtId="179" formatCode="#,##0_ "/>
    <numFmt numFmtId="180" formatCode="[Red][&gt;=10]0;[Blue][&lt;=5]0;0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2"/>
      <charset val="129"/>
      <scheme val="minor"/>
    </font>
    <font>
      <b/>
      <sz val="15"/>
      <color theme="0"/>
      <name val="맑은 고딕"/>
      <family val="3"/>
      <charset val="129"/>
      <scheme val="minor"/>
    </font>
    <font>
      <sz val="15"/>
      <color indexed="9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1"/>
      <color indexed="9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0" fillId="0" borderId="0">
      <alignment vertical="center"/>
    </xf>
  </cellStyleXfs>
  <cellXfs count="47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1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6" fillId="0" borderId="1" xfId="1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49" fontId="5" fillId="0" borderId="1" xfId="0" applyNumberFormat="1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6" fillId="0" borderId="1" xfId="1" applyNumberFormat="1" applyFont="1" applyBorder="1" applyAlignment="1">
      <alignment vertical="center"/>
    </xf>
    <xf numFmtId="41" fontId="6" fillId="0" borderId="0" xfId="1" applyFont="1" applyBorder="1" applyAlignment="1">
      <alignment vertical="center"/>
    </xf>
    <xf numFmtId="177" fontId="5" fillId="0" borderId="1" xfId="0" applyNumberFormat="1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8" fontId="5" fillId="0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14" fontId="5" fillId="0" borderId="1" xfId="0" applyNumberFormat="1" applyFont="1" applyBorder="1" applyAlignment="1">
      <alignment vertical="center"/>
    </xf>
    <xf numFmtId="41" fontId="5" fillId="0" borderId="1" xfId="1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6" fillId="0" borderId="1" xfId="2" applyFont="1" applyBorder="1" applyAlignment="1">
      <alignment horizontal="left" vertical="center"/>
    </xf>
    <xf numFmtId="0" fontId="6" fillId="0" borderId="1" xfId="2" applyFont="1" applyBorder="1" applyAlignment="1">
      <alignment vertical="center"/>
    </xf>
    <xf numFmtId="41" fontId="5" fillId="0" borderId="0" xfId="1" applyFont="1" applyAlignment="1">
      <alignment horizontal="center" vertical="center"/>
    </xf>
    <xf numFmtId="0" fontId="5" fillId="0" borderId="0" xfId="1" applyNumberFormat="1" applyFont="1" applyAlignment="1">
      <alignment horizontal="center" vertical="center"/>
    </xf>
    <xf numFmtId="41" fontId="11" fillId="4" borderId="1" xfId="1" applyFont="1" applyFill="1" applyBorder="1" applyAlignment="1">
      <alignment horizontal="center" vertical="center"/>
    </xf>
    <xf numFmtId="0" fontId="11" fillId="4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Border="1" applyAlignment="1">
      <alignment horizontal="center" vertical="center"/>
    </xf>
    <xf numFmtId="41" fontId="5" fillId="0" borderId="1" xfId="1" applyFont="1" applyBorder="1" applyAlignment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0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6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178" fontId="5" fillId="0" borderId="1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 wrapText="1"/>
    </xf>
    <xf numFmtId="0" fontId="8" fillId="5" borderId="0" xfId="0" applyFont="1" applyFill="1" applyAlignment="1">
      <alignment horizontal="center" vertical="center"/>
    </xf>
    <xf numFmtId="180" fontId="5" fillId="0" borderId="1" xfId="0" applyNumberFormat="1" applyFont="1" applyBorder="1" applyAlignment="1">
      <alignment vertical="center"/>
    </xf>
  </cellXfs>
  <cellStyles count="3">
    <cellStyle name="쉼표 [0]" xfId="1" builtinId="6"/>
    <cellStyle name="표준" xfId="0" builtinId="0"/>
    <cellStyle name="표준_차트작업" xfId="2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차트작업!$B$5</c:f>
              <c:strCache>
                <c:ptCount val="1"/>
                <c:pt idx="0">
                  <c:v>속초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차트작업!$C$4:$H$4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차트작업!$C$5:$H$5</c:f>
              <c:numCache>
                <c:formatCode>General</c:formatCode>
                <c:ptCount val="6"/>
                <c:pt idx="0">
                  <c:v>9</c:v>
                </c:pt>
                <c:pt idx="1">
                  <c:v>32</c:v>
                </c:pt>
                <c:pt idx="2">
                  <c:v>14</c:v>
                </c:pt>
                <c:pt idx="3">
                  <c:v>4</c:v>
                </c:pt>
                <c:pt idx="4">
                  <c:v>12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4B-4820-A0ED-9683732023FE}"/>
            </c:ext>
          </c:extLst>
        </c:ser>
        <c:ser>
          <c:idx val="1"/>
          <c:order val="1"/>
          <c:tx>
            <c:strRef>
              <c:f>차트작업!$B$6</c:f>
              <c:strCache>
                <c:ptCount val="1"/>
                <c:pt idx="0">
                  <c:v>철  원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차트작업!$C$4:$H$4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차트작업!$C$6:$H$6</c:f>
              <c:numCache>
                <c:formatCode>General</c:formatCode>
                <c:ptCount val="6"/>
                <c:pt idx="0">
                  <c:v>17</c:v>
                </c:pt>
                <c:pt idx="1">
                  <c:v>31</c:v>
                </c:pt>
                <c:pt idx="2">
                  <c:v>5</c:v>
                </c:pt>
                <c:pt idx="3">
                  <c:v>-8</c:v>
                </c:pt>
                <c:pt idx="4">
                  <c:v>6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4B-4820-A0ED-9683732023FE}"/>
            </c:ext>
          </c:extLst>
        </c:ser>
        <c:ser>
          <c:idx val="2"/>
          <c:order val="2"/>
          <c:tx>
            <c:strRef>
              <c:f>차트작업!$B$7</c:f>
              <c:strCache>
                <c:ptCount val="1"/>
                <c:pt idx="0">
                  <c:v>대관령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차트작업!$C$4:$H$4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차트작업!$C$7:$H$7</c:f>
              <c:numCache>
                <c:formatCode>General</c:formatCode>
                <c:ptCount val="6"/>
                <c:pt idx="0">
                  <c:v>24</c:v>
                </c:pt>
                <c:pt idx="1">
                  <c:v>40</c:v>
                </c:pt>
                <c:pt idx="2">
                  <c:v>16</c:v>
                </c:pt>
                <c:pt idx="3">
                  <c:v>-1</c:v>
                </c:pt>
                <c:pt idx="4">
                  <c:v>5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4B-4820-A0ED-9683732023FE}"/>
            </c:ext>
          </c:extLst>
        </c:ser>
        <c:ser>
          <c:idx val="3"/>
          <c:order val="3"/>
          <c:tx>
            <c:strRef>
              <c:f>차트작업!$B$8</c:f>
              <c:strCache>
                <c:ptCount val="1"/>
                <c:pt idx="0">
                  <c:v>춘  천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차트작업!$C$4:$H$4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차트작업!$C$8:$H$8</c:f>
              <c:numCache>
                <c:formatCode>General</c:formatCode>
                <c:ptCount val="6"/>
                <c:pt idx="0">
                  <c:v>21</c:v>
                </c:pt>
                <c:pt idx="1">
                  <c:v>33</c:v>
                </c:pt>
                <c:pt idx="2">
                  <c:v>7</c:v>
                </c:pt>
                <c:pt idx="3">
                  <c:v>-7</c:v>
                </c:pt>
                <c:pt idx="4">
                  <c:v>8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4B-4820-A0ED-968373202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50"/>
        <c:axId val="1991842272"/>
        <c:axId val="1991828544"/>
      </c:barChart>
      <c:lineChart>
        <c:grouping val="standard"/>
        <c:varyColors val="0"/>
        <c:ser>
          <c:idx val="4"/>
          <c:order val="4"/>
          <c:tx>
            <c:strRef>
              <c:f>차트작업!$B$9</c:f>
              <c:strCache>
                <c:ptCount val="1"/>
                <c:pt idx="0">
                  <c:v>강  릉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차트작업!$C$4:$H$4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차트작업!$C$9:$H$9</c:f>
              <c:numCache>
                <c:formatCode>General</c:formatCode>
                <c:ptCount val="6"/>
                <c:pt idx="0">
                  <c:v>25</c:v>
                </c:pt>
                <c:pt idx="1">
                  <c:v>41</c:v>
                </c:pt>
                <c:pt idx="2">
                  <c:v>11</c:v>
                </c:pt>
                <c:pt idx="3">
                  <c:v>-4</c:v>
                </c:pt>
                <c:pt idx="4">
                  <c:v>7</c:v>
                </c:pt>
                <c:pt idx="5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F4B-4820-A0ED-968373202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1842272"/>
        <c:axId val="1991828544"/>
      </c:lineChart>
      <c:catAx>
        <c:axId val="1991842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91828544"/>
        <c:crosses val="autoZero"/>
        <c:auto val="1"/>
        <c:lblAlgn val="ctr"/>
        <c:lblOffset val="100"/>
        <c:noMultiLvlLbl val="0"/>
      </c:catAx>
      <c:valAx>
        <c:axId val="1991828544"/>
        <c:scaling>
          <c:orientation val="minMax"/>
          <c:max val="45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918422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14</xdr:col>
      <xdr:colOff>0</xdr:colOff>
      <xdr:row>36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12700</xdr:colOff>
          <xdr:row>4</xdr:row>
          <xdr:rowOff>88900</xdr:rowOff>
        </xdr:to>
        <xdr:sp macro="" textlink="">
          <xdr:nvSpPr>
            <xdr:cNvPr id="7169" name="Cmd렌탈입력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035.554062499999" createdVersion="6" refreshedVersion="6" minRefreshableVersion="3" recordCount="31">
  <cacheSource type="external" connectionId="1"/>
  <cacheFields count="4">
    <cacheField name="물품명" numFmtId="0" sqlType="-9">
      <sharedItems count="2">
        <s v="로션"/>
        <s v="향수"/>
      </sharedItems>
    </cacheField>
    <cacheField name="거래구분" numFmtId="0" sqlType="-9">
      <sharedItems count="4">
        <s v="카드"/>
        <s v="현금"/>
        <s v="쿠폰"/>
        <s v="포인트"/>
      </sharedItems>
    </cacheField>
    <cacheField name="금액" numFmtId="0" sqlType="4">
      <sharedItems containsSemiMixedTypes="0" containsString="0" containsNumber="1" containsInteger="1" minValue="0" maxValue="60000" count="16">
        <n v="500"/>
        <n v="200"/>
        <n v="100"/>
        <n v="1000"/>
        <n v="10000"/>
        <n v="2000"/>
        <n v="1500"/>
        <n v="600"/>
        <n v="50"/>
        <n v="0"/>
        <n v="30"/>
        <n v="20000"/>
        <n v="40000"/>
        <n v="30000"/>
        <n v="60000"/>
        <n v="8000"/>
      </sharedItems>
    </cacheField>
    <cacheField name="포인트" numFmtId="0" sqlType="4">
      <sharedItems containsSemiMixedTypes="0" containsString="0" containsNumber="1" containsInteger="1" minValue="-200" maxValue="100" count="15">
        <n v="5"/>
        <n v="2"/>
        <n v="1"/>
        <n v="10"/>
        <n v="100"/>
        <n v="20"/>
        <n v="15"/>
        <n v="6"/>
        <n v="0"/>
        <n v="3"/>
        <n v="40"/>
        <n v="30"/>
        <n v="-200"/>
        <n v="60"/>
        <n v="8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x v="0"/>
    <x v="0"/>
    <x v="0"/>
    <x v="0"/>
  </r>
  <r>
    <x v="1"/>
    <x v="0"/>
    <x v="1"/>
    <x v="1"/>
  </r>
  <r>
    <x v="1"/>
    <x v="0"/>
    <x v="2"/>
    <x v="2"/>
  </r>
  <r>
    <x v="0"/>
    <x v="1"/>
    <x v="3"/>
    <x v="3"/>
  </r>
  <r>
    <x v="0"/>
    <x v="1"/>
    <x v="4"/>
    <x v="4"/>
  </r>
  <r>
    <x v="1"/>
    <x v="1"/>
    <x v="5"/>
    <x v="5"/>
  </r>
  <r>
    <x v="1"/>
    <x v="1"/>
    <x v="6"/>
    <x v="6"/>
  </r>
  <r>
    <x v="1"/>
    <x v="1"/>
    <x v="5"/>
    <x v="5"/>
  </r>
  <r>
    <x v="1"/>
    <x v="0"/>
    <x v="7"/>
    <x v="7"/>
  </r>
  <r>
    <x v="1"/>
    <x v="0"/>
    <x v="8"/>
    <x v="0"/>
  </r>
  <r>
    <x v="1"/>
    <x v="0"/>
    <x v="9"/>
    <x v="8"/>
  </r>
  <r>
    <x v="1"/>
    <x v="0"/>
    <x v="10"/>
    <x v="9"/>
  </r>
  <r>
    <x v="1"/>
    <x v="0"/>
    <x v="3"/>
    <x v="3"/>
  </r>
  <r>
    <x v="1"/>
    <x v="2"/>
    <x v="9"/>
    <x v="8"/>
  </r>
  <r>
    <x v="1"/>
    <x v="1"/>
    <x v="11"/>
    <x v="5"/>
  </r>
  <r>
    <x v="1"/>
    <x v="1"/>
    <x v="12"/>
    <x v="10"/>
  </r>
  <r>
    <x v="1"/>
    <x v="1"/>
    <x v="13"/>
    <x v="11"/>
  </r>
  <r>
    <x v="1"/>
    <x v="2"/>
    <x v="4"/>
    <x v="8"/>
  </r>
  <r>
    <x v="1"/>
    <x v="0"/>
    <x v="4"/>
    <x v="3"/>
  </r>
  <r>
    <x v="0"/>
    <x v="0"/>
    <x v="4"/>
    <x v="3"/>
  </r>
  <r>
    <x v="1"/>
    <x v="3"/>
    <x v="9"/>
    <x v="12"/>
  </r>
  <r>
    <x v="0"/>
    <x v="0"/>
    <x v="12"/>
    <x v="10"/>
  </r>
  <r>
    <x v="1"/>
    <x v="1"/>
    <x v="14"/>
    <x v="13"/>
  </r>
  <r>
    <x v="1"/>
    <x v="1"/>
    <x v="1"/>
    <x v="1"/>
  </r>
  <r>
    <x v="1"/>
    <x v="1"/>
    <x v="4"/>
    <x v="3"/>
  </r>
  <r>
    <x v="1"/>
    <x v="0"/>
    <x v="4"/>
    <x v="3"/>
  </r>
  <r>
    <x v="1"/>
    <x v="0"/>
    <x v="2"/>
    <x v="2"/>
  </r>
  <r>
    <x v="1"/>
    <x v="0"/>
    <x v="7"/>
    <x v="7"/>
  </r>
  <r>
    <x v="0"/>
    <x v="0"/>
    <x v="15"/>
    <x v="14"/>
  </r>
  <r>
    <x v="1"/>
    <x v="0"/>
    <x v="5"/>
    <x v="5"/>
  </r>
  <r>
    <x v="1"/>
    <x v="1"/>
    <x v="9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multipleFieldFilters="0" fieldListSortAscending="1">
  <location ref="B3:F12" firstHeaderRow="0" firstDataRow="1" firstDataCol="2"/>
  <pivotFields count="4">
    <pivotField axis="axisRow" compact="0" outline="0" showAll="0">
      <items count="3">
        <item x="0"/>
        <item x="1"/>
        <item t="default"/>
      </items>
    </pivotField>
    <pivotField axis="axisRow" compact="0" outline="0" showAll="0">
      <items count="5">
        <item x="0"/>
        <item x="2"/>
        <item x="3"/>
        <item x="1"/>
        <item t="default"/>
      </items>
    </pivotField>
    <pivotField dataField="1" compact="0" outline="0" showAll="0"/>
    <pivotField dataField="1" compact="0" outline="0" showAll="0"/>
  </pivotFields>
  <rowFields count="2">
    <field x="0"/>
    <field x="1"/>
  </rowFields>
  <rowItems count="9">
    <i>
      <x/>
      <x/>
    </i>
    <i r="1">
      <x v="3"/>
    </i>
    <i t="default">
      <x/>
    </i>
    <i>
      <x v="1"/>
      <x/>
    </i>
    <i r="1">
      <x v="1"/>
    </i>
    <i r="1">
      <x v="2"/>
    </i>
    <i r="1">
      <x v="3"/>
    </i>
    <i t="default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합계 : 금액" fld="2" baseField="1" baseItem="0" numFmtId="179"/>
    <dataField name="합계 : 포인트" fld="3" baseField="0" baseItem="0"/>
    <dataField name="금액비율" fld="2" showDataAs="percentOfCol" baseField="1" baseItem="0" numFmtId="10"/>
  </dataField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S Access Database_Query_1" connectionId="2" autoFormatId="16" applyNumberFormats="0" applyBorderFormats="0" applyFontFormats="1" applyPatternFormats="1" applyAlignmentFormats="0" applyWidthHeightFormats="0">
  <queryTableRefresh nextId="11">
    <queryTableFields count="8">
      <queryTableField id="1" name="등록번호"/>
      <queryTableField id="2" name="모델"/>
      <queryTableField id="4" name="기어"/>
      <queryTableField id="5" name="주행거리"/>
      <queryTableField id="6" name="가격"/>
      <queryTableField id="7" name="지역"/>
      <queryTableField id="9" name="업체"/>
      <queryTableField id="10" name="등록일"/>
    </queryTableFields>
    <queryTableDeletedFields count="2">
      <deletedField name="연식"/>
      <deletedField name="상태"/>
    </queryTableDeletedFields>
    <sortState ref="B4:I36">
      <sortCondition ref="F3"/>
    </sortState>
  </queryTableRefresh>
</queryTable>
</file>

<file path=xl/queryTables/queryTable2.xml><?xml version="1.0" encoding="utf-8"?>
<queryTable xmlns="http://schemas.openxmlformats.org/spreadsheetml/2006/main" name="MS Access Database_Query_1" connectionId="2" autoFormatId="16" applyNumberFormats="0" applyBorderFormats="0" applyFontFormats="1" applyPatternFormats="1" applyAlignmentFormats="0" applyWidthHeightFormats="0">
  <queryTableRefresh nextId="11">
    <queryTableFields count="8">
      <queryTableField id="1" name="등록번호"/>
      <queryTableField id="2" name="모델"/>
      <queryTableField id="4" name="기어"/>
      <queryTableField id="5" name="주행거리"/>
      <queryTableField id="6" name="가격"/>
      <queryTableField id="7" name="지역"/>
      <queryTableField id="9" name="업체"/>
      <queryTableField id="10" name="등록일"/>
    </queryTableFields>
    <queryTableDeletedFields count="2">
      <deletedField name="연식"/>
      <deletedField name="상태"/>
    </queryTableDeletedFields>
    <sortState ref="B4:I36">
      <sortCondition ref="F3"/>
    </sortState>
  </queryTableRefresh>
</queryTable>
</file>

<file path=xl/queryTables/queryTable3.xml><?xml version="1.0" encoding="utf-8"?>
<queryTable xmlns="http://schemas.openxmlformats.org/spreadsheetml/2006/main" name="MS Access Database_Query_1" connectionId="3" autoFormatId="16" applyNumberFormats="0" applyBorderFormats="0" applyFontFormats="1" applyPatternFormats="1" applyAlignmentFormats="0" applyWidthHeightFormats="0">
  <queryTableRefresh nextId="11">
    <queryTableFields count="6">
      <queryTableField id="4" name="거래구분"/>
      <queryTableField id="5" name="상품명"/>
      <queryTableField id="6" name="주문수량"/>
      <queryTableField id="7" name="판매수량"/>
      <queryTableField id="8" name="가격"/>
      <queryTableField id="9" name="포인트"/>
    </queryTableFields>
    <queryTableDeletedFields count="4">
      <deletedField name="주문순서"/>
      <deletedField name="주문일자"/>
      <deletedField name="주문코드"/>
      <deletedField name="비고"/>
    </queryTableDeleted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I57"/>
  <sheetViews>
    <sheetView tabSelected="1" workbookViewId="0"/>
  </sheetViews>
  <sheetFormatPr defaultRowHeight="17"/>
  <cols>
    <col min="5" max="5" width="9.83203125" customWidth="1"/>
    <col min="6" max="6" width="9.75" customWidth="1"/>
    <col min="7" max="7" width="11.4140625" bestFit="1" customWidth="1"/>
    <col min="8" max="8" width="9.4140625" customWidth="1"/>
    <col min="9" max="9" width="12.75" customWidth="1"/>
  </cols>
  <sheetData>
    <row r="2" spans="2:9">
      <c r="B2" s="1" t="s">
        <v>0</v>
      </c>
      <c r="C2" s="1" t="s">
        <v>1</v>
      </c>
      <c r="D2" s="1" t="s">
        <v>2</v>
      </c>
      <c r="E2" s="2" t="s">
        <v>3</v>
      </c>
      <c r="F2" s="2" t="s">
        <v>4</v>
      </c>
      <c r="G2" s="1" t="s">
        <v>5</v>
      </c>
      <c r="H2" s="1" t="s">
        <v>6</v>
      </c>
      <c r="I2" s="1" t="s">
        <v>7</v>
      </c>
    </row>
    <row r="3" spans="2:9">
      <c r="B3" s="3">
        <v>7</v>
      </c>
      <c r="C3" s="3" t="s">
        <v>8</v>
      </c>
      <c r="D3" s="3" t="s">
        <v>9</v>
      </c>
      <c r="E3" s="4">
        <v>98000</v>
      </c>
      <c r="F3" s="4">
        <v>380</v>
      </c>
      <c r="G3" s="3" t="s">
        <v>10</v>
      </c>
      <c r="H3" s="3" t="s">
        <v>11</v>
      </c>
      <c r="I3" s="5">
        <v>44585</v>
      </c>
    </row>
    <row r="4" spans="2:9">
      <c r="B4" s="3">
        <v>5</v>
      </c>
      <c r="C4" s="3" t="s">
        <v>12</v>
      </c>
      <c r="D4" s="3" t="s">
        <v>13</v>
      </c>
      <c r="E4" s="4">
        <v>80000</v>
      </c>
      <c r="F4" s="4">
        <v>380</v>
      </c>
      <c r="G4" s="3" t="s">
        <v>14</v>
      </c>
      <c r="H4" s="3" t="s">
        <v>11</v>
      </c>
      <c r="I4" s="5">
        <v>44583</v>
      </c>
    </row>
    <row r="5" spans="2:9">
      <c r="B5" s="3">
        <v>8</v>
      </c>
      <c r="C5" s="3" t="s">
        <v>12</v>
      </c>
      <c r="D5" s="3" t="s">
        <v>13</v>
      </c>
      <c r="E5" s="4">
        <v>74000</v>
      </c>
      <c r="F5" s="4">
        <v>400</v>
      </c>
      <c r="G5" s="3" t="s">
        <v>15</v>
      </c>
      <c r="H5" s="3" t="s">
        <v>11</v>
      </c>
      <c r="I5" s="5">
        <v>44586</v>
      </c>
    </row>
    <row r="6" spans="2:9">
      <c r="B6" s="3">
        <v>3</v>
      </c>
      <c r="C6" s="3" t="s">
        <v>12</v>
      </c>
      <c r="D6" s="3" t="s">
        <v>9</v>
      </c>
      <c r="E6" s="4">
        <v>130000</v>
      </c>
      <c r="F6" s="4">
        <v>410</v>
      </c>
      <c r="G6" s="3" t="s">
        <v>16</v>
      </c>
      <c r="H6" s="3" t="s">
        <v>17</v>
      </c>
      <c r="I6" s="5">
        <v>44581</v>
      </c>
    </row>
    <row r="7" spans="2:9">
      <c r="B7" s="3">
        <v>9</v>
      </c>
      <c r="C7" s="3" t="s">
        <v>8</v>
      </c>
      <c r="D7" s="3" t="s">
        <v>9</v>
      </c>
      <c r="E7" s="4">
        <v>100000</v>
      </c>
      <c r="F7" s="4">
        <v>440</v>
      </c>
      <c r="G7" s="3" t="s">
        <v>18</v>
      </c>
      <c r="H7" s="3" t="s">
        <v>11</v>
      </c>
      <c r="I7" s="5">
        <v>44587</v>
      </c>
    </row>
    <row r="8" spans="2:9">
      <c r="B8" s="3">
        <v>1</v>
      </c>
      <c r="C8" s="3" t="s">
        <v>8</v>
      </c>
      <c r="D8" s="3" t="s">
        <v>13</v>
      </c>
      <c r="E8" s="4">
        <v>122380</v>
      </c>
      <c r="F8" s="4">
        <v>450</v>
      </c>
      <c r="G8" s="3" t="s">
        <v>16</v>
      </c>
      <c r="H8" s="3" t="s">
        <v>11</v>
      </c>
      <c r="I8" s="5">
        <v>44579</v>
      </c>
    </row>
    <row r="9" spans="2:9">
      <c r="B9" s="3">
        <v>4</v>
      </c>
      <c r="C9" s="3" t="s">
        <v>12</v>
      </c>
      <c r="D9" s="3" t="s">
        <v>13</v>
      </c>
      <c r="E9" s="4">
        <v>110000</v>
      </c>
      <c r="F9" s="4">
        <v>460</v>
      </c>
      <c r="G9" s="3" t="s">
        <v>16</v>
      </c>
      <c r="H9" s="3" t="s">
        <v>11</v>
      </c>
      <c r="I9" s="5">
        <v>44582</v>
      </c>
    </row>
    <row r="10" spans="2:9">
      <c r="B10" s="3">
        <v>6</v>
      </c>
      <c r="C10" s="3" t="s">
        <v>19</v>
      </c>
      <c r="D10" s="3" t="s">
        <v>13</v>
      </c>
      <c r="E10" s="4">
        <v>120700</v>
      </c>
      <c r="F10" s="4">
        <v>480</v>
      </c>
      <c r="G10" s="3" t="s">
        <v>14</v>
      </c>
      <c r="H10" s="3" t="s">
        <v>17</v>
      </c>
      <c r="I10" s="5">
        <v>44584</v>
      </c>
    </row>
    <row r="11" spans="2:9">
      <c r="B11" s="3">
        <v>12</v>
      </c>
      <c r="C11" s="3" t="s">
        <v>8</v>
      </c>
      <c r="D11" s="3" t="s">
        <v>13</v>
      </c>
      <c r="E11" s="4">
        <v>90000</v>
      </c>
      <c r="F11" s="4">
        <v>500</v>
      </c>
      <c r="G11" s="3" t="s">
        <v>16</v>
      </c>
      <c r="H11" s="3" t="s">
        <v>17</v>
      </c>
      <c r="I11" s="5">
        <v>44590</v>
      </c>
    </row>
    <row r="12" spans="2:9">
      <c r="B12" s="3">
        <v>13</v>
      </c>
      <c r="C12" s="3" t="s">
        <v>12</v>
      </c>
      <c r="D12" s="3" t="s">
        <v>13</v>
      </c>
      <c r="E12" s="4">
        <v>51000</v>
      </c>
      <c r="F12" s="4">
        <v>500</v>
      </c>
      <c r="G12" s="3" t="s">
        <v>16</v>
      </c>
      <c r="H12" s="3" t="s">
        <v>17</v>
      </c>
      <c r="I12" s="5">
        <v>44591</v>
      </c>
    </row>
    <row r="13" spans="2:9">
      <c r="B13" s="3">
        <v>14</v>
      </c>
      <c r="C13" s="3" t="s">
        <v>8</v>
      </c>
      <c r="D13" s="3" t="s">
        <v>13</v>
      </c>
      <c r="E13" s="4">
        <v>65000</v>
      </c>
      <c r="F13" s="4">
        <v>530</v>
      </c>
      <c r="G13" s="3" t="s">
        <v>16</v>
      </c>
      <c r="H13" s="3" t="s">
        <v>17</v>
      </c>
      <c r="I13" s="5">
        <v>44592</v>
      </c>
    </row>
    <row r="14" spans="2:9">
      <c r="B14" s="3">
        <v>11</v>
      </c>
      <c r="C14" s="3" t="s">
        <v>8</v>
      </c>
      <c r="D14" s="3" t="s">
        <v>13</v>
      </c>
      <c r="E14" s="4">
        <v>45000</v>
      </c>
      <c r="F14" s="4">
        <v>540</v>
      </c>
      <c r="G14" s="3" t="s">
        <v>16</v>
      </c>
      <c r="H14" s="3" t="s">
        <v>20</v>
      </c>
      <c r="I14" s="5">
        <v>44589</v>
      </c>
    </row>
    <row r="15" spans="2:9">
      <c r="B15" s="3">
        <v>2</v>
      </c>
      <c r="C15" s="3" t="s">
        <v>12</v>
      </c>
      <c r="D15" s="3" t="s">
        <v>13</v>
      </c>
      <c r="E15" s="4">
        <v>130000</v>
      </c>
      <c r="F15" s="4">
        <v>550</v>
      </c>
      <c r="G15" s="3" t="s">
        <v>21</v>
      </c>
      <c r="H15" s="3" t="s">
        <v>11</v>
      </c>
      <c r="I15" s="5">
        <v>44580</v>
      </c>
    </row>
    <row r="16" spans="2:9">
      <c r="B16" s="3">
        <v>17</v>
      </c>
      <c r="C16" s="3" t="s">
        <v>8</v>
      </c>
      <c r="D16" s="3" t="s">
        <v>13</v>
      </c>
      <c r="E16" s="4">
        <v>29300</v>
      </c>
      <c r="F16" s="4">
        <v>550</v>
      </c>
      <c r="G16" s="3" t="s">
        <v>14</v>
      </c>
      <c r="H16" s="3" t="s">
        <v>20</v>
      </c>
      <c r="I16" s="5">
        <v>44595</v>
      </c>
    </row>
    <row r="17" spans="2:9">
      <c r="B17" s="3">
        <v>15</v>
      </c>
      <c r="C17" s="3" t="s">
        <v>12</v>
      </c>
      <c r="D17" s="3" t="s">
        <v>13</v>
      </c>
      <c r="E17" s="4">
        <v>35000</v>
      </c>
      <c r="F17" s="4">
        <v>610</v>
      </c>
      <c r="G17" s="3" t="s">
        <v>21</v>
      </c>
      <c r="H17" s="3" t="s">
        <v>17</v>
      </c>
      <c r="I17" s="5">
        <v>44593</v>
      </c>
    </row>
    <row r="18" spans="2:9">
      <c r="B18" s="3">
        <v>16</v>
      </c>
      <c r="C18" s="3" t="s">
        <v>19</v>
      </c>
      <c r="D18" s="3" t="s">
        <v>13</v>
      </c>
      <c r="E18" s="4">
        <v>30000</v>
      </c>
      <c r="F18" s="4">
        <v>620</v>
      </c>
      <c r="G18" s="3" t="s">
        <v>14</v>
      </c>
      <c r="H18" s="3" t="s">
        <v>20</v>
      </c>
      <c r="I18" s="5">
        <v>44594</v>
      </c>
    </row>
    <row r="19" spans="2:9">
      <c r="B19" s="3">
        <v>10</v>
      </c>
      <c r="C19" s="3" t="s">
        <v>19</v>
      </c>
      <c r="D19" s="3" t="s">
        <v>13</v>
      </c>
      <c r="E19" s="4">
        <v>20000</v>
      </c>
      <c r="F19" s="4">
        <v>650</v>
      </c>
      <c r="G19" s="3" t="s">
        <v>16</v>
      </c>
      <c r="H19" s="3" t="s">
        <v>11</v>
      </c>
      <c r="I19" s="5">
        <v>44588</v>
      </c>
    </row>
    <row r="20" spans="2:9">
      <c r="B20" s="3">
        <v>20</v>
      </c>
      <c r="C20" s="3" t="s">
        <v>22</v>
      </c>
      <c r="D20" s="3" t="s">
        <v>13</v>
      </c>
      <c r="E20" s="4">
        <v>20000</v>
      </c>
      <c r="F20" s="4">
        <v>670</v>
      </c>
      <c r="G20" s="3" t="s">
        <v>23</v>
      </c>
      <c r="H20" s="3" t="s">
        <v>11</v>
      </c>
      <c r="I20" s="5">
        <v>44598</v>
      </c>
    </row>
    <row r="21" spans="2:9">
      <c r="B21" s="3">
        <v>18</v>
      </c>
      <c r="C21" s="3" t="s">
        <v>24</v>
      </c>
      <c r="D21" s="3" t="s">
        <v>13</v>
      </c>
      <c r="E21" s="4">
        <v>39000</v>
      </c>
      <c r="F21" s="4">
        <v>799</v>
      </c>
      <c r="G21" s="3" t="s">
        <v>18</v>
      </c>
      <c r="H21" s="3" t="s">
        <v>17</v>
      </c>
      <c r="I21" s="5">
        <v>44596</v>
      </c>
    </row>
    <row r="22" spans="2:9">
      <c r="B22" s="3">
        <v>29</v>
      </c>
      <c r="C22" s="3" t="s">
        <v>24</v>
      </c>
      <c r="D22" s="3" t="s">
        <v>9</v>
      </c>
      <c r="E22" s="4">
        <v>20000</v>
      </c>
      <c r="F22" s="4">
        <v>800</v>
      </c>
      <c r="G22" s="3" t="s">
        <v>15</v>
      </c>
      <c r="H22" s="3" t="s">
        <v>17</v>
      </c>
      <c r="I22" s="5">
        <v>44607</v>
      </c>
    </row>
    <row r="23" spans="2:9">
      <c r="B23" s="3">
        <v>31</v>
      </c>
      <c r="C23" s="3" t="s">
        <v>22</v>
      </c>
      <c r="D23" s="3" t="s">
        <v>13</v>
      </c>
      <c r="E23" s="4">
        <v>30000</v>
      </c>
      <c r="F23" s="4">
        <v>850</v>
      </c>
      <c r="G23" s="3" t="s">
        <v>16</v>
      </c>
      <c r="H23" s="3" t="s">
        <v>17</v>
      </c>
      <c r="I23" s="5">
        <v>44609</v>
      </c>
    </row>
    <row r="24" spans="2:9">
      <c r="B24" s="3">
        <v>24</v>
      </c>
      <c r="C24" s="3" t="s">
        <v>24</v>
      </c>
      <c r="D24" s="3" t="s">
        <v>9</v>
      </c>
      <c r="E24" s="4">
        <v>30000</v>
      </c>
      <c r="F24" s="4">
        <v>890</v>
      </c>
      <c r="G24" s="3" t="s">
        <v>16</v>
      </c>
      <c r="H24" s="3" t="s">
        <v>11</v>
      </c>
      <c r="I24" s="5">
        <v>44602</v>
      </c>
    </row>
    <row r="25" spans="2:9">
      <c r="B25" s="3">
        <v>19</v>
      </c>
      <c r="C25" s="3" t="s">
        <v>24</v>
      </c>
      <c r="D25" s="3" t="s">
        <v>13</v>
      </c>
      <c r="E25" s="4">
        <v>15000</v>
      </c>
      <c r="F25" s="4">
        <v>898</v>
      </c>
      <c r="G25" s="3" t="s">
        <v>21</v>
      </c>
      <c r="H25" s="3" t="s">
        <v>17</v>
      </c>
      <c r="I25" s="5">
        <v>44597</v>
      </c>
    </row>
    <row r="26" spans="2:9">
      <c r="B26" s="3">
        <v>25</v>
      </c>
      <c r="C26" s="3" t="s">
        <v>22</v>
      </c>
      <c r="D26" s="3" t="s">
        <v>13</v>
      </c>
      <c r="E26" s="4">
        <v>36000</v>
      </c>
      <c r="F26" s="4">
        <v>910</v>
      </c>
      <c r="G26" s="3" t="s">
        <v>16</v>
      </c>
      <c r="H26" s="3" t="s">
        <v>11</v>
      </c>
      <c r="I26" s="5">
        <v>44603</v>
      </c>
    </row>
    <row r="27" spans="2:9">
      <c r="B27" s="3">
        <v>30</v>
      </c>
      <c r="C27" s="3" t="s">
        <v>22</v>
      </c>
      <c r="D27" s="3" t="s">
        <v>13</v>
      </c>
      <c r="E27" s="4">
        <v>30000</v>
      </c>
      <c r="F27" s="4">
        <v>950</v>
      </c>
      <c r="G27" s="3" t="s">
        <v>16</v>
      </c>
      <c r="H27" s="3" t="s">
        <v>17</v>
      </c>
      <c r="I27" s="5">
        <v>44608</v>
      </c>
    </row>
    <row r="28" spans="2:9">
      <c r="B28" s="3">
        <v>32</v>
      </c>
      <c r="C28" s="3" t="s">
        <v>22</v>
      </c>
      <c r="D28" s="3" t="s">
        <v>13</v>
      </c>
      <c r="E28" s="4">
        <v>8000</v>
      </c>
      <c r="F28" s="4">
        <v>990</v>
      </c>
      <c r="G28" s="3" t="s">
        <v>14</v>
      </c>
      <c r="H28" s="3" t="s">
        <v>17</v>
      </c>
      <c r="I28" s="5">
        <v>44610</v>
      </c>
    </row>
    <row r="29" spans="2:9">
      <c r="B29" s="3">
        <v>28</v>
      </c>
      <c r="C29" s="3" t="s">
        <v>22</v>
      </c>
      <c r="D29" s="3" t="s">
        <v>13</v>
      </c>
      <c r="E29" s="4">
        <v>16000</v>
      </c>
      <c r="F29" s="4">
        <v>1000</v>
      </c>
      <c r="G29" s="3" t="s">
        <v>16</v>
      </c>
      <c r="H29" s="3" t="s">
        <v>11</v>
      </c>
      <c r="I29" s="5">
        <v>44606</v>
      </c>
    </row>
    <row r="30" spans="2:9">
      <c r="B30" s="3">
        <v>34</v>
      </c>
      <c r="C30" s="3" t="s">
        <v>22</v>
      </c>
      <c r="D30" s="3" t="s">
        <v>13</v>
      </c>
      <c r="E30" s="4">
        <v>3000</v>
      </c>
      <c r="F30" s="4">
        <v>1010</v>
      </c>
      <c r="G30" s="3" t="s">
        <v>14</v>
      </c>
      <c r="H30" s="3" t="s">
        <v>17</v>
      </c>
      <c r="I30" s="5">
        <v>44612</v>
      </c>
    </row>
    <row r="31" spans="2:9">
      <c r="B31" s="3">
        <v>21</v>
      </c>
      <c r="C31" s="3" t="s">
        <v>24</v>
      </c>
      <c r="D31" s="3" t="s">
        <v>9</v>
      </c>
      <c r="E31" s="4">
        <v>18000</v>
      </c>
      <c r="F31" s="4">
        <v>1030</v>
      </c>
      <c r="G31" s="3" t="s">
        <v>16</v>
      </c>
      <c r="H31" s="3" t="s">
        <v>11</v>
      </c>
      <c r="I31" s="5">
        <v>44599</v>
      </c>
    </row>
    <row r="32" spans="2:9">
      <c r="B32" s="3">
        <v>26</v>
      </c>
      <c r="C32" s="3" t="s">
        <v>24</v>
      </c>
      <c r="D32" s="3" t="s">
        <v>13</v>
      </c>
      <c r="E32" s="4">
        <v>18000</v>
      </c>
      <c r="F32" s="4">
        <v>1030</v>
      </c>
      <c r="G32" s="3" t="s">
        <v>16</v>
      </c>
      <c r="H32" s="3" t="s">
        <v>17</v>
      </c>
      <c r="I32" s="5">
        <v>44604</v>
      </c>
    </row>
    <row r="33" spans="2:9">
      <c r="B33" s="3">
        <v>27</v>
      </c>
      <c r="C33" s="3" t="s">
        <v>22</v>
      </c>
      <c r="D33" s="3" t="s">
        <v>13</v>
      </c>
      <c r="E33" s="4">
        <v>10000</v>
      </c>
      <c r="F33" s="4">
        <v>1090</v>
      </c>
      <c r="G33" s="3" t="s">
        <v>16</v>
      </c>
      <c r="H33" s="3" t="s">
        <v>17</v>
      </c>
      <c r="I33" s="5">
        <v>44605</v>
      </c>
    </row>
    <row r="34" spans="2:9">
      <c r="B34" s="3">
        <v>22</v>
      </c>
      <c r="C34" s="3" t="s">
        <v>22</v>
      </c>
      <c r="D34" s="3" t="s">
        <v>13</v>
      </c>
      <c r="E34" s="4">
        <v>34000</v>
      </c>
      <c r="F34" s="4">
        <v>1100</v>
      </c>
      <c r="G34" s="3" t="s">
        <v>14</v>
      </c>
      <c r="H34" s="3" t="s">
        <v>17</v>
      </c>
      <c r="I34" s="5">
        <v>44600</v>
      </c>
    </row>
    <row r="35" spans="2:9">
      <c r="B35" s="3">
        <v>33</v>
      </c>
      <c r="C35" s="3" t="s">
        <v>22</v>
      </c>
      <c r="D35" s="3" t="s">
        <v>13</v>
      </c>
      <c r="E35" s="4">
        <v>1200</v>
      </c>
      <c r="F35" s="4">
        <v>1130</v>
      </c>
      <c r="G35" s="3" t="s">
        <v>14</v>
      </c>
      <c r="H35" s="3" t="s">
        <v>17</v>
      </c>
      <c r="I35" s="5">
        <v>44611</v>
      </c>
    </row>
    <row r="36" spans="2:9">
      <c r="B36" s="3">
        <v>23</v>
      </c>
      <c r="C36" s="3" t="s">
        <v>24</v>
      </c>
      <c r="D36" s="3" t="s">
        <v>13</v>
      </c>
      <c r="E36" s="4">
        <v>10000</v>
      </c>
      <c r="F36" s="4">
        <v>1200</v>
      </c>
      <c r="G36" s="3" t="s">
        <v>14</v>
      </c>
      <c r="H36" s="3" t="s">
        <v>11</v>
      </c>
      <c r="I36" s="5">
        <v>44601</v>
      </c>
    </row>
    <row r="38" spans="2:9">
      <c r="B38" t="s">
        <v>168</v>
      </c>
    </row>
    <row r="39" spans="2:9">
      <c r="B39" t="b">
        <f>OR(AND(D3="향수",E3&lt;=50000,F3&gt;=800,F3&lt;=1000),G3="서울")</f>
        <v>0</v>
      </c>
    </row>
    <row r="43" spans="2:9">
      <c r="B43" s="1" t="s">
        <v>0</v>
      </c>
      <c r="C43" s="1" t="s">
        <v>2</v>
      </c>
      <c r="D43" s="2" t="s">
        <v>3</v>
      </c>
      <c r="E43" s="2" t="s">
        <v>4</v>
      </c>
      <c r="F43" s="1" t="s">
        <v>5</v>
      </c>
      <c r="G43" s="1" t="s">
        <v>7</v>
      </c>
    </row>
    <row r="44" spans="2:9">
      <c r="B44" s="3">
        <v>5</v>
      </c>
      <c r="C44" s="3" t="s">
        <v>13</v>
      </c>
      <c r="D44" s="4">
        <v>80000</v>
      </c>
      <c r="E44" s="4">
        <v>380</v>
      </c>
      <c r="F44" s="3" t="s">
        <v>14</v>
      </c>
      <c r="G44" s="5">
        <v>44583</v>
      </c>
    </row>
    <row r="45" spans="2:9">
      <c r="B45" s="3">
        <v>6</v>
      </c>
      <c r="C45" s="3" t="s">
        <v>13</v>
      </c>
      <c r="D45" s="4">
        <v>120700</v>
      </c>
      <c r="E45" s="4">
        <v>480</v>
      </c>
      <c r="F45" s="3" t="s">
        <v>14</v>
      </c>
      <c r="G45" s="5">
        <v>44584</v>
      </c>
    </row>
    <row r="46" spans="2:9">
      <c r="B46" s="3">
        <v>17</v>
      </c>
      <c r="C46" s="3" t="s">
        <v>13</v>
      </c>
      <c r="D46" s="4">
        <v>29300</v>
      </c>
      <c r="E46" s="4">
        <v>550</v>
      </c>
      <c r="F46" s="3" t="s">
        <v>14</v>
      </c>
      <c r="G46" s="5">
        <v>44595</v>
      </c>
    </row>
    <row r="47" spans="2:9">
      <c r="B47" s="3">
        <v>16</v>
      </c>
      <c r="C47" s="3" t="s">
        <v>13</v>
      </c>
      <c r="D47" s="4">
        <v>30000</v>
      </c>
      <c r="E47" s="4">
        <v>620</v>
      </c>
      <c r="F47" s="3" t="s">
        <v>14</v>
      </c>
      <c r="G47" s="5">
        <v>44594</v>
      </c>
    </row>
    <row r="48" spans="2:9">
      <c r="B48" s="3">
        <v>31</v>
      </c>
      <c r="C48" s="3" t="s">
        <v>13</v>
      </c>
      <c r="D48" s="4">
        <v>30000</v>
      </c>
      <c r="E48" s="4">
        <v>850</v>
      </c>
      <c r="F48" s="3" t="s">
        <v>16</v>
      </c>
      <c r="G48" s="5">
        <v>44609</v>
      </c>
    </row>
    <row r="49" spans="2:7">
      <c r="B49" s="3">
        <v>19</v>
      </c>
      <c r="C49" s="3" t="s">
        <v>13</v>
      </c>
      <c r="D49" s="4">
        <v>15000</v>
      </c>
      <c r="E49" s="4">
        <v>898</v>
      </c>
      <c r="F49" s="3" t="s">
        <v>21</v>
      </c>
      <c r="G49" s="5">
        <v>44597</v>
      </c>
    </row>
    <row r="50" spans="2:7">
      <c r="B50" s="3">
        <v>25</v>
      </c>
      <c r="C50" s="3" t="s">
        <v>13</v>
      </c>
      <c r="D50" s="4">
        <v>36000</v>
      </c>
      <c r="E50" s="4">
        <v>910</v>
      </c>
      <c r="F50" s="3" t="s">
        <v>16</v>
      </c>
      <c r="G50" s="5">
        <v>44603</v>
      </c>
    </row>
    <row r="51" spans="2:7">
      <c r="B51" s="3">
        <v>30</v>
      </c>
      <c r="C51" s="3" t="s">
        <v>13</v>
      </c>
      <c r="D51" s="4">
        <v>30000</v>
      </c>
      <c r="E51" s="4">
        <v>950</v>
      </c>
      <c r="F51" s="3" t="s">
        <v>16</v>
      </c>
      <c r="G51" s="5">
        <v>44608</v>
      </c>
    </row>
    <row r="52" spans="2:7">
      <c r="B52" s="3">
        <v>32</v>
      </c>
      <c r="C52" s="3" t="s">
        <v>13</v>
      </c>
      <c r="D52" s="4">
        <v>8000</v>
      </c>
      <c r="E52" s="4">
        <v>990</v>
      </c>
      <c r="F52" s="3" t="s">
        <v>14</v>
      </c>
      <c r="G52" s="5">
        <v>44610</v>
      </c>
    </row>
    <row r="53" spans="2:7">
      <c r="B53" s="3">
        <v>28</v>
      </c>
      <c r="C53" s="3" t="s">
        <v>13</v>
      </c>
      <c r="D53" s="4">
        <v>16000</v>
      </c>
      <c r="E53" s="4">
        <v>1000</v>
      </c>
      <c r="F53" s="3" t="s">
        <v>16</v>
      </c>
      <c r="G53" s="5">
        <v>44606</v>
      </c>
    </row>
    <row r="54" spans="2:7">
      <c r="B54" s="3">
        <v>34</v>
      </c>
      <c r="C54" s="3" t="s">
        <v>13</v>
      </c>
      <c r="D54" s="4">
        <v>3000</v>
      </c>
      <c r="E54" s="4">
        <v>1010</v>
      </c>
      <c r="F54" s="3" t="s">
        <v>14</v>
      </c>
      <c r="G54" s="5">
        <v>44612</v>
      </c>
    </row>
    <row r="55" spans="2:7">
      <c r="B55" s="3">
        <v>22</v>
      </c>
      <c r="C55" s="3" t="s">
        <v>13</v>
      </c>
      <c r="D55" s="4">
        <v>34000</v>
      </c>
      <c r="E55" s="4">
        <v>1100</v>
      </c>
      <c r="F55" s="3" t="s">
        <v>14</v>
      </c>
      <c r="G55" s="5">
        <v>44600</v>
      </c>
    </row>
    <row r="56" spans="2:7">
      <c r="B56" s="3">
        <v>33</v>
      </c>
      <c r="C56" s="3" t="s">
        <v>13</v>
      </c>
      <c r="D56" s="4">
        <v>1200</v>
      </c>
      <c r="E56" s="4">
        <v>1130</v>
      </c>
      <c r="F56" s="3" t="s">
        <v>14</v>
      </c>
      <c r="G56" s="5">
        <v>44611</v>
      </c>
    </row>
    <row r="57" spans="2:7">
      <c r="B57" s="3">
        <v>23</v>
      </c>
      <c r="C57" s="3" t="s">
        <v>13</v>
      </c>
      <c r="D57" s="4">
        <v>10000</v>
      </c>
      <c r="E57" s="4">
        <v>1200</v>
      </c>
      <c r="F57" s="3" t="s">
        <v>14</v>
      </c>
      <c r="G57" s="5">
        <v>44601</v>
      </c>
    </row>
  </sheetData>
  <phoneticPr fontId="1" type="noConversion"/>
  <conditionalFormatting sqref="B3:I36">
    <cfRule type="expression" dxfId="0" priority="1">
      <formula>AND($G3="서울",MONTH($I3)=1)</formula>
    </cfRule>
  </conditionalFormatting>
  <pageMargins left="0.70866141732283472" right="0.70866141732283472" top="0.74803149606299213" bottom="0.74803149606299213" header="0.31496062992125984" footer="0.31496062992125984"/>
  <pageSetup paperSize="9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2:I36"/>
  <sheetViews>
    <sheetView workbookViewId="0"/>
  </sheetViews>
  <sheetFormatPr defaultRowHeight="17"/>
  <cols>
    <col min="5" max="5" width="9.83203125" customWidth="1"/>
    <col min="6" max="6" width="9.75" customWidth="1"/>
    <col min="7" max="7" width="11.4140625" bestFit="1" customWidth="1"/>
    <col min="8" max="8" width="9.4140625" customWidth="1"/>
    <col min="9" max="9" width="12.75" customWidth="1"/>
  </cols>
  <sheetData>
    <row r="2" spans="2:9">
      <c r="B2" s="1" t="s">
        <v>0</v>
      </c>
      <c r="C2" s="1" t="s">
        <v>1</v>
      </c>
      <c r="D2" s="1" t="s">
        <v>2</v>
      </c>
      <c r="E2" s="2" t="s">
        <v>3</v>
      </c>
      <c r="F2" s="2" t="s">
        <v>4</v>
      </c>
      <c r="G2" s="1" t="s">
        <v>5</v>
      </c>
      <c r="H2" s="1" t="s">
        <v>6</v>
      </c>
      <c r="I2" s="1" t="s">
        <v>7</v>
      </c>
    </row>
    <row r="3" spans="2:9">
      <c r="B3" s="3">
        <v>7</v>
      </c>
      <c r="C3" s="3" t="s">
        <v>8</v>
      </c>
      <c r="D3" s="3" t="s">
        <v>9</v>
      </c>
      <c r="E3" s="4">
        <v>98000</v>
      </c>
      <c r="F3" s="4">
        <v>380</v>
      </c>
      <c r="G3" s="3" t="s">
        <v>10</v>
      </c>
      <c r="H3" s="3" t="s">
        <v>11</v>
      </c>
      <c r="I3" s="5">
        <v>44585</v>
      </c>
    </row>
    <row r="4" spans="2:9">
      <c r="B4" s="3">
        <v>5</v>
      </c>
      <c r="C4" s="3" t="s">
        <v>8</v>
      </c>
      <c r="D4" s="3" t="s">
        <v>13</v>
      </c>
      <c r="E4" s="4">
        <v>80000</v>
      </c>
      <c r="F4" s="4">
        <v>380</v>
      </c>
      <c r="G4" s="3" t="s">
        <v>14</v>
      </c>
      <c r="H4" s="3" t="s">
        <v>11</v>
      </c>
      <c r="I4" s="5">
        <v>44583</v>
      </c>
    </row>
    <row r="5" spans="2:9">
      <c r="B5" s="3">
        <v>8</v>
      </c>
      <c r="C5" s="3" t="s">
        <v>8</v>
      </c>
      <c r="D5" s="3" t="s">
        <v>13</v>
      </c>
      <c r="E5" s="4">
        <v>74000</v>
      </c>
      <c r="F5" s="4">
        <v>400</v>
      </c>
      <c r="G5" s="3" t="s">
        <v>15</v>
      </c>
      <c r="H5" s="3" t="s">
        <v>11</v>
      </c>
      <c r="I5" s="5">
        <v>44586</v>
      </c>
    </row>
    <row r="6" spans="2:9">
      <c r="B6" s="3">
        <v>3</v>
      </c>
      <c r="C6" s="3" t="s">
        <v>8</v>
      </c>
      <c r="D6" s="3" t="s">
        <v>9</v>
      </c>
      <c r="E6" s="4">
        <v>130000</v>
      </c>
      <c r="F6" s="4">
        <v>410</v>
      </c>
      <c r="G6" s="3" t="s">
        <v>16</v>
      </c>
      <c r="H6" s="3" t="s">
        <v>11</v>
      </c>
      <c r="I6" s="5">
        <v>44581</v>
      </c>
    </row>
    <row r="7" spans="2:9">
      <c r="B7" s="3">
        <v>9</v>
      </c>
      <c r="C7" s="3" t="s">
        <v>8</v>
      </c>
      <c r="D7" s="3" t="s">
        <v>9</v>
      </c>
      <c r="E7" s="4">
        <v>100000</v>
      </c>
      <c r="F7" s="4">
        <v>440</v>
      </c>
      <c r="G7" s="3" t="s">
        <v>18</v>
      </c>
      <c r="H7" s="3" t="s">
        <v>11</v>
      </c>
      <c r="I7" s="5">
        <v>44587</v>
      </c>
    </row>
    <row r="8" spans="2:9">
      <c r="B8" s="3">
        <v>1</v>
      </c>
      <c r="C8" s="3" t="s">
        <v>8</v>
      </c>
      <c r="D8" s="3" t="s">
        <v>13</v>
      </c>
      <c r="E8" s="4">
        <v>122380</v>
      </c>
      <c r="F8" s="4">
        <v>450</v>
      </c>
      <c r="G8" s="3" t="s">
        <v>16</v>
      </c>
      <c r="H8" s="3" t="s">
        <v>11</v>
      </c>
      <c r="I8" s="5">
        <v>44579</v>
      </c>
    </row>
    <row r="9" spans="2:9">
      <c r="B9" s="3">
        <v>4</v>
      </c>
      <c r="C9" s="3" t="s">
        <v>8</v>
      </c>
      <c r="D9" s="3" t="s">
        <v>13</v>
      </c>
      <c r="E9" s="4">
        <v>110000</v>
      </c>
      <c r="F9" s="4">
        <v>460</v>
      </c>
      <c r="G9" s="3" t="s">
        <v>16</v>
      </c>
      <c r="H9" s="3" t="s">
        <v>11</v>
      </c>
      <c r="I9" s="5">
        <v>44582</v>
      </c>
    </row>
    <row r="10" spans="2:9">
      <c r="B10" s="3">
        <v>6</v>
      </c>
      <c r="C10" s="3" t="s">
        <v>8</v>
      </c>
      <c r="D10" s="3" t="s">
        <v>13</v>
      </c>
      <c r="E10" s="4">
        <v>120700</v>
      </c>
      <c r="F10" s="4">
        <v>480</v>
      </c>
      <c r="G10" s="3" t="s">
        <v>14</v>
      </c>
      <c r="H10" s="3" t="s">
        <v>11</v>
      </c>
      <c r="I10" s="5">
        <v>44584</v>
      </c>
    </row>
    <row r="11" spans="2:9">
      <c r="B11" s="3">
        <v>12</v>
      </c>
      <c r="C11" s="3" t="s">
        <v>8</v>
      </c>
      <c r="D11" s="3" t="s">
        <v>13</v>
      </c>
      <c r="E11" s="4">
        <v>90000</v>
      </c>
      <c r="F11" s="4">
        <v>500</v>
      </c>
      <c r="G11" s="3" t="s">
        <v>16</v>
      </c>
      <c r="H11" s="3" t="s">
        <v>11</v>
      </c>
      <c r="I11" s="5">
        <v>44590</v>
      </c>
    </row>
    <row r="12" spans="2:9">
      <c r="B12" s="3">
        <v>13</v>
      </c>
      <c r="C12" s="3" t="s">
        <v>8</v>
      </c>
      <c r="D12" s="3" t="s">
        <v>13</v>
      </c>
      <c r="E12" s="4">
        <v>51000</v>
      </c>
      <c r="F12" s="4">
        <v>500</v>
      </c>
      <c r="G12" s="3" t="s">
        <v>16</v>
      </c>
      <c r="H12" s="3" t="s">
        <v>11</v>
      </c>
      <c r="I12" s="5">
        <v>44591</v>
      </c>
    </row>
    <row r="13" spans="2:9">
      <c r="B13" s="3">
        <v>14</v>
      </c>
      <c r="C13" s="3" t="s">
        <v>8</v>
      </c>
      <c r="D13" s="3" t="s">
        <v>13</v>
      </c>
      <c r="E13" s="4">
        <v>65000</v>
      </c>
      <c r="F13" s="4">
        <v>530</v>
      </c>
      <c r="G13" s="3" t="s">
        <v>16</v>
      </c>
      <c r="H13" s="3" t="s">
        <v>11</v>
      </c>
      <c r="I13" s="5">
        <v>44592</v>
      </c>
    </row>
    <row r="14" spans="2:9">
      <c r="B14" s="3">
        <v>11</v>
      </c>
      <c r="C14" s="3" t="s">
        <v>8</v>
      </c>
      <c r="D14" s="3" t="s">
        <v>13</v>
      </c>
      <c r="E14" s="4">
        <v>45000</v>
      </c>
      <c r="F14" s="4">
        <v>540</v>
      </c>
      <c r="G14" s="3" t="s">
        <v>16</v>
      </c>
      <c r="H14" s="3" t="s">
        <v>11</v>
      </c>
      <c r="I14" s="5">
        <v>44589</v>
      </c>
    </row>
    <row r="15" spans="2:9">
      <c r="B15" s="3">
        <v>2</v>
      </c>
      <c r="C15" s="3" t="s">
        <v>8</v>
      </c>
      <c r="D15" s="3" t="s">
        <v>13</v>
      </c>
      <c r="E15" s="4">
        <v>130000</v>
      </c>
      <c r="F15" s="4">
        <v>550</v>
      </c>
      <c r="G15" s="3" t="s">
        <v>21</v>
      </c>
      <c r="H15" s="3" t="s">
        <v>11</v>
      </c>
      <c r="I15" s="5">
        <v>44580</v>
      </c>
    </row>
    <row r="16" spans="2:9">
      <c r="B16" s="3">
        <v>17</v>
      </c>
      <c r="C16" s="3" t="s">
        <v>8</v>
      </c>
      <c r="D16" s="3" t="s">
        <v>13</v>
      </c>
      <c r="E16" s="4">
        <v>29300</v>
      </c>
      <c r="F16" s="4">
        <v>550</v>
      </c>
      <c r="G16" s="3" t="s">
        <v>14</v>
      </c>
      <c r="H16" s="3" t="s">
        <v>11</v>
      </c>
      <c r="I16" s="5">
        <v>44595</v>
      </c>
    </row>
    <row r="17" spans="2:9">
      <c r="B17" s="3">
        <v>15</v>
      </c>
      <c r="C17" s="3" t="s">
        <v>8</v>
      </c>
      <c r="D17" s="3" t="s">
        <v>13</v>
      </c>
      <c r="E17" s="4">
        <v>35000</v>
      </c>
      <c r="F17" s="4">
        <v>610</v>
      </c>
      <c r="G17" s="3" t="s">
        <v>21</v>
      </c>
      <c r="H17" s="3" t="s">
        <v>11</v>
      </c>
      <c r="I17" s="5">
        <v>44593</v>
      </c>
    </row>
    <row r="18" spans="2:9">
      <c r="B18" s="3">
        <v>16</v>
      </c>
      <c r="C18" s="3" t="s">
        <v>8</v>
      </c>
      <c r="D18" s="3" t="s">
        <v>13</v>
      </c>
      <c r="E18" s="4">
        <v>30000</v>
      </c>
      <c r="F18" s="4">
        <v>620</v>
      </c>
      <c r="G18" s="3" t="s">
        <v>14</v>
      </c>
      <c r="H18" s="3" t="s">
        <v>11</v>
      </c>
      <c r="I18" s="5">
        <v>44594</v>
      </c>
    </row>
    <row r="19" spans="2:9">
      <c r="B19" s="3">
        <v>10</v>
      </c>
      <c r="C19" s="3" t="s">
        <v>8</v>
      </c>
      <c r="D19" s="3" t="s">
        <v>13</v>
      </c>
      <c r="E19" s="4">
        <v>20000</v>
      </c>
      <c r="F19" s="4">
        <v>650</v>
      </c>
      <c r="G19" s="3" t="s">
        <v>16</v>
      </c>
      <c r="H19" s="3" t="s">
        <v>11</v>
      </c>
      <c r="I19" s="5">
        <v>44588</v>
      </c>
    </row>
    <row r="20" spans="2:9">
      <c r="B20" s="3">
        <v>20</v>
      </c>
      <c r="C20" s="3" t="s">
        <v>22</v>
      </c>
      <c r="D20" s="3" t="s">
        <v>13</v>
      </c>
      <c r="E20" s="4">
        <v>20000</v>
      </c>
      <c r="F20" s="4">
        <v>670</v>
      </c>
      <c r="G20" s="3" t="s">
        <v>23</v>
      </c>
      <c r="H20" s="3" t="s">
        <v>11</v>
      </c>
      <c r="I20" s="5">
        <v>44598</v>
      </c>
    </row>
    <row r="21" spans="2:9">
      <c r="B21" s="3">
        <v>18</v>
      </c>
      <c r="C21" s="3" t="s">
        <v>22</v>
      </c>
      <c r="D21" s="3" t="s">
        <v>13</v>
      </c>
      <c r="E21" s="4">
        <v>39000</v>
      </c>
      <c r="F21" s="4">
        <v>799</v>
      </c>
      <c r="G21" s="3" t="s">
        <v>18</v>
      </c>
      <c r="H21" s="3" t="s">
        <v>11</v>
      </c>
      <c r="I21" s="5">
        <v>44596</v>
      </c>
    </row>
    <row r="22" spans="2:9">
      <c r="B22" s="3">
        <v>29</v>
      </c>
      <c r="C22" s="3" t="s">
        <v>22</v>
      </c>
      <c r="D22" s="3" t="s">
        <v>9</v>
      </c>
      <c r="E22" s="4">
        <v>20000</v>
      </c>
      <c r="F22" s="4">
        <v>800</v>
      </c>
      <c r="G22" s="3" t="s">
        <v>15</v>
      </c>
      <c r="H22" s="3" t="s">
        <v>11</v>
      </c>
      <c r="I22" s="5">
        <v>44607</v>
      </c>
    </row>
    <row r="23" spans="2:9">
      <c r="B23" s="3">
        <v>31</v>
      </c>
      <c r="C23" s="3" t="s">
        <v>22</v>
      </c>
      <c r="D23" s="3" t="s">
        <v>13</v>
      </c>
      <c r="E23" s="4">
        <v>30000</v>
      </c>
      <c r="F23" s="4">
        <v>850</v>
      </c>
      <c r="G23" s="3" t="s">
        <v>16</v>
      </c>
      <c r="H23" s="3" t="s">
        <v>11</v>
      </c>
      <c r="I23" s="5">
        <v>44609</v>
      </c>
    </row>
    <row r="24" spans="2:9">
      <c r="B24" s="3">
        <v>24</v>
      </c>
      <c r="C24" s="3" t="s">
        <v>22</v>
      </c>
      <c r="D24" s="3" t="s">
        <v>9</v>
      </c>
      <c r="E24" s="4">
        <v>30000</v>
      </c>
      <c r="F24" s="4">
        <v>890</v>
      </c>
      <c r="G24" s="3" t="s">
        <v>16</v>
      </c>
      <c r="H24" s="3" t="s">
        <v>11</v>
      </c>
      <c r="I24" s="5">
        <v>44602</v>
      </c>
    </row>
    <row r="25" spans="2:9">
      <c r="B25" s="3">
        <v>19</v>
      </c>
      <c r="C25" s="3" t="s">
        <v>22</v>
      </c>
      <c r="D25" s="3" t="s">
        <v>13</v>
      </c>
      <c r="E25" s="4">
        <v>15000</v>
      </c>
      <c r="F25" s="4">
        <v>898</v>
      </c>
      <c r="G25" s="3" t="s">
        <v>21</v>
      </c>
      <c r="H25" s="3" t="s">
        <v>11</v>
      </c>
      <c r="I25" s="5">
        <v>44597</v>
      </c>
    </row>
    <row r="26" spans="2:9">
      <c r="B26" s="3">
        <v>25</v>
      </c>
      <c r="C26" s="3" t="s">
        <v>22</v>
      </c>
      <c r="D26" s="3" t="s">
        <v>13</v>
      </c>
      <c r="E26" s="4">
        <v>36000</v>
      </c>
      <c r="F26" s="4">
        <v>910</v>
      </c>
      <c r="G26" s="3" t="s">
        <v>16</v>
      </c>
      <c r="H26" s="3" t="s">
        <v>11</v>
      </c>
      <c r="I26" s="5">
        <v>44603</v>
      </c>
    </row>
    <row r="27" spans="2:9">
      <c r="B27" s="3">
        <v>30</v>
      </c>
      <c r="C27" s="3" t="s">
        <v>22</v>
      </c>
      <c r="D27" s="3" t="s">
        <v>13</v>
      </c>
      <c r="E27" s="4">
        <v>30000</v>
      </c>
      <c r="F27" s="4">
        <v>950</v>
      </c>
      <c r="G27" s="3" t="s">
        <v>16</v>
      </c>
      <c r="H27" s="3" t="s">
        <v>11</v>
      </c>
      <c r="I27" s="5">
        <v>44608</v>
      </c>
    </row>
    <row r="28" spans="2:9">
      <c r="B28" s="3">
        <v>32</v>
      </c>
      <c r="C28" s="3" t="s">
        <v>22</v>
      </c>
      <c r="D28" s="3" t="s">
        <v>13</v>
      </c>
      <c r="E28" s="4">
        <v>8000</v>
      </c>
      <c r="F28" s="4">
        <v>990</v>
      </c>
      <c r="G28" s="3" t="s">
        <v>14</v>
      </c>
      <c r="H28" s="3" t="s">
        <v>11</v>
      </c>
      <c r="I28" s="5">
        <v>44610</v>
      </c>
    </row>
    <row r="29" spans="2:9">
      <c r="B29" s="3">
        <v>28</v>
      </c>
      <c r="C29" s="3" t="s">
        <v>22</v>
      </c>
      <c r="D29" s="3" t="s">
        <v>13</v>
      </c>
      <c r="E29" s="4">
        <v>16000</v>
      </c>
      <c r="F29" s="4">
        <v>1000</v>
      </c>
      <c r="G29" s="3" t="s">
        <v>16</v>
      </c>
      <c r="H29" s="3" t="s">
        <v>11</v>
      </c>
      <c r="I29" s="5">
        <v>44606</v>
      </c>
    </row>
    <row r="30" spans="2:9">
      <c r="B30" s="3">
        <v>34</v>
      </c>
      <c r="C30" s="3" t="s">
        <v>22</v>
      </c>
      <c r="D30" s="3" t="s">
        <v>13</v>
      </c>
      <c r="E30" s="4">
        <v>3000</v>
      </c>
      <c r="F30" s="4">
        <v>1010</v>
      </c>
      <c r="G30" s="3" t="s">
        <v>14</v>
      </c>
      <c r="H30" s="3" t="s">
        <v>11</v>
      </c>
      <c r="I30" s="5">
        <v>44612</v>
      </c>
    </row>
    <row r="31" spans="2:9">
      <c r="B31" s="3">
        <v>21</v>
      </c>
      <c r="C31" s="3" t="s">
        <v>22</v>
      </c>
      <c r="D31" s="3" t="s">
        <v>9</v>
      </c>
      <c r="E31" s="4">
        <v>18000</v>
      </c>
      <c r="F31" s="4">
        <v>1030</v>
      </c>
      <c r="G31" s="3" t="s">
        <v>16</v>
      </c>
      <c r="H31" s="3" t="s">
        <v>11</v>
      </c>
      <c r="I31" s="5">
        <v>44599</v>
      </c>
    </row>
    <row r="32" spans="2:9">
      <c r="B32" s="3">
        <v>26</v>
      </c>
      <c r="C32" s="3" t="s">
        <v>22</v>
      </c>
      <c r="D32" s="3" t="s">
        <v>13</v>
      </c>
      <c r="E32" s="4">
        <v>18000</v>
      </c>
      <c r="F32" s="4">
        <v>1030</v>
      </c>
      <c r="G32" s="3" t="s">
        <v>16</v>
      </c>
      <c r="H32" s="3" t="s">
        <v>11</v>
      </c>
      <c r="I32" s="5">
        <v>44604</v>
      </c>
    </row>
    <row r="33" spans="2:9">
      <c r="B33" s="3">
        <v>27</v>
      </c>
      <c r="C33" s="3" t="s">
        <v>22</v>
      </c>
      <c r="D33" s="3" t="s">
        <v>13</v>
      </c>
      <c r="E33" s="4">
        <v>10000</v>
      </c>
      <c r="F33" s="4">
        <v>1090</v>
      </c>
      <c r="G33" s="3" t="s">
        <v>16</v>
      </c>
      <c r="H33" s="3" t="s">
        <v>11</v>
      </c>
      <c r="I33" s="5">
        <v>44605</v>
      </c>
    </row>
    <row r="34" spans="2:9">
      <c r="B34" s="3">
        <v>22</v>
      </c>
      <c r="C34" s="3" t="s">
        <v>22</v>
      </c>
      <c r="D34" s="3" t="s">
        <v>13</v>
      </c>
      <c r="E34" s="4">
        <v>34000</v>
      </c>
      <c r="F34" s="4">
        <v>1100</v>
      </c>
      <c r="G34" s="3" t="s">
        <v>14</v>
      </c>
      <c r="H34" s="3" t="s">
        <v>11</v>
      </c>
      <c r="I34" s="5">
        <v>44600</v>
      </c>
    </row>
    <row r="35" spans="2:9">
      <c r="B35" s="3">
        <v>33</v>
      </c>
      <c r="C35" s="3" t="s">
        <v>22</v>
      </c>
      <c r="D35" s="3" t="s">
        <v>13</v>
      </c>
      <c r="E35" s="4">
        <v>1200</v>
      </c>
      <c r="F35" s="4">
        <v>1130</v>
      </c>
      <c r="G35" s="3" t="s">
        <v>14</v>
      </c>
      <c r="H35" s="3" t="s">
        <v>11</v>
      </c>
      <c r="I35" s="5">
        <v>44611</v>
      </c>
    </row>
    <row r="36" spans="2:9">
      <c r="B36" s="3">
        <v>23</v>
      </c>
      <c r="C36" s="3" t="s">
        <v>22</v>
      </c>
      <c r="D36" s="3" t="s">
        <v>13</v>
      </c>
      <c r="E36" s="4">
        <v>10000</v>
      </c>
      <c r="F36" s="4">
        <v>1200</v>
      </c>
      <c r="G36" s="3" t="s">
        <v>14</v>
      </c>
      <c r="H36" s="3" t="s">
        <v>11</v>
      </c>
      <c r="I36" s="5">
        <v>44601</v>
      </c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fitToHeight="0" orientation="portrait" r:id="rId1"/>
  <headerFooter>
    <oddFooter>&amp;C출력 날짜 :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Q71"/>
  <sheetViews>
    <sheetView workbookViewId="0"/>
  </sheetViews>
  <sheetFormatPr defaultRowHeight="17"/>
  <cols>
    <col min="4" max="4" width="14.33203125" bestFit="1" customWidth="1"/>
    <col min="5" max="8" width="9.9140625" customWidth="1"/>
    <col min="9" max="9" width="13" customWidth="1"/>
    <col min="11" max="11" width="14.5" bestFit="1" customWidth="1"/>
    <col min="12" max="12" width="12.1640625" customWidth="1"/>
    <col min="13" max="13" width="11.4140625" customWidth="1"/>
  </cols>
  <sheetData>
    <row r="2" spans="1:17">
      <c r="A2" s="6" t="s">
        <v>25</v>
      </c>
      <c r="B2" s="6"/>
      <c r="C2" s="6"/>
      <c r="D2" s="6"/>
      <c r="E2" s="6"/>
      <c r="F2" s="6"/>
      <c r="G2" s="6"/>
      <c r="H2" s="6"/>
      <c r="I2" s="6"/>
      <c r="J2" s="6"/>
      <c r="K2" s="7"/>
      <c r="L2" s="7"/>
      <c r="M2" s="7"/>
      <c r="N2" s="6"/>
      <c r="O2" s="6"/>
      <c r="P2" s="6"/>
      <c r="Q2" s="6"/>
    </row>
    <row r="3" spans="1:17">
      <c r="A3" s="6"/>
      <c r="B3" s="8" t="s">
        <v>26</v>
      </c>
      <c r="C3" s="8" t="s">
        <v>27</v>
      </c>
      <c r="D3" s="8" t="s">
        <v>28</v>
      </c>
      <c r="E3" s="8" t="s">
        <v>29</v>
      </c>
      <c r="F3" s="8" t="s">
        <v>30</v>
      </c>
      <c r="G3" s="8" t="s">
        <v>31</v>
      </c>
      <c r="H3" s="8" t="s">
        <v>32</v>
      </c>
      <c r="I3" s="21" t="s">
        <v>33</v>
      </c>
      <c r="J3" s="6"/>
      <c r="K3" s="7" t="s">
        <v>34</v>
      </c>
      <c r="L3" s="7"/>
      <c r="M3" s="7"/>
      <c r="N3" s="6"/>
      <c r="O3" s="6"/>
      <c r="P3" s="6"/>
      <c r="Q3" s="6"/>
    </row>
    <row r="4" spans="1:17">
      <c r="A4" s="6"/>
      <c r="B4" s="9" t="s">
        <v>35</v>
      </c>
      <c r="C4" s="10" t="s">
        <v>36</v>
      </c>
      <c r="D4" s="10" t="s">
        <v>37</v>
      </c>
      <c r="E4" s="10">
        <v>20</v>
      </c>
      <c r="F4" s="10">
        <v>20</v>
      </c>
      <c r="G4" s="10">
        <v>80</v>
      </c>
      <c r="H4" s="10">
        <v>100</v>
      </c>
      <c r="I4" s="11" t="str">
        <f>fn비고(E4,F4,G4,H4)</f>
        <v>우수업체</v>
      </c>
      <c r="J4" s="6"/>
      <c r="K4" s="8" t="s">
        <v>38</v>
      </c>
      <c r="L4" s="21" t="s">
        <v>31</v>
      </c>
      <c r="M4" s="21" t="s">
        <v>39</v>
      </c>
      <c r="N4" s="6"/>
      <c r="O4" s="6"/>
      <c r="P4" s="6"/>
      <c r="Q4" s="6"/>
    </row>
    <row r="5" spans="1:17">
      <c r="A5" s="6"/>
      <c r="B5" s="9" t="s">
        <v>40</v>
      </c>
      <c r="C5" s="3" t="s">
        <v>41</v>
      </c>
      <c r="D5" s="3" t="s">
        <v>42</v>
      </c>
      <c r="E5" s="10">
        <v>20</v>
      </c>
      <c r="F5" s="10">
        <v>20</v>
      </c>
      <c r="G5" s="10">
        <v>97</v>
      </c>
      <c r="H5" s="10">
        <v>100</v>
      </c>
      <c r="I5" s="11" t="str">
        <f t="shared" ref="I5:I43" si="0">fn비고(E5,F5,G5,H5)</f>
        <v>우수업체</v>
      </c>
      <c r="J5" s="6"/>
      <c r="K5" s="10" t="s">
        <v>43</v>
      </c>
      <c r="L5" s="12">
        <f>ROUNDUP(AVERAGEIF($D$4:$D$43,$K5,G$4:G$43),1)</f>
        <v>59.7</v>
      </c>
      <c r="M5" s="12">
        <f>ROUNDUP(AVERAGEIF($D$4:$D$43,$K5,H$4:H$43),1)</f>
        <v>46.300000000000004</v>
      </c>
      <c r="N5" s="6"/>
      <c r="O5" s="6"/>
      <c r="P5" s="6"/>
      <c r="Q5" s="6"/>
    </row>
    <row r="6" spans="1:17">
      <c r="A6" s="6"/>
      <c r="B6" s="9" t="s">
        <v>44</v>
      </c>
      <c r="C6" s="3" t="s">
        <v>41</v>
      </c>
      <c r="D6" s="3" t="s">
        <v>45</v>
      </c>
      <c r="E6" s="10">
        <v>20</v>
      </c>
      <c r="F6" s="10">
        <v>20</v>
      </c>
      <c r="G6" s="10">
        <v>98</v>
      </c>
      <c r="H6" s="10">
        <v>97</v>
      </c>
      <c r="I6" s="11" t="str">
        <f t="shared" si="0"/>
        <v>우수업체</v>
      </c>
      <c r="J6" s="6"/>
      <c r="K6" s="11" t="s">
        <v>46</v>
      </c>
      <c r="L6" s="12">
        <f t="shared" ref="L6:M7" si="1">ROUNDUP(AVERAGEIF($D$4:$D$43,$K6,G$4:G$43),1)</f>
        <v>64.599999999999994</v>
      </c>
      <c r="M6" s="12">
        <f t="shared" si="1"/>
        <v>49.7</v>
      </c>
      <c r="N6" s="6"/>
      <c r="O6" s="6"/>
      <c r="P6" s="6"/>
      <c r="Q6" s="6"/>
    </row>
    <row r="7" spans="1:17">
      <c r="A7" s="6"/>
      <c r="B7" s="9" t="s">
        <v>47</v>
      </c>
      <c r="C7" s="3" t="s">
        <v>48</v>
      </c>
      <c r="D7" s="3" t="s">
        <v>42</v>
      </c>
      <c r="E7" s="10">
        <v>20</v>
      </c>
      <c r="F7" s="10">
        <v>20</v>
      </c>
      <c r="G7" s="10">
        <v>100</v>
      </c>
      <c r="H7" s="10">
        <v>94</v>
      </c>
      <c r="I7" s="11" t="str">
        <f t="shared" si="0"/>
        <v>우수업체</v>
      </c>
      <c r="J7" s="6"/>
      <c r="K7" s="11" t="s">
        <v>49</v>
      </c>
      <c r="L7" s="12">
        <f t="shared" si="1"/>
        <v>81.199999999999989</v>
      </c>
      <c r="M7" s="12">
        <f t="shared" si="1"/>
        <v>57.9</v>
      </c>
      <c r="N7" s="6"/>
      <c r="O7" s="6"/>
      <c r="P7" s="6"/>
      <c r="Q7" s="6"/>
    </row>
    <row r="8" spans="1:17">
      <c r="A8" s="6"/>
      <c r="B8" s="9" t="s">
        <v>50</v>
      </c>
      <c r="C8" s="3" t="s">
        <v>51</v>
      </c>
      <c r="D8" s="3" t="s">
        <v>45</v>
      </c>
      <c r="E8" s="10">
        <v>19</v>
      </c>
      <c r="F8" s="10">
        <v>20</v>
      </c>
      <c r="G8" s="10">
        <v>99</v>
      </c>
      <c r="H8" s="10">
        <v>91</v>
      </c>
      <c r="I8" s="11" t="str">
        <f t="shared" si="0"/>
        <v>우수업체</v>
      </c>
      <c r="J8" s="6"/>
      <c r="K8" s="7"/>
      <c r="L8" s="7"/>
      <c r="M8" s="7"/>
      <c r="N8" s="6"/>
      <c r="O8" s="6"/>
      <c r="P8" s="6"/>
      <c r="Q8" s="6"/>
    </row>
    <row r="9" spans="1:17">
      <c r="A9" s="6"/>
      <c r="B9" s="9" t="s">
        <v>52</v>
      </c>
      <c r="C9" s="3" t="s">
        <v>53</v>
      </c>
      <c r="D9" s="3" t="s">
        <v>37</v>
      </c>
      <c r="E9" s="10">
        <v>19</v>
      </c>
      <c r="F9" s="10">
        <v>20</v>
      </c>
      <c r="G9" s="10">
        <v>55</v>
      </c>
      <c r="H9" s="10">
        <v>86</v>
      </c>
      <c r="I9" s="11" t="str">
        <f t="shared" si="0"/>
        <v/>
      </c>
      <c r="J9" s="6"/>
      <c r="K9" s="7" t="s">
        <v>54</v>
      </c>
      <c r="L9" s="7"/>
      <c r="M9" s="7"/>
      <c r="N9" s="6"/>
      <c r="O9" s="6"/>
      <c r="P9" s="6"/>
      <c r="Q9" s="6"/>
    </row>
    <row r="10" spans="1:17">
      <c r="A10" s="6"/>
      <c r="B10" s="9" t="s">
        <v>55</v>
      </c>
      <c r="C10" s="3" t="s">
        <v>56</v>
      </c>
      <c r="D10" s="3" t="s">
        <v>45</v>
      </c>
      <c r="E10" s="10">
        <v>19</v>
      </c>
      <c r="F10" s="10">
        <v>17</v>
      </c>
      <c r="G10" s="10">
        <v>58</v>
      </c>
      <c r="H10" s="10">
        <v>84</v>
      </c>
      <c r="I10" s="11" t="str">
        <f t="shared" si="0"/>
        <v/>
      </c>
      <c r="J10" s="6"/>
      <c r="K10" s="1" t="s">
        <v>57</v>
      </c>
      <c r="L10" s="22" t="s">
        <v>58</v>
      </c>
      <c r="M10" s="13"/>
      <c r="N10" s="6"/>
      <c r="O10" s="6"/>
      <c r="P10" s="6"/>
      <c r="Q10" s="6"/>
    </row>
    <row r="11" spans="1:17">
      <c r="A11" s="6"/>
      <c r="B11" s="9" t="s">
        <v>59</v>
      </c>
      <c r="C11" s="3" t="s">
        <v>60</v>
      </c>
      <c r="D11" s="3" t="s">
        <v>45</v>
      </c>
      <c r="E11" s="10">
        <v>20</v>
      </c>
      <c r="F11" s="10">
        <v>20</v>
      </c>
      <c r="G11" s="10">
        <v>95</v>
      </c>
      <c r="H11" s="10">
        <v>76</v>
      </c>
      <c r="I11" s="11" t="str">
        <f t="shared" si="0"/>
        <v>우수업체</v>
      </c>
      <c r="J11" s="6"/>
      <c r="K11" s="14">
        <v>15</v>
      </c>
      <c r="L11" s="3" t="str">
        <f t="array" ref="L11:L16">TEXT(FREQUENCY(E4:E43,K11:K16),"#업체")</f>
        <v>7업체</v>
      </c>
      <c r="M11" s="13"/>
      <c r="N11" s="6"/>
      <c r="O11" s="6"/>
      <c r="P11" s="6"/>
      <c r="Q11" s="6"/>
    </row>
    <row r="12" spans="1:17">
      <c r="A12" s="6"/>
      <c r="B12" s="9" t="s">
        <v>61</v>
      </c>
      <c r="C12" s="3" t="s">
        <v>53</v>
      </c>
      <c r="D12" s="3" t="s">
        <v>42</v>
      </c>
      <c r="E12" s="10">
        <v>19</v>
      </c>
      <c r="F12" s="10">
        <v>20</v>
      </c>
      <c r="G12" s="10">
        <v>78</v>
      </c>
      <c r="H12" s="10">
        <v>76</v>
      </c>
      <c r="I12" s="11" t="str">
        <f t="shared" si="0"/>
        <v/>
      </c>
      <c r="J12" s="6"/>
      <c r="K12" s="3">
        <v>16</v>
      </c>
      <c r="L12" s="3" t="str">
        <v>1업체</v>
      </c>
      <c r="M12" s="7"/>
      <c r="N12" s="6"/>
      <c r="O12" s="6"/>
      <c r="P12" s="6"/>
      <c r="Q12" s="6"/>
    </row>
    <row r="13" spans="1:17">
      <c r="A13" s="6"/>
      <c r="B13" s="9" t="s">
        <v>62</v>
      </c>
      <c r="C13" s="3" t="s">
        <v>60</v>
      </c>
      <c r="D13" s="3" t="s">
        <v>45</v>
      </c>
      <c r="E13" s="10">
        <v>20</v>
      </c>
      <c r="F13" s="10">
        <v>20</v>
      </c>
      <c r="G13" s="10">
        <v>74</v>
      </c>
      <c r="H13" s="10">
        <v>74</v>
      </c>
      <c r="I13" s="11" t="str">
        <f t="shared" si="0"/>
        <v/>
      </c>
      <c r="J13" s="6"/>
      <c r="K13" s="3">
        <v>17</v>
      </c>
      <c r="L13" s="3" t="str">
        <v>1업체</v>
      </c>
      <c r="M13" s="7"/>
      <c r="N13" s="6"/>
      <c r="O13" s="6"/>
      <c r="P13" s="6"/>
      <c r="Q13" s="6"/>
    </row>
    <row r="14" spans="1:17">
      <c r="A14" s="6"/>
      <c r="B14" s="9" t="s">
        <v>63</v>
      </c>
      <c r="C14" s="3" t="s">
        <v>60</v>
      </c>
      <c r="D14" s="3" t="s">
        <v>37</v>
      </c>
      <c r="E14" s="10">
        <v>20</v>
      </c>
      <c r="F14" s="10">
        <v>20</v>
      </c>
      <c r="G14" s="10">
        <v>90</v>
      </c>
      <c r="H14" s="10">
        <v>73</v>
      </c>
      <c r="I14" s="11" t="str">
        <f t="shared" si="0"/>
        <v>우수업체</v>
      </c>
      <c r="J14" s="6"/>
      <c r="K14" s="3">
        <v>18</v>
      </c>
      <c r="L14" s="3" t="str">
        <v>1업체</v>
      </c>
      <c r="M14" s="7"/>
      <c r="N14" s="6"/>
      <c r="O14" s="6"/>
      <c r="P14" s="6"/>
      <c r="Q14" s="6"/>
    </row>
    <row r="15" spans="1:17">
      <c r="A15" s="6"/>
      <c r="B15" s="9" t="s">
        <v>64</v>
      </c>
      <c r="C15" s="3" t="s">
        <v>53</v>
      </c>
      <c r="D15" s="3" t="s">
        <v>42</v>
      </c>
      <c r="E15" s="10">
        <v>20</v>
      </c>
      <c r="F15" s="10">
        <v>20</v>
      </c>
      <c r="G15" s="10">
        <v>98</v>
      </c>
      <c r="H15" s="10">
        <v>72</v>
      </c>
      <c r="I15" s="11" t="str">
        <f t="shared" si="0"/>
        <v>우수업체</v>
      </c>
      <c r="J15" s="6"/>
      <c r="K15" s="3">
        <v>19</v>
      </c>
      <c r="L15" s="3" t="str">
        <v>12업체</v>
      </c>
      <c r="M15" s="7"/>
      <c r="N15" s="6"/>
      <c r="O15" s="6"/>
      <c r="P15" s="6"/>
      <c r="Q15" s="6"/>
    </row>
    <row r="16" spans="1:17">
      <c r="A16" s="6"/>
      <c r="B16" s="9" t="s">
        <v>65</v>
      </c>
      <c r="C16" s="3" t="s">
        <v>66</v>
      </c>
      <c r="D16" s="3" t="s">
        <v>37</v>
      </c>
      <c r="E16" s="10">
        <v>20</v>
      </c>
      <c r="F16" s="10">
        <v>20</v>
      </c>
      <c r="G16" s="10">
        <v>75</v>
      </c>
      <c r="H16" s="10">
        <v>70</v>
      </c>
      <c r="I16" s="11" t="str">
        <f t="shared" si="0"/>
        <v/>
      </c>
      <c r="J16" s="6"/>
      <c r="K16" s="3">
        <v>20</v>
      </c>
      <c r="L16" s="3" t="str">
        <v>18업체</v>
      </c>
      <c r="M16" s="7"/>
      <c r="N16" s="6"/>
      <c r="O16" s="6"/>
      <c r="P16" s="6"/>
      <c r="Q16" s="6"/>
    </row>
    <row r="17" spans="1:17">
      <c r="A17" s="6"/>
      <c r="B17" s="9" t="s">
        <v>67</v>
      </c>
      <c r="C17" s="3" t="s">
        <v>68</v>
      </c>
      <c r="D17" s="3" t="s">
        <v>45</v>
      </c>
      <c r="E17" s="10">
        <v>19</v>
      </c>
      <c r="F17" s="10">
        <v>20</v>
      </c>
      <c r="G17" s="10">
        <v>82</v>
      </c>
      <c r="H17" s="10">
        <v>64</v>
      </c>
      <c r="I17" s="11" t="str">
        <f t="shared" si="0"/>
        <v/>
      </c>
      <c r="J17" s="6"/>
      <c r="K17" s="7"/>
      <c r="L17" s="7"/>
      <c r="M17" s="7"/>
      <c r="N17" s="6"/>
      <c r="O17" s="6"/>
      <c r="P17" s="6"/>
      <c r="Q17" s="6"/>
    </row>
    <row r="18" spans="1:17">
      <c r="A18" s="6"/>
      <c r="B18" s="9" t="s">
        <v>69</v>
      </c>
      <c r="C18" s="3" t="s">
        <v>36</v>
      </c>
      <c r="D18" s="3" t="s">
        <v>37</v>
      </c>
      <c r="E18" s="10">
        <v>20</v>
      </c>
      <c r="F18" s="10">
        <v>19</v>
      </c>
      <c r="G18" s="10">
        <v>48</v>
      </c>
      <c r="H18" s="10">
        <v>62</v>
      </c>
      <c r="I18" s="11" t="str">
        <f t="shared" si="0"/>
        <v/>
      </c>
      <c r="J18" s="6"/>
      <c r="K18" s="6" t="s">
        <v>70</v>
      </c>
      <c r="L18" s="6"/>
      <c r="M18" s="7"/>
      <c r="N18" s="6"/>
      <c r="O18" s="6"/>
      <c r="P18" s="6"/>
      <c r="Q18" s="6"/>
    </row>
    <row r="19" spans="1:17">
      <c r="A19" s="6"/>
      <c r="B19" s="9" t="s">
        <v>71</v>
      </c>
      <c r="C19" s="10" t="s">
        <v>60</v>
      </c>
      <c r="D19" s="3" t="s">
        <v>37</v>
      </c>
      <c r="E19" s="10">
        <v>20</v>
      </c>
      <c r="F19" s="10">
        <v>20</v>
      </c>
      <c r="G19" s="10">
        <v>65</v>
      </c>
      <c r="H19" s="10">
        <v>62</v>
      </c>
      <c r="I19" s="11" t="str">
        <f t="shared" si="0"/>
        <v/>
      </c>
      <c r="J19" s="6"/>
      <c r="K19" s="8" t="s">
        <v>28</v>
      </c>
      <c r="L19" s="22" t="s">
        <v>26</v>
      </c>
      <c r="M19" s="7"/>
      <c r="N19" s="6"/>
      <c r="O19" s="6"/>
      <c r="P19" s="6"/>
      <c r="Q19" s="6"/>
    </row>
    <row r="20" spans="1:17">
      <c r="A20" s="6"/>
      <c r="B20" s="9" t="s">
        <v>72</v>
      </c>
      <c r="C20" s="3" t="s">
        <v>73</v>
      </c>
      <c r="D20" s="3" t="s">
        <v>42</v>
      </c>
      <c r="E20" s="10">
        <v>20</v>
      </c>
      <c r="F20" s="10">
        <v>20</v>
      </c>
      <c r="G20" s="10">
        <v>66</v>
      </c>
      <c r="H20" s="10">
        <v>60</v>
      </c>
      <c r="I20" s="11" t="str">
        <f t="shared" si="0"/>
        <v/>
      </c>
      <c r="J20" s="6"/>
      <c r="K20" s="1" t="s">
        <v>74</v>
      </c>
      <c r="L20" s="1" t="str">
        <f t="array" ref="L20">INDEX(B4:B43,MATCH(MAX(IF(D4:D43=K20,G4:G43)),(D4:D43=K20)*G4:G43,0))</f>
        <v>A005</v>
      </c>
      <c r="M20" s="7"/>
      <c r="N20" s="6"/>
      <c r="O20" s="6"/>
      <c r="P20" s="6"/>
      <c r="Q20" s="6"/>
    </row>
    <row r="21" spans="1:17">
      <c r="A21" s="6"/>
      <c r="B21" s="9" t="s">
        <v>75</v>
      </c>
      <c r="C21" s="3" t="s">
        <v>51</v>
      </c>
      <c r="D21" s="3" t="s">
        <v>45</v>
      </c>
      <c r="E21" s="10">
        <v>19</v>
      </c>
      <c r="F21" s="10">
        <v>19</v>
      </c>
      <c r="G21" s="10">
        <v>77</v>
      </c>
      <c r="H21" s="10">
        <v>56</v>
      </c>
      <c r="I21" s="11" t="str">
        <f t="shared" si="0"/>
        <v/>
      </c>
      <c r="J21" s="6"/>
      <c r="K21" s="7"/>
      <c r="L21" s="7"/>
      <c r="M21" s="7"/>
      <c r="N21" s="6"/>
      <c r="O21" s="6"/>
      <c r="P21" s="6"/>
      <c r="Q21" s="6"/>
    </row>
    <row r="22" spans="1:17">
      <c r="A22" s="6"/>
      <c r="B22" s="9" t="s">
        <v>76</v>
      </c>
      <c r="C22" s="3" t="s">
        <v>56</v>
      </c>
      <c r="D22" s="3" t="s">
        <v>45</v>
      </c>
      <c r="E22" s="10">
        <v>20</v>
      </c>
      <c r="F22" s="10">
        <v>20</v>
      </c>
      <c r="G22" s="10">
        <v>73</v>
      </c>
      <c r="H22" s="10">
        <v>50</v>
      </c>
      <c r="I22" s="11" t="str">
        <f t="shared" si="0"/>
        <v/>
      </c>
      <c r="J22" s="6"/>
      <c r="K22" s="7"/>
      <c r="L22" s="15"/>
      <c r="M22" s="6"/>
      <c r="N22" s="6"/>
      <c r="O22" s="6"/>
      <c r="P22" s="6"/>
      <c r="Q22" s="6"/>
    </row>
    <row r="23" spans="1:17">
      <c r="A23" s="6"/>
      <c r="B23" s="9" t="s">
        <v>77</v>
      </c>
      <c r="C23" s="3" t="s">
        <v>73</v>
      </c>
      <c r="D23" s="3" t="s">
        <v>42</v>
      </c>
      <c r="E23" s="10">
        <v>20</v>
      </c>
      <c r="F23" s="10">
        <v>18</v>
      </c>
      <c r="G23" s="10">
        <v>88</v>
      </c>
      <c r="H23" s="10">
        <v>50</v>
      </c>
      <c r="I23" s="11" t="str">
        <f t="shared" si="0"/>
        <v/>
      </c>
      <c r="J23" s="6"/>
      <c r="K23" s="6"/>
      <c r="L23" s="6"/>
      <c r="M23" s="6"/>
      <c r="N23" s="6"/>
      <c r="O23" s="6"/>
      <c r="P23" s="6"/>
      <c r="Q23" s="6"/>
    </row>
    <row r="24" spans="1:17">
      <c r="A24" s="6"/>
      <c r="B24" s="9" t="s">
        <v>78</v>
      </c>
      <c r="C24" s="3" t="s">
        <v>36</v>
      </c>
      <c r="D24" s="3" t="s">
        <v>42</v>
      </c>
      <c r="E24" s="10">
        <v>20</v>
      </c>
      <c r="F24" s="10">
        <v>20</v>
      </c>
      <c r="G24" s="10">
        <v>84</v>
      </c>
      <c r="H24" s="10">
        <v>48</v>
      </c>
      <c r="I24" s="11" t="str">
        <f t="shared" si="0"/>
        <v/>
      </c>
      <c r="J24" s="6"/>
      <c r="K24" s="7"/>
      <c r="L24" s="7"/>
      <c r="M24" s="6"/>
      <c r="N24" s="6"/>
      <c r="O24" s="6"/>
      <c r="P24" s="6"/>
      <c r="Q24" s="6"/>
    </row>
    <row r="25" spans="1:17">
      <c r="A25" s="6"/>
      <c r="B25" s="9" t="s">
        <v>79</v>
      </c>
      <c r="C25" s="3" t="s">
        <v>66</v>
      </c>
      <c r="D25" s="3" t="s">
        <v>45</v>
      </c>
      <c r="E25" s="10">
        <v>18</v>
      </c>
      <c r="F25" s="10">
        <v>10</v>
      </c>
      <c r="G25" s="10">
        <v>55</v>
      </c>
      <c r="H25" s="10">
        <v>48</v>
      </c>
      <c r="I25" s="11" t="str">
        <f t="shared" si="0"/>
        <v/>
      </c>
      <c r="J25" s="6"/>
      <c r="K25" s="7"/>
      <c r="L25" s="7"/>
      <c r="M25" s="6"/>
      <c r="N25" s="6"/>
      <c r="O25" s="6"/>
      <c r="P25" s="6"/>
      <c r="Q25" s="6"/>
    </row>
    <row r="26" spans="1:17">
      <c r="A26" s="6"/>
      <c r="B26" s="9" t="s">
        <v>80</v>
      </c>
      <c r="C26" s="3" t="s">
        <v>66</v>
      </c>
      <c r="D26" s="3" t="s">
        <v>37</v>
      </c>
      <c r="E26" s="10">
        <v>19</v>
      </c>
      <c r="F26" s="10">
        <v>20</v>
      </c>
      <c r="G26" s="10">
        <v>93</v>
      </c>
      <c r="H26" s="10">
        <v>46</v>
      </c>
      <c r="I26" s="11" t="str">
        <f t="shared" si="0"/>
        <v/>
      </c>
      <c r="J26" s="6"/>
      <c r="K26" s="7"/>
      <c r="L26" s="7"/>
      <c r="M26" s="6"/>
      <c r="N26" s="6"/>
      <c r="O26" s="6"/>
      <c r="P26" s="6"/>
      <c r="Q26" s="6"/>
    </row>
    <row r="27" spans="1:17">
      <c r="A27" s="6"/>
      <c r="B27" s="9" t="s">
        <v>81</v>
      </c>
      <c r="C27" s="10" t="s">
        <v>68</v>
      </c>
      <c r="D27" s="3" t="s">
        <v>45</v>
      </c>
      <c r="E27" s="10">
        <v>20</v>
      </c>
      <c r="F27" s="10">
        <v>20</v>
      </c>
      <c r="G27" s="10">
        <v>41</v>
      </c>
      <c r="H27" s="10">
        <v>44</v>
      </c>
      <c r="I27" s="11" t="str">
        <f t="shared" si="0"/>
        <v/>
      </c>
      <c r="J27" s="6"/>
      <c r="K27" s="7"/>
      <c r="L27" s="7"/>
      <c r="M27" s="7"/>
      <c r="N27" s="6"/>
      <c r="O27" s="6"/>
      <c r="P27" s="6"/>
      <c r="Q27" s="6"/>
    </row>
    <row r="28" spans="1:17">
      <c r="A28" s="6"/>
      <c r="B28" s="9" t="s">
        <v>82</v>
      </c>
      <c r="C28" s="3" t="s">
        <v>68</v>
      </c>
      <c r="D28" s="3" t="s">
        <v>45</v>
      </c>
      <c r="E28" s="10">
        <v>16</v>
      </c>
      <c r="F28" s="10">
        <v>19</v>
      </c>
      <c r="G28" s="10">
        <v>70</v>
      </c>
      <c r="H28" s="10">
        <v>42</v>
      </c>
      <c r="I28" s="11" t="str">
        <f t="shared" si="0"/>
        <v/>
      </c>
      <c r="J28" s="6" t="str">
        <f t="shared" ref="J28:J43" si="2">IF(SUM(E28:H28)&gt;=200,"우수업체","")</f>
        <v/>
      </c>
      <c r="K28" s="7"/>
      <c r="L28" s="7"/>
      <c r="M28" s="7"/>
      <c r="N28" s="6"/>
      <c r="O28" s="6"/>
      <c r="P28" s="6"/>
      <c r="Q28" s="6"/>
    </row>
    <row r="29" spans="1:17">
      <c r="A29" s="6"/>
      <c r="B29" s="9" t="s">
        <v>83</v>
      </c>
      <c r="C29" s="3" t="s">
        <v>36</v>
      </c>
      <c r="D29" s="3" t="s">
        <v>42</v>
      </c>
      <c r="E29" s="10">
        <v>19</v>
      </c>
      <c r="F29" s="10">
        <v>20</v>
      </c>
      <c r="G29" s="10">
        <v>56</v>
      </c>
      <c r="H29" s="10">
        <v>38</v>
      </c>
      <c r="I29" s="11" t="str">
        <f t="shared" si="0"/>
        <v/>
      </c>
      <c r="J29" s="6" t="str">
        <f t="shared" si="2"/>
        <v/>
      </c>
      <c r="K29" s="7"/>
      <c r="L29" s="7"/>
      <c r="M29" s="7"/>
      <c r="N29" s="6"/>
      <c r="O29" s="6"/>
      <c r="P29" s="6"/>
      <c r="Q29" s="6"/>
    </row>
    <row r="30" spans="1:17">
      <c r="A30" s="6"/>
      <c r="B30" s="9" t="s">
        <v>84</v>
      </c>
      <c r="C30" s="10" t="s">
        <v>51</v>
      </c>
      <c r="D30" s="3" t="s">
        <v>42</v>
      </c>
      <c r="E30" s="10">
        <v>20</v>
      </c>
      <c r="F30" s="10">
        <v>20</v>
      </c>
      <c r="G30" s="10">
        <v>88</v>
      </c>
      <c r="H30" s="10">
        <v>38</v>
      </c>
      <c r="I30" s="11" t="str">
        <f t="shared" si="0"/>
        <v/>
      </c>
      <c r="J30" s="6" t="str">
        <f t="shared" si="2"/>
        <v/>
      </c>
      <c r="K30" s="7"/>
      <c r="L30" s="7"/>
      <c r="M30" s="7"/>
      <c r="N30" s="6"/>
      <c r="O30" s="6"/>
      <c r="P30" s="6"/>
      <c r="Q30" s="6"/>
    </row>
    <row r="31" spans="1:17">
      <c r="A31" s="6"/>
      <c r="B31" s="9" t="s">
        <v>85</v>
      </c>
      <c r="C31" s="3" t="s">
        <v>68</v>
      </c>
      <c r="D31" s="3" t="s">
        <v>45</v>
      </c>
      <c r="E31" s="10">
        <v>17</v>
      </c>
      <c r="F31" s="10">
        <v>0</v>
      </c>
      <c r="G31" s="10">
        <v>60</v>
      </c>
      <c r="H31" s="10">
        <v>38</v>
      </c>
      <c r="I31" s="11" t="str">
        <f t="shared" si="0"/>
        <v/>
      </c>
      <c r="J31" s="6" t="str">
        <f t="shared" si="2"/>
        <v/>
      </c>
      <c r="K31" s="7"/>
      <c r="L31" s="7"/>
      <c r="M31" s="7"/>
      <c r="N31" s="6"/>
      <c r="O31" s="6"/>
      <c r="P31" s="6"/>
      <c r="Q31" s="6"/>
    </row>
    <row r="32" spans="1:17">
      <c r="A32" s="6"/>
      <c r="B32" s="9" t="s">
        <v>86</v>
      </c>
      <c r="C32" s="3" t="s">
        <v>51</v>
      </c>
      <c r="D32" s="3" t="s">
        <v>37</v>
      </c>
      <c r="E32" s="10">
        <v>20</v>
      </c>
      <c r="F32" s="10">
        <v>19</v>
      </c>
      <c r="G32" s="10">
        <v>69</v>
      </c>
      <c r="H32" s="10">
        <v>36</v>
      </c>
      <c r="I32" s="11" t="str">
        <f t="shared" si="0"/>
        <v/>
      </c>
      <c r="J32" s="6" t="str">
        <f t="shared" si="2"/>
        <v/>
      </c>
      <c r="K32" s="7"/>
      <c r="L32" s="7"/>
      <c r="M32" s="7"/>
      <c r="N32" s="6"/>
      <c r="O32" s="6"/>
      <c r="P32" s="6"/>
      <c r="Q32" s="6"/>
    </row>
    <row r="33" spans="1:17">
      <c r="A33" s="6"/>
      <c r="B33" s="9" t="s">
        <v>87</v>
      </c>
      <c r="C33" s="3" t="s">
        <v>56</v>
      </c>
      <c r="D33" s="3" t="s">
        <v>42</v>
      </c>
      <c r="E33" s="10">
        <v>19</v>
      </c>
      <c r="F33" s="10">
        <v>19</v>
      </c>
      <c r="G33" s="10">
        <v>63</v>
      </c>
      <c r="H33" s="10">
        <v>32</v>
      </c>
      <c r="I33" s="11" t="str">
        <f t="shared" si="0"/>
        <v/>
      </c>
      <c r="J33" s="6" t="str">
        <f t="shared" si="2"/>
        <v/>
      </c>
      <c r="K33" s="7"/>
      <c r="L33" s="7"/>
      <c r="M33" s="7"/>
      <c r="N33" s="6"/>
      <c r="O33" s="6"/>
      <c r="P33" s="6"/>
      <c r="Q33" s="6"/>
    </row>
    <row r="34" spans="1:17">
      <c r="A34" s="6"/>
      <c r="B34" s="9" t="s">
        <v>88</v>
      </c>
      <c r="C34" s="3" t="s">
        <v>41</v>
      </c>
      <c r="D34" s="3" t="s">
        <v>45</v>
      </c>
      <c r="E34" s="10">
        <v>19</v>
      </c>
      <c r="F34" s="10">
        <v>20</v>
      </c>
      <c r="G34" s="10">
        <v>50</v>
      </c>
      <c r="H34" s="10">
        <v>30</v>
      </c>
      <c r="I34" s="11" t="str">
        <f t="shared" si="0"/>
        <v/>
      </c>
      <c r="J34" s="6" t="str">
        <f t="shared" si="2"/>
        <v/>
      </c>
      <c r="K34" s="7"/>
      <c r="L34" s="7"/>
      <c r="M34" s="7"/>
      <c r="N34" s="6"/>
      <c r="O34" s="6"/>
      <c r="P34" s="6"/>
      <c r="Q34" s="6"/>
    </row>
    <row r="35" spans="1:17">
      <c r="A35" s="6"/>
      <c r="B35" s="9" t="s">
        <v>89</v>
      </c>
      <c r="C35" s="3" t="s">
        <v>73</v>
      </c>
      <c r="D35" s="3" t="s">
        <v>37</v>
      </c>
      <c r="E35" s="10">
        <v>19</v>
      </c>
      <c r="F35" s="10">
        <v>20</v>
      </c>
      <c r="G35" s="10">
        <v>60</v>
      </c>
      <c r="H35" s="10">
        <v>30</v>
      </c>
      <c r="I35" s="11" t="str">
        <f t="shared" si="0"/>
        <v/>
      </c>
      <c r="J35" s="6" t="str">
        <f t="shared" si="2"/>
        <v/>
      </c>
      <c r="K35" s="7"/>
      <c r="L35" s="7"/>
      <c r="M35" s="7"/>
      <c r="N35" s="6"/>
      <c r="O35" s="6"/>
      <c r="P35" s="6"/>
      <c r="Q35" s="6"/>
    </row>
    <row r="36" spans="1:17">
      <c r="A36" s="6"/>
      <c r="B36" s="9" t="s">
        <v>90</v>
      </c>
      <c r="C36" s="3" t="s">
        <v>36</v>
      </c>
      <c r="D36" s="3" t="s">
        <v>42</v>
      </c>
      <c r="E36" s="10">
        <v>19</v>
      </c>
      <c r="F36" s="10">
        <v>20</v>
      </c>
      <c r="G36" s="10">
        <v>75</v>
      </c>
      <c r="H36" s="10">
        <v>28</v>
      </c>
      <c r="I36" s="11" t="str">
        <f t="shared" si="0"/>
        <v/>
      </c>
      <c r="J36" s="6" t="str">
        <f t="shared" si="2"/>
        <v/>
      </c>
      <c r="K36" s="7"/>
      <c r="L36" s="7"/>
      <c r="M36" s="7"/>
      <c r="N36" s="6"/>
      <c r="O36" s="6"/>
      <c r="P36" s="6"/>
      <c r="Q36" s="6"/>
    </row>
    <row r="37" spans="1:17">
      <c r="A37" s="6"/>
      <c r="B37" s="9" t="s">
        <v>91</v>
      </c>
      <c r="C37" s="3" t="s">
        <v>56</v>
      </c>
      <c r="D37" s="3" t="s">
        <v>37</v>
      </c>
      <c r="E37" s="10">
        <v>15</v>
      </c>
      <c r="F37" s="10">
        <v>9</v>
      </c>
      <c r="G37" s="10">
        <v>35</v>
      </c>
      <c r="H37" s="10">
        <v>26</v>
      </c>
      <c r="I37" s="11" t="str">
        <f t="shared" si="0"/>
        <v/>
      </c>
      <c r="J37" s="6" t="str">
        <f t="shared" si="2"/>
        <v/>
      </c>
      <c r="K37" s="7"/>
      <c r="L37" s="7"/>
      <c r="M37" s="7"/>
      <c r="N37" s="6"/>
      <c r="O37" s="6"/>
      <c r="P37" s="6"/>
      <c r="Q37" s="6"/>
    </row>
    <row r="38" spans="1:17">
      <c r="A38" s="6"/>
      <c r="B38" s="9" t="s">
        <v>92</v>
      </c>
      <c r="C38" s="3" t="s">
        <v>36</v>
      </c>
      <c r="D38" s="3" t="s">
        <v>37</v>
      </c>
      <c r="E38" s="10">
        <v>14</v>
      </c>
      <c r="F38" s="10">
        <v>11</v>
      </c>
      <c r="G38" s="10">
        <v>60</v>
      </c>
      <c r="H38" s="10">
        <v>10</v>
      </c>
      <c r="I38" s="11" t="str">
        <f t="shared" si="0"/>
        <v/>
      </c>
      <c r="J38" s="6" t="str">
        <f t="shared" si="2"/>
        <v/>
      </c>
      <c r="K38" s="7"/>
      <c r="L38" s="7"/>
      <c r="M38" s="7"/>
      <c r="N38" s="6"/>
      <c r="O38" s="6"/>
      <c r="P38" s="6"/>
      <c r="Q38" s="6"/>
    </row>
    <row r="39" spans="1:17">
      <c r="A39" s="6"/>
      <c r="B39" s="9" t="s">
        <v>93</v>
      </c>
      <c r="C39" s="3" t="s">
        <v>48</v>
      </c>
      <c r="D39" s="3" t="s">
        <v>45</v>
      </c>
      <c r="E39" s="10">
        <v>15</v>
      </c>
      <c r="F39" s="10">
        <v>8</v>
      </c>
      <c r="G39" s="10">
        <v>71</v>
      </c>
      <c r="H39" s="10">
        <v>0</v>
      </c>
      <c r="I39" s="11" t="str">
        <f t="shared" si="0"/>
        <v/>
      </c>
      <c r="J39" s="6" t="str">
        <f t="shared" si="2"/>
        <v/>
      </c>
      <c r="K39" s="7"/>
      <c r="L39" s="7"/>
      <c r="M39" s="7"/>
      <c r="N39" s="6"/>
      <c r="O39" s="6"/>
      <c r="P39" s="6"/>
      <c r="Q39" s="6"/>
    </row>
    <row r="40" spans="1:17">
      <c r="A40" s="6"/>
      <c r="B40" s="9" t="s">
        <v>94</v>
      </c>
      <c r="C40" s="10" t="s">
        <v>66</v>
      </c>
      <c r="D40" s="3" t="s">
        <v>37</v>
      </c>
      <c r="E40" s="10">
        <v>0</v>
      </c>
      <c r="F40" s="10">
        <v>0</v>
      </c>
      <c r="G40" s="10">
        <v>0</v>
      </c>
      <c r="H40" s="10">
        <v>0</v>
      </c>
      <c r="I40" s="11" t="str">
        <f t="shared" si="0"/>
        <v/>
      </c>
      <c r="J40" s="6" t="str">
        <f t="shared" si="2"/>
        <v/>
      </c>
      <c r="K40" s="7"/>
      <c r="L40" s="7"/>
      <c r="M40" s="7"/>
      <c r="N40" s="6"/>
      <c r="O40" s="6"/>
      <c r="P40" s="6"/>
      <c r="Q40" s="6"/>
    </row>
    <row r="41" spans="1:17">
      <c r="A41" s="6"/>
      <c r="B41" s="9" t="s">
        <v>95</v>
      </c>
      <c r="C41" s="3" t="s">
        <v>56</v>
      </c>
      <c r="D41" s="3" t="s">
        <v>37</v>
      </c>
      <c r="E41" s="10">
        <v>13</v>
      </c>
      <c r="F41" s="10">
        <v>0</v>
      </c>
      <c r="G41" s="10">
        <v>45</v>
      </c>
      <c r="H41" s="10">
        <v>0</v>
      </c>
      <c r="I41" s="11" t="str">
        <f t="shared" si="0"/>
        <v/>
      </c>
      <c r="J41" s="6" t="str">
        <f t="shared" si="2"/>
        <v/>
      </c>
      <c r="K41" s="7"/>
      <c r="L41" s="7"/>
      <c r="M41" s="7"/>
      <c r="N41" s="6"/>
      <c r="O41" s="6"/>
      <c r="P41" s="6"/>
      <c r="Q41" s="6"/>
    </row>
    <row r="42" spans="1:17">
      <c r="A42" s="6"/>
      <c r="B42" s="9" t="s">
        <v>96</v>
      </c>
      <c r="C42" s="3" t="s">
        <v>41</v>
      </c>
      <c r="D42" s="3" t="s">
        <v>45</v>
      </c>
      <c r="E42" s="10">
        <v>12</v>
      </c>
      <c r="F42" s="10">
        <v>13</v>
      </c>
      <c r="G42" s="10">
        <v>30</v>
      </c>
      <c r="H42" s="10">
        <v>0</v>
      </c>
      <c r="I42" s="11" t="str">
        <f t="shared" si="0"/>
        <v/>
      </c>
      <c r="J42" s="6" t="str">
        <f t="shared" si="2"/>
        <v/>
      </c>
      <c r="K42" s="7"/>
      <c r="L42" s="7"/>
      <c r="M42" s="7"/>
      <c r="N42" s="6"/>
      <c r="O42" s="6"/>
      <c r="P42" s="6"/>
      <c r="Q42" s="6"/>
    </row>
    <row r="43" spans="1:17">
      <c r="A43" s="6"/>
      <c r="B43" s="9" t="s">
        <v>97</v>
      </c>
      <c r="C43" s="3" t="s">
        <v>68</v>
      </c>
      <c r="D43" s="3" t="s">
        <v>45</v>
      </c>
      <c r="E43" s="10">
        <v>0</v>
      </c>
      <c r="F43" s="10">
        <v>0</v>
      </c>
      <c r="G43" s="10">
        <v>0</v>
      </c>
      <c r="H43" s="10">
        <v>0</v>
      </c>
      <c r="I43" s="11" t="str">
        <f t="shared" si="0"/>
        <v/>
      </c>
      <c r="J43" s="6" t="str">
        <f t="shared" si="2"/>
        <v/>
      </c>
      <c r="K43" s="7"/>
      <c r="L43" s="7"/>
      <c r="M43" s="7"/>
      <c r="N43" s="6"/>
      <c r="O43" s="6"/>
      <c r="P43" s="6"/>
      <c r="Q43" s="6"/>
    </row>
    <row r="44" spans="1:17">
      <c r="A44" s="6"/>
      <c r="B44" s="16"/>
      <c r="C44" s="17"/>
      <c r="D44" s="17"/>
      <c r="E44" s="16"/>
      <c r="F44" s="16"/>
      <c r="G44" s="16"/>
      <c r="H44" s="16"/>
      <c r="I44" s="15"/>
      <c r="J44" s="6"/>
      <c r="K44" s="7"/>
      <c r="L44" s="7"/>
      <c r="M44" s="7"/>
      <c r="N44" s="6"/>
      <c r="O44" s="6"/>
      <c r="P44" s="6"/>
      <c r="Q44" s="6"/>
    </row>
    <row r="45" spans="1:17">
      <c r="A45" s="6"/>
      <c r="B45" s="16"/>
      <c r="C45" s="17"/>
      <c r="D45" s="17"/>
      <c r="E45" s="16"/>
      <c r="F45" s="16"/>
      <c r="G45" s="16"/>
      <c r="H45" s="16"/>
      <c r="I45" s="15"/>
      <c r="J45" s="6"/>
      <c r="K45" s="7"/>
      <c r="L45" s="7"/>
      <c r="M45" s="7"/>
      <c r="N45" s="6"/>
      <c r="O45" s="6"/>
      <c r="P45" s="6"/>
      <c r="Q45" s="6"/>
    </row>
    <row r="46" spans="1:17">
      <c r="A46" s="6"/>
      <c r="B46" s="6"/>
      <c r="C46" s="6"/>
      <c r="D46" s="6"/>
      <c r="E46" s="6"/>
      <c r="F46" s="6"/>
      <c r="G46" s="6"/>
      <c r="H46" s="6"/>
      <c r="I46" s="6"/>
      <c r="J46" s="6"/>
      <c r="K46" s="7"/>
      <c r="L46" s="7"/>
      <c r="M46" s="7"/>
      <c r="N46" s="6"/>
      <c r="O46" s="6"/>
      <c r="P46" s="6"/>
      <c r="Q46" s="6"/>
    </row>
    <row r="47" spans="1:17">
      <c r="A47" s="6"/>
      <c r="B47" s="6" t="s">
        <v>98</v>
      </c>
      <c r="C47" s="6"/>
      <c r="D47" s="6"/>
      <c r="E47" s="6"/>
      <c r="F47" s="6"/>
      <c r="G47" s="6"/>
      <c r="H47" s="6"/>
      <c r="I47" s="6"/>
      <c r="J47" s="6"/>
      <c r="K47" s="6" t="s">
        <v>99</v>
      </c>
      <c r="L47" s="7"/>
      <c r="M47" s="6"/>
      <c r="N47" s="6"/>
      <c r="O47" s="6"/>
      <c r="P47" s="6"/>
      <c r="Q47" s="6"/>
    </row>
    <row r="48" spans="1:17">
      <c r="A48" s="6"/>
      <c r="B48" s="18"/>
      <c r="C48" s="18" t="s">
        <v>100</v>
      </c>
      <c r="D48" s="18">
        <v>4</v>
      </c>
      <c r="E48" s="18">
        <v>3</v>
      </c>
      <c r="F48" s="18">
        <v>2</v>
      </c>
      <c r="G48" s="18">
        <v>1</v>
      </c>
      <c r="H48" s="18">
        <v>0</v>
      </c>
      <c r="I48" s="19" t="s">
        <v>101</v>
      </c>
      <c r="J48" s="6"/>
      <c r="K48" s="3" t="s">
        <v>102</v>
      </c>
      <c r="L48" s="3" t="s">
        <v>103</v>
      </c>
      <c r="M48" s="7"/>
      <c r="N48" s="6"/>
      <c r="O48" s="6"/>
      <c r="P48" s="6"/>
      <c r="Q48" s="6"/>
    </row>
    <row r="49" spans="1:17">
      <c r="A49" s="6"/>
      <c r="B49" s="43" t="s">
        <v>103</v>
      </c>
      <c r="C49" s="20" t="s">
        <v>36</v>
      </c>
      <c r="D49" s="11">
        <v>5</v>
      </c>
      <c r="E49" s="11">
        <v>1</v>
      </c>
      <c r="F49" s="11">
        <v>3</v>
      </c>
      <c r="G49" s="11">
        <v>4</v>
      </c>
      <c r="H49" s="11"/>
      <c r="I49" s="11" t="str">
        <f>VLOOKUP(SUMPRODUCT(D49:H49,$D$48:$H$48),$K$49:$L$53,2)</f>
        <v>A</v>
      </c>
      <c r="J49" s="6"/>
      <c r="K49" s="3">
        <v>0</v>
      </c>
      <c r="L49" s="3" t="s">
        <v>104</v>
      </c>
      <c r="M49" s="7"/>
      <c r="N49" s="6"/>
      <c r="O49" s="6"/>
      <c r="P49" s="6"/>
      <c r="Q49" s="6"/>
    </row>
    <row r="50" spans="1:17">
      <c r="A50" s="6"/>
      <c r="B50" s="43"/>
      <c r="C50" s="20" t="s">
        <v>66</v>
      </c>
      <c r="D50" s="11">
        <v>4</v>
      </c>
      <c r="E50" s="11"/>
      <c r="F50" s="11">
        <v>5</v>
      </c>
      <c r="G50" s="11">
        <v>1</v>
      </c>
      <c r="H50" s="11">
        <v>2</v>
      </c>
      <c r="I50" s="11" t="str">
        <f t="shared" ref="I50:I54" si="3">VLOOKUP(SUMPRODUCT(D50:H50,$D$48:$H$48),$K$49:$L$53,2)</f>
        <v>A</v>
      </c>
      <c r="J50" s="6"/>
      <c r="K50" s="3">
        <v>5</v>
      </c>
      <c r="L50" s="3" t="s">
        <v>105</v>
      </c>
      <c r="M50" s="7"/>
      <c r="N50" s="6"/>
      <c r="O50" s="6"/>
      <c r="P50" s="6"/>
      <c r="Q50" s="6"/>
    </row>
    <row r="51" spans="1:17">
      <c r="A51" s="6"/>
      <c r="B51" s="43"/>
      <c r="C51" s="20" t="s">
        <v>53</v>
      </c>
      <c r="D51" s="11"/>
      <c r="E51" s="11">
        <v>1</v>
      </c>
      <c r="F51" s="11">
        <v>2</v>
      </c>
      <c r="G51" s="11"/>
      <c r="H51" s="11">
        <v>1</v>
      </c>
      <c r="I51" s="11" t="str">
        <f t="shared" si="3"/>
        <v>D</v>
      </c>
      <c r="J51" s="6"/>
      <c r="K51" s="3">
        <v>10</v>
      </c>
      <c r="L51" s="3" t="s">
        <v>106</v>
      </c>
      <c r="M51" s="7"/>
      <c r="N51" s="6"/>
      <c r="O51" s="6"/>
      <c r="P51" s="6"/>
      <c r="Q51" s="6"/>
    </row>
    <row r="52" spans="1:17">
      <c r="A52" s="6"/>
      <c r="B52" s="43"/>
      <c r="C52" s="20" t="s">
        <v>107</v>
      </c>
      <c r="D52" s="11">
        <v>2</v>
      </c>
      <c r="E52" s="11">
        <v>2</v>
      </c>
      <c r="F52" s="11"/>
      <c r="G52" s="11">
        <v>1</v>
      </c>
      <c r="H52" s="11"/>
      <c r="I52" s="11" t="str">
        <f t="shared" si="3"/>
        <v>B</v>
      </c>
      <c r="J52" s="6"/>
      <c r="K52" s="3">
        <v>15</v>
      </c>
      <c r="L52" s="3" t="s">
        <v>108</v>
      </c>
      <c r="M52" s="7"/>
      <c r="N52" s="6"/>
      <c r="O52" s="6"/>
      <c r="P52" s="6"/>
      <c r="Q52" s="6"/>
    </row>
    <row r="53" spans="1:17">
      <c r="A53" s="6"/>
      <c r="B53" s="43"/>
      <c r="C53" s="20" t="s">
        <v>109</v>
      </c>
      <c r="D53" s="11">
        <v>1</v>
      </c>
      <c r="E53" s="11">
        <v>0</v>
      </c>
      <c r="F53" s="11">
        <v>1</v>
      </c>
      <c r="G53" s="11">
        <v>4</v>
      </c>
      <c r="H53" s="11">
        <v>1</v>
      </c>
      <c r="I53" s="11" t="str">
        <f t="shared" si="3"/>
        <v>C</v>
      </c>
      <c r="J53" s="6"/>
      <c r="K53" s="3">
        <v>20</v>
      </c>
      <c r="L53" s="3" t="s">
        <v>110</v>
      </c>
      <c r="M53" s="7"/>
      <c r="N53" s="6"/>
      <c r="O53" s="6"/>
      <c r="P53" s="6"/>
      <c r="Q53" s="6"/>
    </row>
    <row r="54" spans="1:17">
      <c r="A54" s="6"/>
      <c r="B54" s="43"/>
      <c r="C54" s="20" t="s">
        <v>111</v>
      </c>
      <c r="D54" s="11">
        <v>5</v>
      </c>
      <c r="E54" s="11"/>
      <c r="F54" s="11"/>
      <c r="G54" s="11"/>
      <c r="H54" s="11"/>
      <c r="I54" s="11" t="str">
        <f t="shared" si="3"/>
        <v>A</v>
      </c>
      <c r="J54" s="6"/>
      <c r="K54" s="7"/>
      <c r="L54" s="7"/>
      <c r="M54" s="7"/>
      <c r="N54" s="6"/>
      <c r="O54" s="6"/>
      <c r="P54" s="6"/>
      <c r="Q54" s="6"/>
    </row>
    <row r="55" spans="1:17">
      <c r="A55" s="6"/>
      <c r="B55" s="6"/>
      <c r="C55" s="6"/>
      <c r="D55" s="6"/>
      <c r="E55" s="6"/>
      <c r="F55" s="6"/>
      <c r="G55" s="6"/>
      <c r="H55" s="6"/>
      <c r="I55" s="6"/>
      <c r="J55" s="7"/>
      <c r="K55" s="7"/>
      <c r="L55" s="7"/>
      <c r="M55" s="6"/>
      <c r="N55" s="6"/>
      <c r="O55" s="6"/>
      <c r="P55" s="6"/>
      <c r="Q55" s="6"/>
    </row>
    <row r="56" spans="1:17">
      <c r="A56" s="6"/>
      <c r="B56" s="6"/>
      <c r="C56" s="6"/>
      <c r="D56" s="6"/>
      <c r="E56" s="6"/>
      <c r="F56" s="6"/>
      <c r="G56" s="6"/>
      <c r="H56" s="6"/>
      <c r="I56" s="6"/>
      <c r="J56" s="6"/>
      <c r="K56" s="7"/>
      <c r="L56" s="7"/>
      <c r="M56" s="7"/>
      <c r="N56" s="6"/>
      <c r="O56" s="6"/>
      <c r="P56" s="6"/>
      <c r="Q56" s="6"/>
    </row>
    <row r="57" spans="1:17">
      <c r="A57" s="6"/>
      <c r="B57" s="6"/>
      <c r="C57" s="6"/>
      <c r="D57" s="6"/>
      <c r="E57" s="6"/>
      <c r="F57" s="6"/>
      <c r="G57" s="6"/>
      <c r="H57" s="6"/>
      <c r="I57" s="6"/>
      <c r="J57" s="6"/>
      <c r="K57" s="7"/>
      <c r="L57" s="7"/>
      <c r="M57" s="7"/>
      <c r="N57" s="6"/>
      <c r="O57" s="6"/>
      <c r="P57" s="6"/>
      <c r="Q57" s="6"/>
    </row>
    <row r="58" spans="1:17">
      <c r="A58" s="6"/>
      <c r="B58" s="6"/>
      <c r="C58" s="6"/>
      <c r="D58" s="6"/>
      <c r="E58" s="6"/>
      <c r="F58" s="6"/>
      <c r="G58" s="6"/>
      <c r="H58" s="6"/>
      <c r="I58" s="6"/>
      <c r="J58" s="6"/>
      <c r="K58" s="7"/>
      <c r="L58" s="7"/>
      <c r="M58" s="7"/>
      <c r="N58" s="6"/>
      <c r="O58" s="6"/>
      <c r="P58" s="6"/>
      <c r="Q58" s="6"/>
    </row>
    <row r="59" spans="1:17">
      <c r="A59" s="6"/>
      <c r="B59" s="6"/>
      <c r="C59" s="6"/>
      <c r="D59" s="6"/>
      <c r="E59" s="6"/>
      <c r="F59" s="6"/>
      <c r="G59" s="6"/>
      <c r="H59" s="6"/>
      <c r="I59" s="6"/>
      <c r="J59" s="6"/>
      <c r="K59" s="7"/>
      <c r="L59" s="7"/>
      <c r="M59" s="7"/>
      <c r="N59" s="6"/>
      <c r="O59" s="6"/>
      <c r="P59" s="6"/>
      <c r="Q59" s="6"/>
    </row>
    <row r="60" spans="1:17">
      <c r="A60" s="6"/>
      <c r="B60" s="6"/>
      <c r="C60" s="6"/>
      <c r="D60" s="6"/>
      <c r="E60" s="6"/>
      <c r="F60" s="6"/>
      <c r="G60" s="6"/>
      <c r="H60" s="6"/>
      <c r="I60" s="6"/>
      <c r="J60" s="6"/>
      <c r="K60" s="7"/>
      <c r="L60" s="7"/>
      <c r="M60" s="7"/>
      <c r="N60" s="6"/>
      <c r="O60" s="6"/>
      <c r="P60" s="6"/>
      <c r="Q60" s="6"/>
    </row>
    <row r="61" spans="1:17">
      <c r="A61" s="6"/>
      <c r="B61" s="6"/>
      <c r="C61" s="6"/>
      <c r="D61" s="6"/>
      <c r="E61" s="6"/>
      <c r="F61" s="6"/>
      <c r="G61" s="6"/>
      <c r="H61" s="6"/>
      <c r="I61" s="6"/>
      <c r="J61" s="6"/>
      <c r="K61" s="7"/>
      <c r="L61" s="7"/>
      <c r="M61" s="7"/>
      <c r="N61" s="6"/>
      <c r="O61" s="6"/>
      <c r="P61" s="6"/>
      <c r="Q61" s="6"/>
    </row>
    <row r="62" spans="1:17">
      <c r="A62" s="6"/>
      <c r="B62" s="6"/>
      <c r="C62" s="6"/>
      <c r="D62" s="6"/>
      <c r="E62" s="6"/>
      <c r="F62" s="6"/>
      <c r="G62" s="6"/>
      <c r="H62" s="6"/>
      <c r="I62" s="6"/>
      <c r="J62" s="6"/>
      <c r="K62" s="7"/>
      <c r="L62" s="7"/>
      <c r="M62" s="7"/>
      <c r="N62" s="6"/>
      <c r="O62" s="6"/>
      <c r="P62" s="6"/>
      <c r="Q62" s="6"/>
    </row>
    <row r="63" spans="1:17">
      <c r="A63" s="6"/>
      <c r="B63" s="6"/>
      <c r="C63" s="6"/>
      <c r="D63" s="6"/>
      <c r="E63" s="6"/>
      <c r="F63" s="6"/>
      <c r="G63" s="6"/>
      <c r="H63" s="6"/>
      <c r="I63" s="6"/>
      <c r="J63" s="6"/>
      <c r="K63" s="7"/>
      <c r="L63" s="7"/>
      <c r="M63" s="7"/>
      <c r="N63" s="6"/>
      <c r="O63" s="6"/>
      <c r="P63" s="6"/>
      <c r="Q63" s="6"/>
    </row>
    <row r="64" spans="1:17">
      <c r="A64" s="6"/>
      <c r="B64" s="6"/>
      <c r="C64" s="6"/>
      <c r="D64" s="6"/>
      <c r="E64" s="6"/>
      <c r="F64" s="6"/>
      <c r="G64" s="6"/>
      <c r="H64" s="6"/>
      <c r="I64" s="6"/>
      <c r="J64" s="6"/>
      <c r="K64" s="7"/>
      <c r="L64" s="7"/>
      <c r="M64" s="7"/>
      <c r="N64" s="6"/>
      <c r="O64" s="6"/>
      <c r="P64" s="6"/>
      <c r="Q64" s="6"/>
    </row>
    <row r="65" spans="1:17">
      <c r="A65" s="6"/>
      <c r="B65" s="6"/>
      <c r="C65" s="6"/>
      <c r="D65" s="6"/>
      <c r="E65" s="6"/>
      <c r="F65" s="6"/>
      <c r="G65" s="6"/>
      <c r="H65" s="6"/>
      <c r="I65" s="6"/>
      <c r="J65" s="6"/>
      <c r="K65" s="7"/>
      <c r="L65" s="7"/>
      <c r="M65" s="7"/>
      <c r="N65" s="6"/>
      <c r="O65" s="6"/>
      <c r="P65" s="6"/>
      <c r="Q65" s="6"/>
    </row>
    <row r="66" spans="1:17">
      <c r="A66" s="6"/>
      <c r="B66" s="6"/>
      <c r="C66" s="6"/>
      <c r="D66" s="6"/>
      <c r="E66" s="6"/>
      <c r="F66" s="6"/>
      <c r="G66" s="6"/>
      <c r="H66" s="6"/>
      <c r="I66" s="6"/>
      <c r="J66" s="6"/>
      <c r="K66" s="7"/>
      <c r="L66" s="7"/>
      <c r="M66" s="7"/>
      <c r="N66" s="6"/>
      <c r="O66" s="6"/>
      <c r="P66" s="6"/>
      <c r="Q66" s="6"/>
    </row>
    <row r="67" spans="1:17">
      <c r="A67" s="6"/>
      <c r="B67" s="6"/>
      <c r="C67" s="6"/>
      <c r="D67" s="6"/>
      <c r="E67" s="6"/>
      <c r="F67" s="6"/>
      <c r="G67" s="6"/>
      <c r="H67" s="6"/>
      <c r="I67" s="6"/>
      <c r="J67" s="6"/>
      <c r="K67" s="7"/>
      <c r="L67" s="7"/>
      <c r="M67" s="7"/>
      <c r="N67" s="6"/>
      <c r="O67" s="6"/>
      <c r="P67" s="6"/>
      <c r="Q67" s="6"/>
    </row>
    <row r="68" spans="1:17">
      <c r="A68" s="6"/>
      <c r="B68" s="6"/>
      <c r="C68" s="6"/>
      <c r="D68" s="6"/>
      <c r="E68" s="6"/>
      <c r="F68" s="6"/>
      <c r="G68" s="6"/>
      <c r="H68" s="6"/>
      <c r="I68" s="6"/>
      <c r="J68" s="6"/>
      <c r="K68" s="7"/>
      <c r="L68" s="7"/>
      <c r="M68" s="7"/>
      <c r="N68" s="6"/>
      <c r="O68" s="6"/>
      <c r="P68" s="6"/>
      <c r="Q68" s="6"/>
    </row>
    <row r="69" spans="1:17">
      <c r="A69" s="6"/>
      <c r="B69" s="6"/>
      <c r="C69" s="6"/>
      <c r="D69" s="6"/>
      <c r="E69" s="6"/>
      <c r="F69" s="6"/>
      <c r="G69" s="6"/>
      <c r="H69" s="6"/>
      <c r="I69" s="6"/>
      <c r="J69" s="6"/>
      <c r="K69" s="7"/>
      <c r="L69" s="7"/>
      <c r="M69" s="7"/>
      <c r="N69" s="6"/>
      <c r="O69" s="6"/>
      <c r="P69" s="6"/>
      <c r="Q69" s="6"/>
    </row>
    <row r="70" spans="1:17">
      <c r="A70" s="6"/>
      <c r="B70" s="6"/>
      <c r="C70" s="6"/>
      <c r="D70" s="6"/>
      <c r="E70" s="6"/>
      <c r="F70" s="6"/>
      <c r="G70" s="6"/>
      <c r="H70" s="6"/>
      <c r="I70" s="6"/>
      <c r="J70" s="6"/>
      <c r="K70" s="7"/>
      <c r="L70" s="7"/>
      <c r="M70" s="7"/>
      <c r="N70" s="6"/>
      <c r="O70" s="6"/>
      <c r="P70" s="6"/>
      <c r="Q70" s="6"/>
    </row>
    <row r="71" spans="1:17">
      <c r="A71" s="6"/>
      <c r="B71" s="6"/>
      <c r="C71" s="6"/>
      <c r="D71" s="6"/>
      <c r="E71" s="6"/>
      <c r="F71" s="6"/>
      <c r="G71" s="6"/>
      <c r="H71" s="6"/>
      <c r="I71" s="6"/>
      <c r="J71" s="6"/>
      <c r="K71" s="7"/>
      <c r="L71" s="7"/>
      <c r="M71" s="7"/>
      <c r="N71" s="6"/>
      <c r="O71" s="6"/>
      <c r="P71" s="6"/>
      <c r="Q71" s="6"/>
    </row>
  </sheetData>
  <mergeCells count="1">
    <mergeCell ref="B49:B54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F12"/>
  <sheetViews>
    <sheetView workbookViewId="0"/>
  </sheetViews>
  <sheetFormatPr defaultRowHeight="17"/>
  <cols>
    <col min="2" max="2" width="11.4140625" bestFit="1" customWidth="1"/>
    <col min="3" max="3" width="10.75" bestFit="1" customWidth="1"/>
    <col min="4" max="4" width="10.58203125" customWidth="1"/>
    <col min="5" max="5" width="12.5" bestFit="1" customWidth="1"/>
    <col min="6" max="6" width="8.83203125" customWidth="1"/>
  </cols>
  <sheetData>
    <row r="3" spans="2:6">
      <c r="B3" s="37" t="s">
        <v>113</v>
      </c>
      <c r="C3" s="37" t="s">
        <v>112</v>
      </c>
      <c r="D3" t="s">
        <v>163</v>
      </c>
      <c r="E3" t="s">
        <v>164</v>
      </c>
      <c r="F3" t="s">
        <v>167</v>
      </c>
    </row>
    <row r="4" spans="2:6">
      <c r="B4" t="s">
        <v>9</v>
      </c>
      <c r="C4" t="s">
        <v>118</v>
      </c>
      <c r="D4" s="40">
        <v>58500</v>
      </c>
      <c r="E4" s="38">
        <v>135</v>
      </c>
      <c r="F4" s="39">
        <v>0.21676300578034682</v>
      </c>
    </row>
    <row r="5" spans="2:6">
      <c r="C5" t="s">
        <v>119</v>
      </c>
      <c r="D5" s="40">
        <v>11000</v>
      </c>
      <c r="E5" s="38">
        <v>110</v>
      </c>
      <c r="F5" s="39">
        <v>4.0758855787757522E-2</v>
      </c>
    </row>
    <row r="6" spans="2:6">
      <c r="B6" t="s">
        <v>165</v>
      </c>
      <c r="D6" s="40">
        <v>69500</v>
      </c>
      <c r="E6" s="38">
        <v>245</v>
      </c>
      <c r="F6" s="39">
        <v>0.25752186156810436</v>
      </c>
    </row>
    <row r="7" spans="2:6">
      <c r="B7" t="s">
        <v>13</v>
      </c>
      <c r="C7" t="s">
        <v>118</v>
      </c>
      <c r="D7" s="40">
        <v>24680</v>
      </c>
      <c r="E7" s="38">
        <v>74</v>
      </c>
      <c r="F7" s="39">
        <v>9.1448050985623239E-2</v>
      </c>
    </row>
    <row r="8" spans="2:6">
      <c r="C8" t="s">
        <v>120</v>
      </c>
      <c r="D8" s="40">
        <v>10000</v>
      </c>
      <c r="E8" s="38">
        <v>0</v>
      </c>
      <c r="F8" s="39">
        <v>3.7053505261597744E-2</v>
      </c>
    </row>
    <row r="9" spans="2:6">
      <c r="C9" t="s">
        <v>117</v>
      </c>
      <c r="D9" s="40">
        <v>0</v>
      </c>
      <c r="E9" s="38">
        <v>-200</v>
      </c>
      <c r="F9" s="39">
        <v>0</v>
      </c>
    </row>
    <row r="10" spans="2:6">
      <c r="C10" t="s">
        <v>119</v>
      </c>
      <c r="D10" s="40">
        <v>165700</v>
      </c>
      <c r="E10" s="38">
        <v>217</v>
      </c>
      <c r="F10" s="39">
        <v>0.61397658218467466</v>
      </c>
    </row>
    <row r="11" spans="2:6">
      <c r="B11" t="s">
        <v>166</v>
      </c>
      <c r="D11" s="40">
        <v>200380</v>
      </c>
      <c r="E11" s="38">
        <v>91</v>
      </c>
      <c r="F11" s="39">
        <v>0.7424781384318957</v>
      </c>
    </row>
    <row r="12" spans="2:6">
      <c r="B12" t="s">
        <v>162</v>
      </c>
      <c r="D12" s="40">
        <v>269880</v>
      </c>
      <c r="E12" s="38">
        <v>336</v>
      </c>
      <c r="F12" s="39">
        <v>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0"/>
  <sheetViews>
    <sheetView workbookViewId="0"/>
  </sheetViews>
  <sheetFormatPr defaultRowHeight="17" outlineLevelRow="3"/>
  <sheetData>
    <row r="1" spans="1:6">
      <c r="A1" s="23" t="s">
        <v>112</v>
      </c>
      <c r="B1" s="23" t="s">
        <v>113</v>
      </c>
      <c r="C1" s="23" t="s">
        <v>114</v>
      </c>
      <c r="D1" s="23" t="s">
        <v>115</v>
      </c>
      <c r="E1" s="23" t="s">
        <v>116</v>
      </c>
      <c r="F1" s="23" t="s">
        <v>117</v>
      </c>
    </row>
    <row r="2" spans="1:6" outlineLevel="3">
      <c r="A2" s="24" t="s">
        <v>118</v>
      </c>
      <c r="B2" s="24" t="s">
        <v>9</v>
      </c>
      <c r="C2" s="24">
        <v>10</v>
      </c>
      <c r="D2" s="24">
        <v>10</v>
      </c>
      <c r="E2" s="24">
        <v>500</v>
      </c>
      <c r="F2" s="24">
        <v>5</v>
      </c>
    </row>
    <row r="3" spans="1:6" outlineLevel="3">
      <c r="A3" s="24" t="s">
        <v>118</v>
      </c>
      <c r="B3" s="24" t="s">
        <v>9</v>
      </c>
      <c r="C3" s="24">
        <v>20</v>
      </c>
      <c r="D3" s="24">
        <v>20</v>
      </c>
      <c r="E3" s="24">
        <v>40000</v>
      </c>
      <c r="F3" s="24">
        <v>40</v>
      </c>
    </row>
    <row r="4" spans="1:6" outlineLevel="3">
      <c r="A4" s="24" t="s">
        <v>118</v>
      </c>
      <c r="B4" s="24" t="s">
        <v>9</v>
      </c>
      <c r="C4" s="24">
        <v>40</v>
      </c>
      <c r="D4" s="24">
        <v>40</v>
      </c>
      <c r="E4" s="24">
        <v>8000</v>
      </c>
      <c r="F4" s="24">
        <v>80</v>
      </c>
    </row>
    <row r="5" spans="1:6" outlineLevel="2">
      <c r="A5" s="18" t="s">
        <v>172</v>
      </c>
      <c r="B5" s="24"/>
      <c r="C5" s="24">
        <f>SUBTOTAL(3,C2:C4)</f>
        <v>3</v>
      </c>
      <c r="D5" s="24"/>
      <c r="E5" s="24"/>
      <c r="F5" s="24"/>
    </row>
    <row r="6" spans="1:6" outlineLevel="3">
      <c r="A6" s="24" t="s">
        <v>119</v>
      </c>
      <c r="B6" s="24" t="s">
        <v>9</v>
      </c>
      <c r="C6" s="24">
        <v>50</v>
      </c>
      <c r="D6" s="24">
        <v>50</v>
      </c>
      <c r="E6" s="24">
        <v>1000</v>
      </c>
      <c r="F6" s="24">
        <v>10</v>
      </c>
    </row>
    <row r="7" spans="1:6" outlineLevel="3">
      <c r="A7" s="24" t="s">
        <v>119</v>
      </c>
      <c r="B7" s="24" t="s">
        <v>9</v>
      </c>
      <c r="C7" s="24">
        <v>100</v>
      </c>
      <c r="D7" s="24">
        <v>100</v>
      </c>
      <c r="E7" s="24">
        <v>10000</v>
      </c>
      <c r="F7" s="24">
        <v>100</v>
      </c>
    </row>
    <row r="8" spans="1:6" outlineLevel="2">
      <c r="A8" s="18" t="s">
        <v>173</v>
      </c>
      <c r="B8" s="24"/>
      <c r="C8" s="24">
        <f>SUBTOTAL(3,C6:C7)</f>
        <v>2</v>
      </c>
      <c r="D8" s="24"/>
      <c r="E8" s="24"/>
      <c r="F8" s="24"/>
    </row>
    <row r="9" spans="1:6" outlineLevel="1">
      <c r="A9" s="24"/>
      <c r="B9" s="18" t="s">
        <v>169</v>
      </c>
      <c r="C9" s="24"/>
      <c r="D9" s="24"/>
      <c r="E9" s="24">
        <f>SUBTOTAL(1,E2:E7)</f>
        <v>11900</v>
      </c>
      <c r="F9" s="24"/>
    </row>
    <row r="10" spans="1:6" outlineLevel="3">
      <c r="A10" s="24" t="s">
        <v>118</v>
      </c>
      <c r="B10" s="24" t="s">
        <v>13</v>
      </c>
      <c r="C10" s="24">
        <v>10</v>
      </c>
      <c r="D10" s="24">
        <v>10</v>
      </c>
      <c r="E10" s="24">
        <v>200</v>
      </c>
      <c r="F10" s="24">
        <v>2</v>
      </c>
    </row>
    <row r="11" spans="1:6" outlineLevel="3">
      <c r="A11" s="24" t="s">
        <v>118</v>
      </c>
      <c r="B11" s="24" t="s">
        <v>13</v>
      </c>
      <c r="C11" s="24">
        <v>10</v>
      </c>
      <c r="D11" s="24">
        <v>0</v>
      </c>
      <c r="E11" s="24">
        <v>0</v>
      </c>
      <c r="F11" s="24">
        <v>0</v>
      </c>
    </row>
    <row r="12" spans="1:6" outlineLevel="3">
      <c r="A12" s="24" t="s">
        <v>118</v>
      </c>
      <c r="B12" s="24" t="s">
        <v>13</v>
      </c>
      <c r="C12" s="24">
        <v>10</v>
      </c>
      <c r="D12" s="24">
        <v>20</v>
      </c>
      <c r="E12" s="24">
        <v>30</v>
      </c>
      <c r="F12" s="24">
        <v>3</v>
      </c>
    </row>
    <row r="13" spans="1:6" outlineLevel="3">
      <c r="A13" s="24" t="s">
        <v>118</v>
      </c>
      <c r="B13" s="24" t="s">
        <v>13</v>
      </c>
      <c r="C13" s="24">
        <v>50</v>
      </c>
      <c r="D13" s="24">
        <v>5</v>
      </c>
      <c r="E13" s="24">
        <v>1000</v>
      </c>
      <c r="F13" s="24">
        <v>10</v>
      </c>
    </row>
    <row r="14" spans="1:6" outlineLevel="3">
      <c r="A14" s="24" t="s">
        <v>118</v>
      </c>
      <c r="B14" s="24" t="s">
        <v>13</v>
      </c>
      <c r="C14" s="24">
        <v>50</v>
      </c>
      <c r="D14" s="24">
        <v>35</v>
      </c>
      <c r="E14" s="24">
        <v>10000</v>
      </c>
      <c r="F14" s="24">
        <v>10</v>
      </c>
    </row>
    <row r="15" spans="1:6" outlineLevel="3">
      <c r="A15" s="24" t="s">
        <v>118</v>
      </c>
      <c r="B15" s="24" t="s">
        <v>13</v>
      </c>
      <c r="C15" s="24">
        <v>15</v>
      </c>
      <c r="D15" s="24">
        <v>10</v>
      </c>
      <c r="E15" s="24">
        <v>10000</v>
      </c>
      <c r="F15" s="24">
        <v>10</v>
      </c>
    </row>
    <row r="16" spans="1:6" outlineLevel="3">
      <c r="A16" s="24" t="s">
        <v>118</v>
      </c>
      <c r="B16" s="24" t="s">
        <v>13</v>
      </c>
      <c r="C16" s="24">
        <v>50</v>
      </c>
      <c r="D16" s="24">
        <v>50</v>
      </c>
      <c r="E16" s="24">
        <v>2000</v>
      </c>
      <c r="F16" s="24">
        <v>20</v>
      </c>
    </row>
    <row r="17" spans="1:6" outlineLevel="2">
      <c r="A17" s="18" t="s">
        <v>172</v>
      </c>
      <c r="B17" s="24"/>
      <c r="C17" s="24">
        <f>SUBTOTAL(3,C10:C16)</f>
        <v>7</v>
      </c>
      <c r="D17" s="24"/>
      <c r="E17" s="24"/>
      <c r="F17" s="24"/>
    </row>
    <row r="18" spans="1:6" outlineLevel="3">
      <c r="A18" s="24" t="s">
        <v>120</v>
      </c>
      <c r="B18" s="24" t="s">
        <v>13</v>
      </c>
      <c r="C18" s="24">
        <v>50</v>
      </c>
      <c r="D18" s="24">
        <v>50</v>
      </c>
      <c r="E18" s="24">
        <v>0</v>
      </c>
      <c r="F18" s="24">
        <v>0</v>
      </c>
    </row>
    <row r="19" spans="1:6" outlineLevel="3">
      <c r="A19" s="24" t="s">
        <v>120</v>
      </c>
      <c r="B19" s="24" t="s">
        <v>13</v>
      </c>
      <c r="C19" s="24">
        <v>10</v>
      </c>
      <c r="D19" s="24">
        <v>10</v>
      </c>
      <c r="E19" s="24">
        <v>10000</v>
      </c>
      <c r="F19" s="24">
        <v>0</v>
      </c>
    </row>
    <row r="20" spans="1:6" outlineLevel="2">
      <c r="A20" s="18" t="s">
        <v>174</v>
      </c>
      <c r="B20" s="24"/>
      <c r="C20" s="24">
        <f>SUBTOTAL(3,C18:C19)</f>
        <v>2</v>
      </c>
      <c r="D20" s="24"/>
      <c r="E20" s="24"/>
      <c r="F20" s="24"/>
    </row>
    <row r="21" spans="1:6" outlineLevel="3">
      <c r="A21" s="24" t="s">
        <v>119</v>
      </c>
      <c r="B21" s="24" t="s">
        <v>13</v>
      </c>
      <c r="C21" s="24">
        <v>10</v>
      </c>
      <c r="D21" s="24">
        <v>10</v>
      </c>
      <c r="E21" s="24">
        <v>2000</v>
      </c>
      <c r="F21" s="24">
        <v>20</v>
      </c>
    </row>
    <row r="22" spans="1:6" outlineLevel="3">
      <c r="A22" s="24" t="s">
        <v>119</v>
      </c>
      <c r="B22" s="24" t="s">
        <v>13</v>
      </c>
      <c r="C22" s="24">
        <v>50</v>
      </c>
      <c r="D22" s="24">
        <v>50</v>
      </c>
      <c r="E22" s="24">
        <v>1500</v>
      </c>
      <c r="F22" s="24">
        <v>15</v>
      </c>
    </row>
    <row r="23" spans="1:6" outlineLevel="3">
      <c r="A23" s="24" t="s">
        <v>119</v>
      </c>
      <c r="B23" s="24" t="s">
        <v>13</v>
      </c>
      <c r="C23" s="24">
        <v>50</v>
      </c>
      <c r="D23" s="24">
        <v>5</v>
      </c>
      <c r="E23" s="24">
        <v>30000</v>
      </c>
      <c r="F23" s="24">
        <v>30</v>
      </c>
    </row>
    <row r="24" spans="1:6" outlineLevel="3">
      <c r="A24" s="24" t="s">
        <v>119</v>
      </c>
      <c r="B24" s="24" t="s">
        <v>13</v>
      </c>
      <c r="C24" s="24">
        <v>15</v>
      </c>
      <c r="D24" s="24">
        <v>15</v>
      </c>
      <c r="E24" s="24">
        <v>60000</v>
      </c>
      <c r="F24" s="24">
        <v>60</v>
      </c>
    </row>
    <row r="25" spans="1:6" outlineLevel="3">
      <c r="A25" s="24" t="s">
        <v>119</v>
      </c>
      <c r="B25" s="24" t="s">
        <v>13</v>
      </c>
      <c r="C25" s="24">
        <v>15</v>
      </c>
      <c r="D25" s="24">
        <v>10</v>
      </c>
      <c r="E25" s="24">
        <v>200</v>
      </c>
      <c r="F25" s="24">
        <v>2</v>
      </c>
    </row>
    <row r="26" spans="1:6" outlineLevel="3">
      <c r="A26" s="24" t="s">
        <v>119</v>
      </c>
      <c r="B26" s="24" t="s">
        <v>13</v>
      </c>
      <c r="C26" s="24">
        <v>10</v>
      </c>
      <c r="D26" s="24">
        <v>5</v>
      </c>
      <c r="E26" s="24">
        <v>0</v>
      </c>
      <c r="F26" s="24">
        <v>0</v>
      </c>
    </row>
    <row r="27" spans="1:6" outlineLevel="2">
      <c r="A27" s="42" t="s">
        <v>173</v>
      </c>
      <c r="B27" s="41"/>
      <c r="C27" s="41">
        <f>SUBTOTAL(3,C21:C26)</f>
        <v>6</v>
      </c>
      <c r="D27" s="41"/>
      <c r="E27" s="41"/>
      <c r="F27" s="41"/>
    </row>
    <row r="28" spans="1:6" outlineLevel="1">
      <c r="A28" s="41"/>
      <c r="B28" s="42" t="s">
        <v>170</v>
      </c>
      <c r="C28" s="41"/>
      <c r="D28" s="41"/>
      <c r="E28" s="41">
        <f>SUBTOTAL(1,E10:E26)</f>
        <v>8462</v>
      </c>
      <c r="F28" s="41"/>
    </row>
    <row r="29" spans="1:6">
      <c r="A29" s="42" t="s">
        <v>175</v>
      </c>
      <c r="B29" s="42"/>
      <c r="C29" s="41">
        <f>SUBTOTAL(3,C2:C26)</f>
        <v>20</v>
      </c>
      <c r="D29" s="41"/>
      <c r="E29" s="41"/>
      <c r="F29" s="41"/>
    </row>
    <row r="30" spans="1:6">
      <c r="A30" s="41"/>
      <c r="B30" s="42" t="s">
        <v>171</v>
      </c>
      <c r="C30" s="41"/>
      <c r="D30" s="41"/>
      <c r="E30" s="41">
        <f>SUBTOTAL(1,E2:E26)</f>
        <v>9321.5</v>
      </c>
      <c r="F30" s="41"/>
    </row>
  </sheetData>
  <sortState ref="A2:F21">
    <sortCondition ref="B2:B21"/>
    <sortCondition ref="A2:A21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N9"/>
  <sheetViews>
    <sheetView workbookViewId="0"/>
  </sheetViews>
  <sheetFormatPr defaultRowHeight="17"/>
  <sheetData>
    <row r="2" spans="2:14" ht="23">
      <c r="B2" s="44" t="s">
        <v>130</v>
      </c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</row>
    <row r="3" spans="2:14"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2:14">
      <c r="B4" s="29" t="s">
        <v>131</v>
      </c>
      <c r="C4" s="29" t="s">
        <v>132</v>
      </c>
      <c r="D4" s="29" t="s">
        <v>133</v>
      </c>
      <c r="E4" s="29" t="s">
        <v>134</v>
      </c>
      <c r="F4" s="29" t="s">
        <v>135</v>
      </c>
      <c r="G4" s="29" t="s">
        <v>136</v>
      </c>
      <c r="H4" s="29" t="s">
        <v>137</v>
      </c>
      <c r="I4" s="29" t="s">
        <v>138</v>
      </c>
      <c r="J4" s="29" t="s">
        <v>139</v>
      </c>
      <c r="K4" s="29" t="s">
        <v>140</v>
      </c>
      <c r="L4" s="29" t="s">
        <v>141</v>
      </c>
      <c r="M4" s="29" t="s">
        <v>142</v>
      </c>
      <c r="N4" s="29" t="s">
        <v>143</v>
      </c>
    </row>
    <row r="5" spans="2:14">
      <c r="B5" s="29" t="s">
        <v>144</v>
      </c>
      <c r="C5" s="29">
        <v>9</v>
      </c>
      <c r="D5" s="29">
        <v>32</v>
      </c>
      <c r="E5" s="29">
        <v>14</v>
      </c>
      <c r="F5" s="29">
        <v>4</v>
      </c>
      <c r="G5" s="29">
        <v>12</v>
      </c>
      <c r="H5" s="29">
        <v>13</v>
      </c>
      <c r="I5" s="29">
        <v>-7</v>
      </c>
      <c r="J5" s="30">
        <v>12</v>
      </c>
      <c r="K5" s="30">
        <v>10</v>
      </c>
      <c r="L5" s="30">
        <v>4</v>
      </c>
      <c r="M5" s="30">
        <v>-2</v>
      </c>
      <c r="N5" s="30">
        <v>6</v>
      </c>
    </row>
    <row r="6" spans="2:14">
      <c r="B6" s="29" t="s">
        <v>145</v>
      </c>
      <c r="C6" s="29">
        <v>17</v>
      </c>
      <c r="D6" s="29">
        <v>31</v>
      </c>
      <c r="E6" s="29">
        <v>5</v>
      </c>
      <c r="F6" s="29">
        <v>-8</v>
      </c>
      <c r="G6" s="29">
        <v>6</v>
      </c>
      <c r="H6" s="29">
        <v>11</v>
      </c>
      <c r="I6" s="29">
        <v>-10</v>
      </c>
      <c r="J6" s="29">
        <v>6</v>
      </c>
      <c r="K6" s="30">
        <v>14</v>
      </c>
      <c r="L6" s="30">
        <v>10</v>
      </c>
      <c r="M6" s="30">
        <v>-12</v>
      </c>
      <c r="N6" s="30">
        <v>-1</v>
      </c>
    </row>
    <row r="7" spans="2:14">
      <c r="B7" s="29" t="s">
        <v>146</v>
      </c>
      <c r="C7" s="29">
        <v>24</v>
      </c>
      <c r="D7" s="29">
        <v>40</v>
      </c>
      <c r="E7" s="29">
        <v>16</v>
      </c>
      <c r="F7" s="29">
        <v>-1</v>
      </c>
      <c r="G7" s="29">
        <v>5</v>
      </c>
      <c r="H7" s="29">
        <v>5</v>
      </c>
      <c r="I7" s="29">
        <v>-8</v>
      </c>
      <c r="J7" s="29">
        <v>25</v>
      </c>
      <c r="K7" s="30">
        <v>22</v>
      </c>
      <c r="L7" s="30">
        <v>9</v>
      </c>
      <c r="M7" s="30">
        <v>-1</v>
      </c>
      <c r="N7" s="30">
        <v>9</v>
      </c>
    </row>
    <row r="8" spans="2:14">
      <c r="B8" s="29" t="s">
        <v>147</v>
      </c>
      <c r="C8" s="29">
        <v>21</v>
      </c>
      <c r="D8" s="29">
        <v>33</v>
      </c>
      <c r="E8" s="29">
        <v>7</v>
      </c>
      <c r="F8" s="29">
        <v>-7</v>
      </c>
      <c r="G8" s="29">
        <v>8</v>
      </c>
      <c r="H8" s="29">
        <v>8</v>
      </c>
      <c r="I8" s="29">
        <v>-6</v>
      </c>
      <c r="J8" s="29">
        <v>10</v>
      </c>
      <c r="K8" s="30">
        <v>15</v>
      </c>
      <c r="L8" s="30">
        <v>11</v>
      </c>
      <c r="M8" s="30">
        <v>-4</v>
      </c>
      <c r="N8" s="30">
        <v>8</v>
      </c>
    </row>
    <row r="9" spans="2:14">
      <c r="B9" s="29" t="s">
        <v>148</v>
      </c>
      <c r="C9" s="29">
        <v>25</v>
      </c>
      <c r="D9" s="29">
        <v>41</v>
      </c>
      <c r="E9" s="29">
        <v>11</v>
      </c>
      <c r="F9" s="29">
        <v>-4</v>
      </c>
      <c r="G9" s="29">
        <v>7</v>
      </c>
      <c r="H9" s="29">
        <v>9</v>
      </c>
      <c r="I9" s="29">
        <v>-14</v>
      </c>
      <c r="J9" s="29">
        <v>20</v>
      </c>
      <c r="K9" s="30">
        <v>7</v>
      </c>
      <c r="L9" s="30">
        <v>5</v>
      </c>
      <c r="M9" s="30">
        <v>1</v>
      </c>
      <c r="N9" s="30">
        <v>11</v>
      </c>
    </row>
  </sheetData>
  <mergeCells count="1">
    <mergeCell ref="B2:N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G16"/>
  <sheetViews>
    <sheetView workbookViewId="0"/>
  </sheetViews>
  <sheetFormatPr defaultRowHeight="17"/>
  <cols>
    <col min="1" max="1" width="9.58203125" customWidth="1"/>
    <col min="2" max="2" width="10.75" bestFit="1" customWidth="1"/>
    <col min="3" max="7" width="9.58203125" customWidth="1"/>
  </cols>
  <sheetData>
    <row r="1" spans="2:7" ht="23">
      <c r="B1" s="45" t="s">
        <v>121</v>
      </c>
      <c r="C1" s="45"/>
      <c r="D1" s="45"/>
      <c r="E1" s="45"/>
      <c r="F1" s="45"/>
      <c r="G1" s="45"/>
    </row>
    <row r="2" spans="2:7">
      <c r="B2" s="6"/>
      <c r="C2" s="7"/>
      <c r="D2" s="6"/>
      <c r="E2" s="6"/>
      <c r="F2" s="6"/>
      <c r="G2" s="6"/>
    </row>
    <row r="3" spans="2:7">
      <c r="B3" s="1" t="s">
        <v>122</v>
      </c>
      <c r="C3" s="25" t="s">
        <v>123</v>
      </c>
      <c r="D3" s="25" t="s">
        <v>114</v>
      </c>
      <c r="E3" s="25" t="s">
        <v>124</v>
      </c>
      <c r="F3" s="25" t="s">
        <v>125</v>
      </c>
      <c r="G3" s="25" t="s">
        <v>126</v>
      </c>
    </row>
    <row r="4" spans="2:7">
      <c r="B4" s="26">
        <v>44566</v>
      </c>
      <c r="C4" s="35" t="s">
        <v>127</v>
      </c>
      <c r="D4" s="46">
        <v>6</v>
      </c>
      <c r="E4" s="28">
        <v>24</v>
      </c>
      <c r="F4" s="28">
        <f>(D4*E4)+4</f>
        <v>148</v>
      </c>
      <c r="G4" s="28">
        <f>INT(F4*0.1)</f>
        <v>14</v>
      </c>
    </row>
    <row r="5" spans="2:7">
      <c r="B5" s="26">
        <v>44567</v>
      </c>
      <c r="C5" s="35" t="s">
        <v>128</v>
      </c>
      <c r="D5" s="46">
        <v>3</v>
      </c>
      <c r="E5" s="28">
        <v>64</v>
      </c>
      <c r="F5" s="28">
        <f t="shared" ref="F5:F16" si="0">(D5*E5)+4</f>
        <v>196</v>
      </c>
      <c r="G5" s="28">
        <f t="shared" ref="G5:G16" si="1">INT(F5*0.1)</f>
        <v>19</v>
      </c>
    </row>
    <row r="6" spans="2:7">
      <c r="B6" s="26">
        <v>44568</v>
      </c>
      <c r="C6" s="35" t="s">
        <v>128</v>
      </c>
      <c r="D6" s="46">
        <v>6</v>
      </c>
      <c r="E6" s="28">
        <v>54</v>
      </c>
      <c r="F6" s="28">
        <f t="shared" si="0"/>
        <v>328</v>
      </c>
      <c r="G6" s="28">
        <f t="shared" si="1"/>
        <v>32</v>
      </c>
    </row>
    <row r="7" spans="2:7">
      <c r="B7" s="26">
        <v>44569</v>
      </c>
      <c r="C7" s="35" t="s">
        <v>129</v>
      </c>
      <c r="D7" s="46">
        <v>9</v>
      </c>
      <c r="E7" s="28">
        <v>204</v>
      </c>
      <c r="F7" s="28">
        <f t="shared" si="0"/>
        <v>1840</v>
      </c>
      <c r="G7" s="28">
        <f t="shared" si="1"/>
        <v>184</v>
      </c>
    </row>
    <row r="8" spans="2:7">
      <c r="B8" s="26">
        <v>44570</v>
      </c>
      <c r="C8" s="35" t="s">
        <v>128</v>
      </c>
      <c r="D8" s="46">
        <v>14</v>
      </c>
      <c r="E8" s="28">
        <v>104</v>
      </c>
      <c r="F8" s="28">
        <f t="shared" si="0"/>
        <v>1460</v>
      </c>
      <c r="G8" s="28">
        <f t="shared" si="1"/>
        <v>146</v>
      </c>
    </row>
    <row r="9" spans="2:7">
      <c r="B9" s="26">
        <v>44571</v>
      </c>
      <c r="C9" s="35" t="s">
        <v>128</v>
      </c>
      <c r="D9" s="46">
        <v>14</v>
      </c>
      <c r="E9" s="28">
        <v>204</v>
      </c>
      <c r="F9" s="28">
        <f t="shared" si="0"/>
        <v>2860</v>
      </c>
      <c r="G9" s="28">
        <f t="shared" si="1"/>
        <v>286</v>
      </c>
    </row>
    <row r="10" spans="2:7">
      <c r="B10" s="26">
        <v>44572</v>
      </c>
      <c r="C10" s="35" t="s">
        <v>129</v>
      </c>
      <c r="D10" s="46">
        <v>9</v>
      </c>
      <c r="E10" s="28">
        <v>304</v>
      </c>
      <c r="F10" s="28">
        <f t="shared" si="0"/>
        <v>2740</v>
      </c>
      <c r="G10" s="28">
        <f t="shared" si="1"/>
        <v>274</v>
      </c>
    </row>
    <row r="11" spans="2:7">
      <c r="B11" s="26">
        <v>44573</v>
      </c>
      <c r="C11" s="35" t="s">
        <v>127</v>
      </c>
      <c r="D11" s="46">
        <v>9</v>
      </c>
      <c r="E11" s="28">
        <v>404</v>
      </c>
      <c r="F11" s="28">
        <f t="shared" si="0"/>
        <v>3640</v>
      </c>
      <c r="G11" s="28">
        <f t="shared" si="1"/>
        <v>364</v>
      </c>
    </row>
    <row r="12" spans="2:7">
      <c r="B12" s="26">
        <v>44574</v>
      </c>
      <c r="C12" s="35" t="s">
        <v>127</v>
      </c>
      <c r="D12" s="46">
        <v>5</v>
      </c>
      <c r="E12" s="28">
        <v>604</v>
      </c>
      <c r="F12" s="28">
        <f t="shared" si="0"/>
        <v>3024</v>
      </c>
      <c r="G12" s="28">
        <f t="shared" si="1"/>
        <v>302</v>
      </c>
    </row>
    <row r="13" spans="2:7">
      <c r="B13" s="26">
        <v>44575</v>
      </c>
      <c r="C13" s="35" t="s">
        <v>129</v>
      </c>
      <c r="D13" s="46">
        <v>6</v>
      </c>
      <c r="E13" s="28">
        <v>29</v>
      </c>
      <c r="F13" s="28">
        <f t="shared" si="0"/>
        <v>178</v>
      </c>
      <c r="G13" s="28">
        <f t="shared" si="1"/>
        <v>17</v>
      </c>
    </row>
    <row r="14" spans="2:7">
      <c r="B14" s="26">
        <v>44576</v>
      </c>
      <c r="C14" s="35" t="s">
        <v>127</v>
      </c>
      <c r="D14" s="46">
        <v>7</v>
      </c>
      <c r="E14" s="28">
        <v>24</v>
      </c>
      <c r="F14" s="28">
        <f t="shared" si="0"/>
        <v>172</v>
      </c>
      <c r="G14" s="28">
        <f t="shared" si="1"/>
        <v>17</v>
      </c>
    </row>
    <row r="15" spans="2:7">
      <c r="B15" s="26">
        <v>44577</v>
      </c>
      <c r="C15" s="35" t="s">
        <v>127</v>
      </c>
      <c r="D15" s="46">
        <v>4</v>
      </c>
      <c r="E15" s="28">
        <v>34</v>
      </c>
      <c r="F15" s="28">
        <f t="shared" si="0"/>
        <v>140</v>
      </c>
      <c r="G15" s="28">
        <f t="shared" si="1"/>
        <v>14</v>
      </c>
    </row>
    <row r="16" spans="2:7">
      <c r="B16" s="26">
        <v>44578</v>
      </c>
      <c r="C16" s="35" t="s">
        <v>129</v>
      </c>
      <c r="D16" s="46">
        <v>9</v>
      </c>
      <c r="E16" s="28">
        <v>204</v>
      </c>
      <c r="F16" s="28">
        <f t="shared" si="0"/>
        <v>1840</v>
      </c>
      <c r="G16" s="28">
        <f t="shared" si="1"/>
        <v>184</v>
      </c>
    </row>
  </sheetData>
  <mergeCells count="1">
    <mergeCell ref="B1:G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서식적용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서식해제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L11"/>
  <sheetViews>
    <sheetView workbookViewId="0"/>
  </sheetViews>
  <sheetFormatPr defaultRowHeight="17"/>
  <cols>
    <col min="2" max="4" width="12.1640625" customWidth="1"/>
    <col min="5" max="6" width="14.58203125" customWidth="1"/>
    <col min="11" max="12" width="10.58203125" bestFit="1" customWidth="1"/>
  </cols>
  <sheetData>
    <row r="2" spans="1:12">
      <c r="A2" s="6" t="s">
        <v>149</v>
      </c>
      <c r="B2" s="31"/>
      <c r="C2" s="32"/>
      <c r="D2" s="31"/>
      <c r="E2" s="31"/>
      <c r="F2" s="31"/>
    </row>
    <row r="3" spans="1:12">
      <c r="A3" s="6"/>
      <c r="B3" s="33" t="s">
        <v>150</v>
      </c>
      <c r="C3" s="34" t="s">
        <v>151</v>
      </c>
      <c r="D3" s="33" t="s">
        <v>152</v>
      </c>
      <c r="E3" s="33" t="s">
        <v>153</v>
      </c>
      <c r="F3" s="33" t="s">
        <v>154</v>
      </c>
      <c r="K3" s="18" t="s">
        <v>155</v>
      </c>
      <c r="L3" s="18" t="s">
        <v>156</v>
      </c>
    </row>
    <row r="4" spans="1:12">
      <c r="A4" s="6"/>
      <c r="B4" s="27"/>
      <c r="C4" s="35"/>
      <c r="D4" s="27"/>
      <c r="E4" s="27"/>
      <c r="F4" s="27"/>
      <c r="K4" s="28" t="s">
        <v>157</v>
      </c>
      <c r="L4" s="36">
        <v>1450000</v>
      </c>
    </row>
    <row r="5" spans="1:12">
      <c r="A5" s="6"/>
      <c r="B5" s="27"/>
      <c r="C5" s="35"/>
      <c r="D5" s="27"/>
      <c r="E5" s="27"/>
      <c r="F5" s="27"/>
      <c r="K5" s="28" t="s">
        <v>158</v>
      </c>
      <c r="L5" s="36">
        <v>1200000</v>
      </c>
    </row>
    <row r="6" spans="1:12">
      <c r="A6" s="6"/>
      <c r="B6" s="27"/>
      <c r="C6" s="35"/>
      <c r="D6" s="27"/>
      <c r="E6" s="27"/>
      <c r="F6" s="27"/>
      <c r="K6" s="28" t="s">
        <v>159</v>
      </c>
      <c r="L6" s="36">
        <v>850000</v>
      </c>
    </row>
    <row r="7" spans="1:12">
      <c r="A7" s="6"/>
      <c r="B7" s="27"/>
      <c r="C7" s="35"/>
      <c r="D7" s="27"/>
      <c r="E7" s="27"/>
      <c r="F7" s="27"/>
      <c r="K7" s="28" t="s">
        <v>160</v>
      </c>
      <c r="L7" s="36">
        <v>250000</v>
      </c>
    </row>
    <row r="8" spans="1:12">
      <c r="A8" s="6"/>
      <c r="B8" s="27"/>
      <c r="C8" s="35"/>
      <c r="D8" s="27"/>
      <c r="E8" s="27"/>
      <c r="F8" s="27"/>
      <c r="K8" s="28" t="s">
        <v>161</v>
      </c>
      <c r="L8" s="36">
        <v>2600000</v>
      </c>
    </row>
    <row r="9" spans="1:12">
      <c r="A9" s="6"/>
      <c r="B9" s="27"/>
      <c r="C9" s="35"/>
      <c r="D9" s="27"/>
      <c r="E9" s="27"/>
      <c r="F9" s="27"/>
    </row>
    <row r="10" spans="1:12">
      <c r="A10" s="6"/>
      <c r="B10" s="27"/>
      <c r="C10" s="35"/>
      <c r="D10" s="27"/>
      <c r="E10" s="27"/>
      <c r="F10" s="27"/>
    </row>
    <row r="11" spans="1:12">
      <c r="A11" s="6"/>
      <c r="B11" s="27"/>
      <c r="C11" s="35"/>
      <c r="D11" s="27"/>
      <c r="E11" s="27"/>
      <c r="F11" s="27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렌탈입력">
          <controlPr defaultSize="0" autoLine="0" autoPict="0" r:id="rId4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12700</xdr:colOff>
                <xdr:row>4</xdr:row>
                <xdr:rowOff>88900</xdr:rowOff>
              </to>
            </anchor>
          </controlPr>
        </control>
      </mc:Choice>
      <mc:Fallback>
        <control shapeId="7169" r:id="rId3" name="Cmd렌탈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6</vt:i4>
      </vt:variant>
    </vt:vector>
  </HeadingPairs>
  <TitlesOfParts>
    <vt:vector size="14" baseType="lpstr">
      <vt:lpstr>기본작업-1</vt:lpstr>
      <vt:lpstr>기본작업-2</vt:lpstr>
      <vt:lpstr>계산작업</vt:lpstr>
      <vt:lpstr>분석작업-1</vt:lpstr>
      <vt:lpstr>분석작업-2</vt:lpstr>
      <vt:lpstr>차트작업</vt:lpstr>
      <vt:lpstr>매크로</vt:lpstr>
      <vt:lpstr>렌탈입력</vt:lpstr>
      <vt:lpstr>'기본작업-1'!Criteria</vt:lpstr>
      <vt:lpstr>'기본작업-1'!Extract</vt:lpstr>
      <vt:lpstr>'기본작업-1'!MS_Access_Database_Query_1</vt:lpstr>
      <vt:lpstr>'기본작업-2'!MS_Access_Database_Query_1</vt:lpstr>
      <vt:lpstr>매크로!MS_Access_Database_Query_1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2020-07-29T09:42:21Z</cp:lastPrinted>
  <dcterms:created xsi:type="dcterms:W3CDTF">2020-04-07T06:00:22Z</dcterms:created>
  <dcterms:modified xsi:type="dcterms:W3CDTF">2022-04-28T06:05:48Z</dcterms:modified>
</cp:coreProperties>
</file>