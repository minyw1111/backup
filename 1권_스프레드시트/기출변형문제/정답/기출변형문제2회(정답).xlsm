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1권_스프레드시트\기출변형문제\정답\"/>
    </mc:Choice>
  </mc:AlternateContent>
  <bookViews>
    <workbookView xWindow="0" yWindow="0" windowWidth="16210" windowHeight="13930" tabRatio="876"/>
  </bookViews>
  <sheets>
    <sheet name="기본작업-1" sheetId="2" r:id="rId1"/>
    <sheet name="기본작업-2" sheetId="10" r:id="rId2"/>
    <sheet name="계산작업" sheetId="3" r:id="rId3"/>
    <sheet name="분석작업-1" sheetId="12" r:id="rId4"/>
    <sheet name="분석작업-2" sheetId="11" r:id="rId5"/>
    <sheet name="기타작업-1" sheetId="6" r:id="rId6"/>
    <sheet name="기타작업-2" sheetId="9" r:id="rId7"/>
    <sheet name="기타작업-3" sheetId="7" r:id="rId8"/>
  </sheets>
  <functionGroups builtInGroupCount="18"/>
  <definedNames>
    <definedName name="_xlnm._FilterDatabase" localSheetId="0" hidden="1">'기본작업-1'!$A$2:$I$20</definedName>
    <definedName name="_xlnm._FilterDatabase" localSheetId="1" hidden="1">'기본작업-2'!$A$2:$I$20</definedName>
    <definedName name="_xlnm._FilterDatabase" localSheetId="4" hidden="1">'분석작업-2'!$B$2:$I$11</definedName>
    <definedName name="_xlnm.Criteria" localSheetId="0">'기본작업-1'!$A$22:$A$23</definedName>
    <definedName name="_xlnm.Criteria" localSheetId="1">'기본작업-2'!#REF!</definedName>
    <definedName name="_xlnm.Extract" localSheetId="0">'기본작업-1'!$A$27:$D$27</definedName>
    <definedName name="_xlnm.Extract" localSheetId="1">'기본작업-2'!#REF!</definedName>
    <definedName name="_xlnm.Print_Area" localSheetId="0">'기본작업-1'!$A$2:$I$20</definedName>
    <definedName name="_xlnm.Print_Area" localSheetId="1">'기본작업-2'!$A$2:$I$20</definedName>
  </definedNames>
  <calcPr calcId="162913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2" l="1"/>
  <c r="F31" i="3" l="1"/>
  <c r="F32" i="3"/>
  <c r="F33" i="3"/>
  <c r="F34" i="3"/>
  <c r="F35" i="3"/>
  <c r="F30" i="3"/>
  <c r="K17" i="3" a="1"/>
  <c r="K17" i="3" s="1"/>
  <c r="K12" i="3" a="1"/>
  <c r="K12" i="3" s="1"/>
  <c r="K5" i="3"/>
  <c r="K6" i="3"/>
  <c r="K7" i="3"/>
  <c r="K4" i="3"/>
  <c r="H23" i="3"/>
  <c r="H25" i="3"/>
  <c r="H24" i="3"/>
  <c r="H4" i="3"/>
  <c r="H6" i="3"/>
  <c r="H14" i="3"/>
  <c r="H21" i="3"/>
  <c r="H7" i="3"/>
  <c r="H18" i="3"/>
  <c r="H19" i="3"/>
  <c r="H5" i="3"/>
  <c r="H10" i="3"/>
  <c r="H12" i="3"/>
  <c r="H15" i="3"/>
  <c r="H13" i="3"/>
  <c r="H26" i="3"/>
  <c r="H22" i="3"/>
  <c r="H8" i="3"/>
  <c r="H17" i="3"/>
  <c r="H20" i="3"/>
  <c r="H11" i="3"/>
  <c r="H9" i="3"/>
  <c r="H16" i="3"/>
  <c r="K19" i="3" l="1"/>
  <c r="K20" i="3"/>
  <c r="K18" i="3"/>
  <c r="K21" i="3"/>
  <c r="H8" i="6"/>
  <c r="G8" i="6"/>
  <c r="H7" i="6"/>
  <c r="G7" i="6"/>
  <c r="H6" i="6"/>
  <c r="G6" i="6"/>
  <c r="H5" i="6"/>
  <c r="G5" i="6"/>
  <c r="H4" i="6"/>
  <c r="G4" i="6"/>
  <c r="H3" i="6"/>
  <c r="G3" i="6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인사현황.accdb;DefaultDir=E:\영진(2021년)\1급\excel\스프레드시트(파일) - 최종\모의고사;DriverId=25;FIL=MS Access;MaxBufferSize=2048;PageTimeout=5;" command="SELECT 인사현황.부서명, 인사현황.직위, 인사현황.입사일자, 인사현황.직무수행_x000d__x000a_FROM 인사현황 인사현황"/>
  </connection>
  <connection id="2" name="MS Access Database_Query1" type="1" refreshedVersion="6">
    <dbPr connection="DSN=MS Access Database;DBQ=E:\영진(2023년)\1급\교정\2023년컴활1급\1권_스프레드시트\기출변형문제\인사현황.accdb;DefaultDir=E:\영진(2023년)\1급\교정\2023년컴활1급\1권_스프레드시트\기출변형문제;DriverId=25;FIL=MS Access;MaxBufferSize=2048;PageTimeout=5;" command="SELECT 인사현황.직위, 인사현황.입사일자, 인사현황.직무수행, 인사현황.부서명_x000d__x000a_FROM 인사현황 인사현황"/>
  </connection>
</connections>
</file>

<file path=xl/sharedStrings.xml><?xml version="1.0" encoding="utf-8"?>
<sst xmlns="http://schemas.openxmlformats.org/spreadsheetml/2006/main" count="355" uniqueCount="204">
  <si>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</si>
  <si>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</si>
  <si>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</si>
  <si>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</si>
  <si>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</si>
  <si>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</si>
  <si>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</si>
  <si>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</si>
  <si>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구매실적합계</t>
  </si>
  <si>
    <t>PR-002</t>
  </si>
  <si>
    <t>김한응</t>
  </si>
  <si>
    <t>남</t>
  </si>
  <si>
    <t>강북</t>
  </si>
  <si>
    <t>PR-004</t>
  </si>
  <si>
    <t>한성현</t>
  </si>
  <si>
    <t>도봉</t>
  </si>
  <si>
    <t>PR-005</t>
  </si>
  <si>
    <t>김영득</t>
  </si>
  <si>
    <t>PR-006</t>
  </si>
  <si>
    <t>정은희</t>
  </si>
  <si>
    <t>여</t>
  </si>
  <si>
    <t>노원</t>
    <phoneticPr fontId="5" type="noConversion"/>
  </si>
  <si>
    <t>PR-008</t>
  </si>
  <si>
    <t>김양현</t>
  </si>
  <si>
    <t>중랑</t>
  </si>
  <si>
    <t>PR-009</t>
  </si>
  <si>
    <t>이미라</t>
  </si>
  <si>
    <t>PR-010</t>
  </si>
  <si>
    <t>심지영</t>
  </si>
  <si>
    <t>여</t>
    <phoneticPr fontId="5" type="noConversion"/>
  </si>
  <si>
    <t>노원</t>
  </si>
  <si>
    <t>PR-011</t>
  </si>
  <si>
    <t>고수정</t>
  </si>
  <si>
    <t>PR-012</t>
  </si>
  <si>
    <t>유응구</t>
  </si>
  <si>
    <t>PR-014</t>
  </si>
  <si>
    <t>이병열</t>
  </si>
  <si>
    <t>PR-016</t>
  </si>
  <si>
    <t>강흥석</t>
  </si>
  <si>
    <t>SP-001</t>
  </si>
  <si>
    <t>백준걸</t>
  </si>
  <si>
    <t>여</t>
    <phoneticPr fontId="5" type="noConversion"/>
  </si>
  <si>
    <t>SP-005</t>
  </si>
  <si>
    <t>이지영</t>
  </si>
  <si>
    <t>SP-006</t>
  </si>
  <si>
    <t>김미현</t>
  </si>
  <si>
    <t>SP-008</t>
  </si>
  <si>
    <t>한미우</t>
  </si>
  <si>
    <t>SP-011</t>
  </si>
  <si>
    <t>최재석</t>
  </si>
  <si>
    <t>SP-012</t>
  </si>
  <si>
    <t>안성윤</t>
  </si>
  <si>
    <t>SP-014</t>
  </si>
  <si>
    <t>하인화</t>
  </si>
  <si>
    <t>[표1]</t>
    <phoneticPr fontId="5" type="noConversion"/>
  </si>
  <si>
    <t>[표2]</t>
    <phoneticPr fontId="5" type="noConversion"/>
  </si>
  <si>
    <t>부서별 평균</t>
    <phoneticPr fontId="5" type="noConversion"/>
  </si>
  <si>
    <t>번호</t>
    <phoneticPr fontId="5" type="noConversion"/>
  </si>
  <si>
    <t>이름</t>
    <phoneticPr fontId="5" type="noConversion"/>
  </si>
  <si>
    <t>부서명</t>
    <phoneticPr fontId="5" type="noConversion"/>
  </si>
  <si>
    <t>직무수행</t>
    <phoneticPr fontId="5" type="noConversion"/>
  </si>
  <si>
    <t>이해판단</t>
    <phoneticPr fontId="5" type="noConversion"/>
  </si>
  <si>
    <t>성실책임</t>
    <phoneticPr fontId="5" type="noConversion"/>
  </si>
  <si>
    <t>절충협조</t>
    <phoneticPr fontId="5" type="noConversion"/>
  </si>
  <si>
    <t>총점</t>
    <phoneticPr fontId="5" type="noConversion"/>
  </si>
  <si>
    <t>부서</t>
    <phoneticPr fontId="5" type="noConversion"/>
  </si>
  <si>
    <t>성실책임 평균</t>
    <phoneticPr fontId="5" type="noConversion"/>
  </si>
  <si>
    <t>이나영</t>
    <phoneticPr fontId="5" type="noConversion"/>
  </si>
  <si>
    <t>기획실</t>
    <phoneticPr fontId="5" type="noConversion"/>
  </si>
  <si>
    <t>관리부</t>
    <phoneticPr fontId="5" type="noConversion"/>
  </si>
  <si>
    <t>방극준</t>
    <phoneticPr fontId="5" type="noConversion"/>
  </si>
  <si>
    <t>기획실</t>
    <phoneticPr fontId="5" type="noConversion"/>
  </si>
  <si>
    <t>기술부</t>
    <phoneticPr fontId="5" type="noConversion"/>
  </si>
  <si>
    <t>이원섭</t>
    <phoneticPr fontId="5" type="noConversion"/>
  </si>
  <si>
    <t>정태은</t>
    <phoneticPr fontId="5" type="noConversion"/>
  </si>
  <si>
    <t>기술부</t>
    <phoneticPr fontId="5" type="noConversion"/>
  </si>
  <si>
    <t>인사부</t>
    <phoneticPr fontId="5" type="noConversion"/>
  </si>
  <si>
    <t>최재석</t>
    <phoneticPr fontId="5" type="noConversion"/>
  </si>
  <si>
    <t>최준기</t>
    <phoneticPr fontId="5" type="noConversion"/>
  </si>
  <si>
    <t>이원형</t>
    <phoneticPr fontId="5" type="noConversion"/>
  </si>
  <si>
    <t>관리부</t>
    <phoneticPr fontId="5" type="noConversion"/>
  </si>
  <si>
    <t>[표3]</t>
    <phoneticPr fontId="5" type="noConversion"/>
  </si>
  <si>
    <t>직무수행이 가장 높은 사람</t>
    <phoneticPr fontId="5" type="noConversion"/>
  </si>
  <si>
    <t>홍지원</t>
    <phoneticPr fontId="5" type="noConversion"/>
  </si>
  <si>
    <t>인사부</t>
    <phoneticPr fontId="5" type="noConversion"/>
  </si>
  <si>
    <t>부서명</t>
    <phoneticPr fontId="5" type="noConversion"/>
  </si>
  <si>
    <t>정은숙</t>
    <phoneticPr fontId="5" type="noConversion"/>
  </si>
  <si>
    <t>김지영</t>
    <phoneticPr fontId="5" type="noConversion"/>
  </si>
  <si>
    <t>박영훈</t>
    <phoneticPr fontId="5" type="noConversion"/>
  </si>
  <si>
    <t>이준성</t>
    <phoneticPr fontId="5" type="noConversion"/>
  </si>
  <si>
    <t>[표4]</t>
    <phoneticPr fontId="5" type="noConversion"/>
  </si>
  <si>
    <t>이해판단 빈도수</t>
    <phoneticPr fontId="5" type="noConversion"/>
  </si>
  <si>
    <t>전광일</t>
    <phoneticPr fontId="5" type="noConversion"/>
  </si>
  <si>
    <t>이해판단</t>
    <phoneticPr fontId="5" type="noConversion"/>
  </si>
  <si>
    <t>빈도수</t>
    <phoneticPr fontId="5" type="noConversion"/>
  </si>
  <si>
    <t>유제관</t>
    <phoneticPr fontId="5" type="noConversion"/>
  </si>
  <si>
    <t>김민영</t>
    <phoneticPr fontId="5" type="noConversion"/>
  </si>
  <si>
    <t>도경민</t>
    <phoneticPr fontId="5" type="noConversion"/>
  </si>
  <si>
    <t>인정제</t>
    <phoneticPr fontId="5" type="noConversion"/>
  </si>
  <si>
    <t>최대훈</t>
    <phoneticPr fontId="5" type="noConversion"/>
  </si>
  <si>
    <t>기술부</t>
    <phoneticPr fontId="5" type="noConversion"/>
  </si>
  <si>
    <t>윤여송</t>
    <phoneticPr fontId="5" type="noConversion"/>
  </si>
  <si>
    <t>유근선</t>
    <phoneticPr fontId="5" type="noConversion"/>
  </si>
  <si>
    <t>정환호</t>
    <phoneticPr fontId="5" type="noConversion"/>
  </si>
  <si>
    <t>이응표</t>
    <phoneticPr fontId="5" type="noConversion"/>
  </si>
  <si>
    <t>이지수</t>
    <phoneticPr fontId="5" type="noConversion"/>
  </si>
  <si>
    <t>[표5]</t>
    <phoneticPr fontId="5" type="noConversion"/>
  </si>
  <si>
    <t>[표6]</t>
    <phoneticPr fontId="5" type="noConversion"/>
  </si>
  <si>
    <t>이름</t>
    <phoneticPr fontId="5" type="noConversion"/>
  </si>
  <si>
    <t>등급</t>
    <phoneticPr fontId="5" type="noConversion"/>
  </si>
  <si>
    <t>점수</t>
    <phoneticPr fontId="5" type="noConversion"/>
  </si>
  <si>
    <t>등급</t>
    <phoneticPr fontId="5" type="noConversion"/>
  </si>
  <si>
    <t>정상호</t>
    <phoneticPr fontId="5" type="noConversion"/>
  </si>
  <si>
    <t>E</t>
    <phoneticPr fontId="5" type="noConversion"/>
  </si>
  <si>
    <t>우진후</t>
    <phoneticPr fontId="5" type="noConversion"/>
  </si>
  <si>
    <t>D</t>
    <phoneticPr fontId="5" type="noConversion"/>
  </si>
  <si>
    <t>김민석</t>
    <phoneticPr fontId="5" type="noConversion"/>
  </si>
  <si>
    <t>C</t>
    <phoneticPr fontId="5" type="noConversion"/>
  </si>
  <si>
    <t>김우현</t>
    <phoneticPr fontId="5" type="noConversion"/>
  </si>
  <si>
    <t>B</t>
    <phoneticPr fontId="5" type="noConversion"/>
  </si>
  <si>
    <t>안도형</t>
    <phoneticPr fontId="5" type="noConversion"/>
  </si>
  <si>
    <t>A</t>
    <phoneticPr fontId="5" type="noConversion"/>
  </si>
  <si>
    <t>김원중</t>
    <phoneticPr fontId="5" type="noConversion"/>
  </si>
  <si>
    <t>부서명</t>
  </si>
  <si>
    <t>직위</t>
  </si>
  <si>
    <t>입사일자</t>
  </si>
  <si>
    <t>사원</t>
  </si>
  <si>
    <t>대리</t>
  </si>
  <si>
    <t>김선영</t>
  </si>
  <si>
    <t>이나영</t>
  </si>
  <si>
    <t>방극준</t>
  </si>
  <si>
    <t>피승현</t>
  </si>
  <si>
    <t>하진철</t>
  </si>
  <si>
    <t>김형섭</t>
  </si>
  <si>
    <t>김순영</t>
  </si>
  <si>
    <t>조용호</t>
  </si>
  <si>
    <t>배대승</t>
  </si>
  <si>
    <t>유제관</t>
  </si>
  <si>
    <t>도경민</t>
  </si>
  <si>
    <t>판매현황</t>
    <phoneticPr fontId="5" type="noConversion"/>
  </si>
  <si>
    <t>품목</t>
    <phoneticPr fontId="5" type="noConversion"/>
  </si>
  <si>
    <t>판매가</t>
    <phoneticPr fontId="5" type="noConversion"/>
  </si>
  <si>
    <t>전년도판매량</t>
    <phoneticPr fontId="5" type="noConversion"/>
  </si>
  <si>
    <t>목표량</t>
    <phoneticPr fontId="5" type="noConversion"/>
  </si>
  <si>
    <t>판매량</t>
    <phoneticPr fontId="5" type="noConversion"/>
  </si>
  <si>
    <t>달성율</t>
    <phoneticPr fontId="5" type="noConversion"/>
  </si>
  <si>
    <t>판매총액</t>
    <phoneticPr fontId="5" type="noConversion"/>
  </si>
  <si>
    <t>노트</t>
    <phoneticPr fontId="5" type="noConversion"/>
  </si>
  <si>
    <t>연필</t>
    <phoneticPr fontId="5" type="noConversion"/>
  </si>
  <si>
    <t>매직</t>
    <phoneticPr fontId="5" type="noConversion"/>
  </si>
  <si>
    <t>잉크</t>
    <phoneticPr fontId="5" type="noConversion"/>
  </si>
  <si>
    <t>파일</t>
    <phoneticPr fontId="5" type="noConversion"/>
  </si>
  <si>
    <t>레이저</t>
    <phoneticPr fontId="5" type="noConversion"/>
  </si>
  <si>
    <t>인사고과 입력</t>
    <phoneticPr fontId="5" type="noConversion"/>
  </si>
  <si>
    <t>이름</t>
    <phoneticPr fontId="5" type="noConversion"/>
  </si>
  <si>
    <t>직무수행능력</t>
    <phoneticPr fontId="5" type="noConversion"/>
  </si>
  <si>
    <t>이해판단력</t>
    <phoneticPr fontId="5" type="noConversion"/>
  </si>
  <si>
    <t>평균</t>
    <phoneticPr fontId="5" type="noConversion"/>
  </si>
  <si>
    <t>김선애</t>
    <phoneticPr fontId="5" type="noConversion"/>
  </si>
  <si>
    <t>부서</t>
    <phoneticPr fontId="5" type="noConversion"/>
  </si>
  <si>
    <t>총무부</t>
    <phoneticPr fontId="5" type="noConversion"/>
  </si>
  <si>
    <t>(모두)</t>
  </si>
  <si>
    <t>총합계</t>
  </si>
  <si>
    <t>2016년</t>
  </si>
  <si>
    <t>합계 : 직무수행</t>
  </si>
  <si>
    <t>전체비율</t>
  </si>
  <si>
    <t>신미래</t>
  </si>
  <si>
    <t>마성일</t>
  </si>
  <si>
    <t>김일목</t>
  </si>
  <si>
    <t>신상호</t>
  </si>
  <si>
    <t>김영호</t>
  </si>
  <si>
    <t>이준성</t>
  </si>
  <si>
    <t>전광일</t>
  </si>
  <si>
    <t>김민영</t>
  </si>
  <si>
    <t>도서관명</t>
    <phoneticPr fontId="1" type="noConversion"/>
  </si>
  <si>
    <t>운영시작
시각</t>
    <phoneticPr fontId="1" type="noConversion"/>
  </si>
  <si>
    <t>운영종료
시각</t>
    <phoneticPr fontId="1" type="noConversion"/>
  </si>
  <si>
    <t>열람
좌석수</t>
    <phoneticPr fontId="1" type="noConversion"/>
  </si>
  <si>
    <t>자료수
(도서)</t>
    <phoneticPr fontId="1" type="noConversion"/>
  </si>
  <si>
    <t>자료수
(비도서)</t>
    <phoneticPr fontId="1" type="noConversion"/>
  </si>
  <si>
    <t>대출가능
권수</t>
    <phoneticPr fontId="1" type="noConversion"/>
  </si>
  <si>
    <t>대출가능
일수</t>
    <phoneticPr fontId="1" type="noConversion"/>
  </si>
  <si>
    <t>아름다운작은도서관</t>
    <phoneticPr fontId="1" type="noConversion"/>
  </si>
  <si>
    <t>해나루작은도서관</t>
    <phoneticPr fontId="1" type="noConversion"/>
  </si>
  <si>
    <t>상록수작은도서관</t>
    <phoneticPr fontId="1" type="noConversion"/>
  </si>
  <si>
    <t>꿈의도서관</t>
    <phoneticPr fontId="1" type="noConversion"/>
  </si>
  <si>
    <t>생각나무작은도서관</t>
    <phoneticPr fontId="1" type="noConversion"/>
  </si>
  <si>
    <t>개미작은도서관</t>
    <phoneticPr fontId="1" type="noConversion"/>
  </si>
  <si>
    <t>웃음꽃작은도서관</t>
    <phoneticPr fontId="1" type="noConversion"/>
  </si>
  <si>
    <t>반딧불이작은도서관</t>
    <phoneticPr fontId="1" type="noConversion"/>
  </si>
  <si>
    <t>시립중앙도서관</t>
    <phoneticPr fontId="1" type="noConversion"/>
  </si>
  <si>
    <t>조건</t>
    <phoneticPr fontId="1" type="noConversion"/>
  </si>
  <si>
    <t>미응답</t>
    <phoneticPr fontId="1" type="noConversion"/>
  </si>
  <si>
    <t>미응답</t>
    <phoneticPr fontId="1" type="noConversion"/>
  </si>
  <si>
    <t>미응답</t>
    <phoneticPr fontId="1" type="noConversion"/>
  </si>
  <si>
    <t>영어</t>
    <phoneticPr fontId="1" type="noConversion"/>
  </si>
  <si>
    <t>수학</t>
    <phoneticPr fontId="1" type="noConversion"/>
  </si>
  <si>
    <t>수업 만족도</t>
    <phoneticPr fontId="1" type="noConversion"/>
  </si>
  <si>
    <t>2017년</t>
  </si>
  <si>
    <t>2018년</t>
  </si>
  <si>
    <t>2019년</t>
  </si>
  <si>
    <t>2020년</t>
  </si>
  <si>
    <t>2021년</t>
  </si>
  <si>
    <t>2022년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</si>
</sst>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yyyy&quot;/&quot;mm&quot;/&quot;dd;@"/>
    <numFmt numFmtId="177" formatCode="#,##0_ "/>
    <numFmt numFmtId="178" formatCode="#,##0_);[Red]\(#,##0\)"/>
    <numFmt numFmtId="179" formatCode="[Blue][&gt;=9]&quot;♣&quot;00;[=0]&quot;※&quot;;00;[Red]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9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7" fontId="6" fillId="0" borderId="1" xfId="1" applyNumberFormat="1" applyFont="1" applyFill="1" applyBorder="1" applyAlignment="1">
      <alignment horizontal="right" vertical="center"/>
    </xf>
    <xf numFmtId="178" fontId="6" fillId="0" borderId="1" xfId="1" applyNumberFormat="1" applyFont="1" applyFill="1" applyBorder="1" applyAlignment="1">
      <alignment horizontal="right" vertical="center"/>
    </xf>
    <xf numFmtId="9" fontId="8" fillId="0" borderId="1" xfId="3" applyFont="1" applyFill="1" applyBorder="1" applyAlignment="1">
      <alignment horizontal="right" vertical="center"/>
    </xf>
    <xf numFmtId="0" fontId="6" fillId="0" borderId="1" xfId="2" applyNumberFormat="1" applyFont="1" applyFill="1" applyBorder="1" applyAlignment="1">
      <alignment vertical="center"/>
    </xf>
    <xf numFmtId="0" fontId="9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179" fontId="6" fillId="0" borderId="1" xfId="0" applyNumberFormat="1" applyFont="1" applyFill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전년도판매량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'기타작업-1'!$D$3:$D$8</c:f>
              <c:numCache>
                <c:formatCode>#,##0_ </c:formatCode>
                <c:ptCount val="6"/>
                <c:pt idx="0">
                  <c:v>500</c:v>
                </c:pt>
                <c:pt idx="1">
                  <c:v>450</c:v>
                </c:pt>
                <c:pt idx="2">
                  <c:v>500</c:v>
                </c:pt>
                <c:pt idx="3">
                  <c:v>400</c:v>
                </c:pt>
                <c:pt idx="4">
                  <c:v>250</c:v>
                </c:pt>
                <c:pt idx="5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4-45C3-8DF5-7B9A193586D3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'기타작업-1'!$E$3:$E$8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550</c:v>
                </c:pt>
                <c:pt idx="3">
                  <c:v>500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4-45C3-8DF5-7B9A193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961551263"/>
        <c:axId val="1961554591"/>
      </c:barChart>
      <c:lineChart>
        <c:grouping val="standard"/>
        <c:varyColors val="0"/>
        <c:ser>
          <c:idx val="2"/>
          <c:order val="2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'기타작업-1'!$F$3:$F$8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620</c:v>
                </c:pt>
                <c:pt idx="3">
                  <c:v>540</c:v>
                </c:pt>
                <c:pt idx="4">
                  <c:v>300</c:v>
                </c:pt>
                <c:pt idx="5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84-45C3-8DF5-7B9A193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1551263"/>
        <c:axId val="1961554591"/>
      </c:lineChart>
      <c:catAx>
        <c:axId val="1961551263"/>
        <c:scaling>
          <c:orientation val="minMax"/>
        </c:scaling>
        <c:delete val="0"/>
        <c:axPos val="b"/>
        <c:title>
          <c:tx>
            <c:strRef>
              <c:f>'기타작업-1'!$B$2</c:f>
              <c:strCache>
                <c:ptCount val="1"/>
                <c:pt idx="0">
                  <c:v>품목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4591"/>
        <c:crosses val="autoZero"/>
        <c:auto val="1"/>
        <c:lblAlgn val="ctr"/>
        <c:lblOffset val="100"/>
        <c:noMultiLvlLbl val="0"/>
      </c:catAx>
      <c:valAx>
        <c:axId val="1961554591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1263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만족도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일반서식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158750</xdr:rowOff>
        </xdr:from>
        <xdr:to>
          <xdr:col>7</xdr:col>
          <xdr:colOff>628650</xdr:colOff>
          <xdr:row>2</xdr:row>
          <xdr:rowOff>57150</xdr:rowOff>
        </xdr:to>
        <xdr:sp macro="" textlink="">
          <xdr:nvSpPr>
            <xdr:cNvPr id="7169" name="인사고과입력현황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757.634006712964" createdVersion="6" refreshedVersion="6" minRefreshableVersion="3" recordCount="46">
  <cacheSource type="external" connectionId="2"/>
  <cacheFields count="4">
    <cacheField name="직위" numFmtId="0" sqlType="-9">
      <sharedItems count="2">
        <s v="사원"/>
        <s v="대리"/>
      </sharedItems>
    </cacheField>
    <cacheField name="입사일자" numFmtId="0" sqlType="11">
      <sharedItems containsSemiMixedTypes="0" containsNonDate="0" containsDate="1" containsString="0" minDate="2016-02-02T00:00:00" maxDate="2022-10-16T00:00:00" count="26">
        <d v="2020-03-02T00:00:00"/>
        <d v="2017-09-02T00:00:00"/>
        <d v="2020-05-15T00:00:00"/>
        <d v="2017-10-02T00:00:00"/>
        <d v="2018-09-02T00:00:00"/>
        <d v="2016-02-02T00:00:00"/>
        <d v="2019-02-02T00:00:00"/>
        <d v="2022-05-15T00:00:00"/>
        <d v="2017-05-10T00:00:00"/>
        <d v="2016-03-02T00:00:00"/>
        <d v="2022-09-02T00:00:00"/>
        <d v="2022-10-15T00:00:00"/>
        <d v="2019-03-02T00:00:00"/>
        <d v="2018-12-20T00:00:00"/>
        <d v="2017-07-02T00:00:00"/>
        <d v="2020-02-02T00:00:00"/>
        <d v="2021-07-02T00:00:00"/>
        <d v="2016-04-01T00:00:00"/>
        <d v="2018-08-15T00:00:00"/>
        <d v="2021-03-02T00:00:00"/>
        <d v="2022-07-02T00:00:00"/>
        <d v="2018-05-15T00:00:00"/>
        <d v="2016-07-02T00:00:00"/>
        <d v="2018-02-03T00:00:00"/>
        <d v="2021-10-15T00:00:00"/>
        <d v="2020-07-02T00:00:00"/>
      </sharedItems>
      <fieldGroup base="1">
        <rangePr groupBy="years" startDate="2016-02-02T00:00:00" endDate="2022-10-16T00:00:00"/>
        <groupItems count="9">
          <s v="&lt;2016-02-02"/>
          <s v="2016년"/>
          <s v="2017년"/>
          <s v="2018년"/>
          <s v="2019년"/>
          <s v="2020년"/>
          <s v="2021년"/>
          <s v="2022년"/>
          <s v="&gt;2022-10-16"/>
        </groupItems>
      </fieldGroup>
    </cacheField>
    <cacheField name="직무수행" numFmtId="0" sqlType="8">
      <sharedItems containsSemiMixedTypes="0" containsString="0" containsNumber="1" containsInteger="1" minValue="56" maxValue="98" count="21">
        <n v="82"/>
        <n v="97"/>
        <n v="95"/>
        <n v="68"/>
        <n v="56"/>
        <n v="89"/>
        <n v="69"/>
        <n v="91"/>
        <n v="92"/>
        <n v="78"/>
        <n v="98"/>
        <n v="57"/>
        <n v="65"/>
        <n v="79"/>
        <n v="77"/>
        <n v="85"/>
        <n v="80"/>
        <n v="87"/>
        <n v="86"/>
        <n v="76"/>
        <n v="90"/>
      </sharedItems>
    </cacheField>
    <cacheField name="부서명" numFmtId="0" sqlType="-9">
      <sharedItems count="6">
        <s v="기획실"/>
        <s v="총무부"/>
        <s v="기술부"/>
        <s v="인사부"/>
        <s v="제작부"/>
        <s v="관리부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  <x v="0"/>
    <x v="0"/>
    <x v="0"/>
  </r>
  <r>
    <x v="1"/>
    <x v="1"/>
    <x v="1"/>
    <x v="1"/>
  </r>
  <r>
    <x v="1"/>
    <x v="1"/>
    <x v="2"/>
    <x v="0"/>
  </r>
  <r>
    <x v="0"/>
    <x v="0"/>
    <x v="3"/>
    <x v="2"/>
  </r>
  <r>
    <x v="0"/>
    <x v="2"/>
    <x v="4"/>
    <x v="2"/>
  </r>
  <r>
    <x v="1"/>
    <x v="3"/>
    <x v="5"/>
    <x v="3"/>
  </r>
  <r>
    <x v="0"/>
    <x v="0"/>
    <x v="6"/>
    <x v="4"/>
  </r>
  <r>
    <x v="1"/>
    <x v="4"/>
    <x v="7"/>
    <x v="0"/>
  </r>
  <r>
    <x v="1"/>
    <x v="5"/>
    <x v="8"/>
    <x v="0"/>
  </r>
  <r>
    <x v="1"/>
    <x v="6"/>
    <x v="3"/>
    <x v="3"/>
  </r>
  <r>
    <x v="0"/>
    <x v="0"/>
    <x v="9"/>
    <x v="1"/>
  </r>
  <r>
    <x v="0"/>
    <x v="7"/>
    <x v="0"/>
    <x v="4"/>
  </r>
  <r>
    <x v="1"/>
    <x v="8"/>
    <x v="10"/>
    <x v="0"/>
  </r>
  <r>
    <x v="0"/>
    <x v="9"/>
    <x v="10"/>
    <x v="4"/>
  </r>
  <r>
    <x v="0"/>
    <x v="10"/>
    <x v="11"/>
    <x v="0"/>
  </r>
  <r>
    <x v="1"/>
    <x v="1"/>
    <x v="12"/>
    <x v="5"/>
  </r>
  <r>
    <x v="0"/>
    <x v="11"/>
    <x v="13"/>
    <x v="4"/>
  </r>
  <r>
    <x v="1"/>
    <x v="3"/>
    <x v="14"/>
    <x v="0"/>
  </r>
  <r>
    <x v="1"/>
    <x v="12"/>
    <x v="0"/>
    <x v="5"/>
  </r>
  <r>
    <x v="0"/>
    <x v="0"/>
    <x v="15"/>
    <x v="2"/>
  </r>
  <r>
    <x v="1"/>
    <x v="13"/>
    <x v="16"/>
    <x v="0"/>
  </r>
  <r>
    <x v="1"/>
    <x v="14"/>
    <x v="8"/>
    <x v="1"/>
  </r>
  <r>
    <x v="1"/>
    <x v="15"/>
    <x v="17"/>
    <x v="0"/>
  </r>
  <r>
    <x v="1"/>
    <x v="16"/>
    <x v="14"/>
    <x v="0"/>
  </r>
  <r>
    <x v="1"/>
    <x v="1"/>
    <x v="18"/>
    <x v="0"/>
  </r>
  <r>
    <x v="1"/>
    <x v="4"/>
    <x v="4"/>
    <x v="0"/>
  </r>
  <r>
    <x v="0"/>
    <x v="16"/>
    <x v="3"/>
    <x v="5"/>
  </r>
  <r>
    <x v="1"/>
    <x v="14"/>
    <x v="7"/>
    <x v="0"/>
  </r>
  <r>
    <x v="0"/>
    <x v="17"/>
    <x v="19"/>
    <x v="4"/>
  </r>
  <r>
    <x v="1"/>
    <x v="18"/>
    <x v="3"/>
    <x v="0"/>
  </r>
  <r>
    <x v="1"/>
    <x v="15"/>
    <x v="7"/>
    <x v="1"/>
  </r>
  <r>
    <x v="0"/>
    <x v="19"/>
    <x v="9"/>
    <x v="5"/>
  </r>
  <r>
    <x v="0"/>
    <x v="19"/>
    <x v="0"/>
    <x v="5"/>
  </r>
  <r>
    <x v="0"/>
    <x v="17"/>
    <x v="9"/>
    <x v="0"/>
  </r>
  <r>
    <x v="0"/>
    <x v="20"/>
    <x v="13"/>
    <x v="0"/>
  </r>
  <r>
    <x v="1"/>
    <x v="1"/>
    <x v="8"/>
    <x v="4"/>
  </r>
  <r>
    <x v="1"/>
    <x v="21"/>
    <x v="4"/>
    <x v="0"/>
  </r>
  <r>
    <x v="0"/>
    <x v="22"/>
    <x v="2"/>
    <x v="3"/>
  </r>
  <r>
    <x v="1"/>
    <x v="23"/>
    <x v="9"/>
    <x v="0"/>
  </r>
  <r>
    <x v="1"/>
    <x v="1"/>
    <x v="0"/>
    <x v="1"/>
  </r>
  <r>
    <x v="0"/>
    <x v="20"/>
    <x v="18"/>
    <x v="2"/>
  </r>
  <r>
    <x v="0"/>
    <x v="11"/>
    <x v="20"/>
    <x v="3"/>
  </r>
  <r>
    <x v="0"/>
    <x v="15"/>
    <x v="8"/>
    <x v="0"/>
  </r>
  <r>
    <x v="1"/>
    <x v="1"/>
    <x v="3"/>
    <x v="0"/>
  </r>
  <r>
    <x v="0"/>
    <x v="24"/>
    <x v="0"/>
    <x v="5"/>
  </r>
  <r>
    <x v="1"/>
    <x v="25"/>
    <x v="1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5:E18" firstHeaderRow="0" firstDataRow="1" firstDataCol="2" rowPageCount="1" colPageCount="1"/>
  <pivotFields count="4">
    <pivotField axis="axisRow" compact="0" showAll="0">
      <items count="3">
        <item x="1"/>
        <item x="0"/>
        <item t="default"/>
      </items>
    </pivotField>
    <pivotField axis="axisRow" compact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compact="0" showAll="0"/>
    <pivotField axis="axisPage" compact="0" showAll="0">
      <items count="7">
        <item x="5"/>
        <item x="2"/>
        <item x="0"/>
        <item x="3"/>
        <item x="4"/>
        <item x="1"/>
        <item t="default"/>
      </items>
    </pivotField>
  </pivotFields>
  <rowFields count="2">
    <field x="0"/>
    <field x="1"/>
  </rowFields>
  <rowItems count="13">
    <i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5"/>
    </i>
    <i r="1">
      <x v="6"/>
    </i>
    <i r="1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합계 : 직무수행" fld="2" baseField="0" baseItem="0"/>
    <dataField name="전체비율" fld="2" showDataAs="percentOfCol" baseField="0" baseItem="0" numFmtId="10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30"/>
  <sheetViews>
    <sheetView tabSelected="1" workbookViewId="0"/>
  </sheetViews>
  <sheetFormatPr defaultRowHeight="17"/>
  <cols>
    <col min="3" max="4" width="12.5" bestFit="1" customWidth="1"/>
    <col min="5" max="5" width="12.6640625" bestFit="1" customWidth="1"/>
    <col min="6" max="8" width="12.4140625" bestFit="1" customWidth="1"/>
    <col min="9" max="9" width="12.5" bestFit="1" customWidth="1"/>
  </cols>
  <sheetData>
    <row r="2" spans="1:9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2" t="s">
        <v>9</v>
      </c>
      <c r="B3" s="2" t="s">
        <v>10</v>
      </c>
      <c r="C3" s="2" t="s">
        <v>11</v>
      </c>
      <c r="D3" s="2" t="s">
        <v>12</v>
      </c>
      <c r="E3" s="3">
        <v>43241</v>
      </c>
      <c r="F3" s="2">
        <v>135000</v>
      </c>
      <c r="G3" s="2">
        <v>55000</v>
      </c>
      <c r="H3" s="2">
        <v>135000</v>
      </c>
      <c r="I3" s="2">
        <v>325000</v>
      </c>
    </row>
    <row r="4" spans="1:9">
      <c r="A4" s="2" t="s">
        <v>13</v>
      </c>
      <c r="B4" s="2" t="s">
        <v>14</v>
      </c>
      <c r="C4" s="2" t="s">
        <v>11</v>
      </c>
      <c r="D4" s="2" t="s">
        <v>15</v>
      </c>
      <c r="E4" s="3">
        <v>43171</v>
      </c>
      <c r="F4" s="2">
        <v>38700</v>
      </c>
      <c r="G4" s="2">
        <v>78000</v>
      </c>
      <c r="H4" s="2">
        <v>38700</v>
      </c>
      <c r="I4" s="2">
        <v>155400</v>
      </c>
    </row>
    <row r="5" spans="1:9">
      <c r="A5" s="2" t="s">
        <v>16</v>
      </c>
      <c r="B5" s="2" t="s">
        <v>17</v>
      </c>
      <c r="C5" s="2" t="s">
        <v>11</v>
      </c>
      <c r="D5" s="2" t="s">
        <v>15</v>
      </c>
      <c r="E5" s="3">
        <v>42808</v>
      </c>
      <c r="F5" s="2">
        <v>7700</v>
      </c>
      <c r="G5" s="2">
        <v>52200</v>
      </c>
      <c r="H5" s="2">
        <v>7700</v>
      </c>
      <c r="I5" s="2">
        <v>67600</v>
      </c>
    </row>
    <row r="6" spans="1:9">
      <c r="A6" s="2" t="s">
        <v>18</v>
      </c>
      <c r="B6" s="2" t="s">
        <v>19</v>
      </c>
      <c r="C6" s="2" t="s">
        <v>20</v>
      </c>
      <c r="D6" s="2" t="s">
        <v>21</v>
      </c>
      <c r="E6" s="3">
        <v>42474</v>
      </c>
      <c r="F6" s="2">
        <v>55000</v>
      </c>
      <c r="G6" s="2">
        <v>122500</v>
      </c>
      <c r="H6" s="2">
        <v>12500</v>
      </c>
      <c r="I6" s="2">
        <v>190000</v>
      </c>
    </row>
    <row r="7" spans="1:9">
      <c r="A7" s="2" t="s">
        <v>22</v>
      </c>
      <c r="B7" s="2" t="s">
        <v>23</v>
      </c>
      <c r="C7" s="2" t="s">
        <v>11</v>
      </c>
      <c r="D7" s="2" t="s">
        <v>24</v>
      </c>
      <c r="E7" s="3">
        <v>42840</v>
      </c>
      <c r="F7" s="2">
        <v>38700</v>
      </c>
      <c r="G7" s="2">
        <v>21020</v>
      </c>
      <c r="H7" s="2">
        <v>37000</v>
      </c>
      <c r="I7" s="2">
        <v>96720</v>
      </c>
    </row>
    <row r="8" spans="1:9">
      <c r="A8" s="2" t="s">
        <v>25</v>
      </c>
      <c r="B8" s="2" t="s">
        <v>26</v>
      </c>
      <c r="C8" s="2" t="s">
        <v>20</v>
      </c>
      <c r="D8" s="2" t="s">
        <v>24</v>
      </c>
      <c r="E8" s="3">
        <v>42446</v>
      </c>
      <c r="F8" s="2">
        <v>78000</v>
      </c>
      <c r="G8" s="2">
        <v>2020</v>
      </c>
      <c r="H8" s="2">
        <v>135000</v>
      </c>
      <c r="I8" s="2">
        <v>215020</v>
      </c>
    </row>
    <row r="9" spans="1:9">
      <c r="A9" s="2" t="s">
        <v>27</v>
      </c>
      <c r="B9" s="2" t="s">
        <v>28</v>
      </c>
      <c r="C9" s="2" t="s">
        <v>29</v>
      </c>
      <c r="D9" s="2" t="s">
        <v>30</v>
      </c>
      <c r="E9" s="3">
        <v>44051</v>
      </c>
      <c r="F9" s="2">
        <v>52200</v>
      </c>
      <c r="G9" s="2">
        <v>14560</v>
      </c>
      <c r="H9" s="2">
        <v>38700</v>
      </c>
      <c r="I9" s="2">
        <v>105460</v>
      </c>
    </row>
    <row r="10" spans="1:9">
      <c r="A10" s="2" t="s">
        <v>31</v>
      </c>
      <c r="B10" s="2" t="s">
        <v>32</v>
      </c>
      <c r="C10" s="2" t="s">
        <v>20</v>
      </c>
      <c r="D10" s="2" t="s">
        <v>30</v>
      </c>
      <c r="E10" s="3">
        <v>43141</v>
      </c>
      <c r="F10" s="2">
        <v>122500</v>
      </c>
      <c r="G10" s="2">
        <v>140520</v>
      </c>
      <c r="H10" s="2">
        <v>78000</v>
      </c>
      <c r="I10" s="2">
        <v>341020</v>
      </c>
    </row>
    <row r="11" spans="1:9">
      <c r="A11" s="2" t="s">
        <v>33</v>
      </c>
      <c r="B11" s="2" t="s">
        <v>34</v>
      </c>
      <c r="C11" s="2" t="s">
        <v>20</v>
      </c>
      <c r="D11" s="2" t="s">
        <v>30</v>
      </c>
      <c r="E11" s="3">
        <v>44242</v>
      </c>
      <c r="F11" s="2">
        <v>11250</v>
      </c>
      <c r="G11" s="2">
        <v>22020</v>
      </c>
      <c r="H11" s="2">
        <v>52200</v>
      </c>
      <c r="I11" s="2">
        <v>85470</v>
      </c>
    </row>
    <row r="12" spans="1:9">
      <c r="A12" s="2" t="s">
        <v>35</v>
      </c>
      <c r="B12" s="2" t="s">
        <v>36</v>
      </c>
      <c r="C12" s="2" t="s">
        <v>11</v>
      </c>
      <c r="D12" s="2" t="s">
        <v>12</v>
      </c>
      <c r="E12" s="3">
        <v>44075</v>
      </c>
      <c r="F12" s="2">
        <v>2020</v>
      </c>
      <c r="G12" s="2">
        <v>80250</v>
      </c>
      <c r="H12" s="2">
        <v>11250</v>
      </c>
      <c r="I12" s="2">
        <v>93520</v>
      </c>
    </row>
    <row r="13" spans="1:9">
      <c r="A13" s="2" t="s">
        <v>37</v>
      </c>
      <c r="B13" s="2" t="s">
        <v>38</v>
      </c>
      <c r="C13" s="2" t="s">
        <v>11</v>
      </c>
      <c r="D13" s="2" t="s">
        <v>15</v>
      </c>
      <c r="E13" s="3">
        <v>43615</v>
      </c>
      <c r="F13" s="2">
        <v>140520</v>
      </c>
      <c r="G13" s="2">
        <v>135000</v>
      </c>
      <c r="H13" s="2">
        <v>152000</v>
      </c>
      <c r="I13" s="2">
        <v>427520</v>
      </c>
    </row>
    <row r="14" spans="1:9">
      <c r="A14" s="2" t="s">
        <v>39</v>
      </c>
      <c r="B14" s="2" t="s">
        <v>40</v>
      </c>
      <c r="C14" s="2" t="s">
        <v>41</v>
      </c>
      <c r="D14" s="2" t="s">
        <v>30</v>
      </c>
      <c r="E14" s="3">
        <v>44499</v>
      </c>
      <c r="F14" s="2">
        <v>37000</v>
      </c>
      <c r="G14" s="2">
        <v>38000</v>
      </c>
      <c r="H14" s="2">
        <v>29000</v>
      </c>
      <c r="I14" s="2">
        <v>104000</v>
      </c>
    </row>
    <row r="15" spans="1:9">
      <c r="A15" s="2" t="s">
        <v>42</v>
      </c>
      <c r="B15" s="2" t="s">
        <v>43</v>
      </c>
      <c r="C15" s="2" t="s">
        <v>20</v>
      </c>
      <c r="D15" s="2" t="s">
        <v>12</v>
      </c>
      <c r="E15" s="3">
        <v>43192</v>
      </c>
      <c r="F15" s="2">
        <v>135000</v>
      </c>
      <c r="G15" s="2">
        <v>178000</v>
      </c>
      <c r="H15" s="2">
        <v>120200</v>
      </c>
      <c r="I15" s="2">
        <v>433200</v>
      </c>
    </row>
    <row r="16" spans="1:9">
      <c r="A16" s="2" t="s">
        <v>44</v>
      </c>
      <c r="B16" s="2" t="s">
        <v>45</v>
      </c>
      <c r="C16" s="2" t="s">
        <v>11</v>
      </c>
      <c r="D16" s="2" t="s">
        <v>12</v>
      </c>
      <c r="E16" s="3">
        <v>42881</v>
      </c>
      <c r="F16" s="2">
        <v>37000</v>
      </c>
      <c r="G16" s="2">
        <v>135000</v>
      </c>
      <c r="H16" s="2">
        <v>78000</v>
      </c>
      <c r="I16" s="2">
        <v>250000</v>
      </c>
    </row>
    <row r="17" spans="1:9">
      <c r="A17" s="2" t="s">
        <v>46</v>
      </c>
      <c r="B17" s="2" t="s">
        <v>47</v>
      </c>
      <c r="C17" s="2" t="s">
        <v>11</v>
      </c>
      <c r="D17" s="2" t="s">
        <v>15</v>
      </c>
      <c r="E17" s="3">
        <v>42810</v>
      </c>
      <c r="F17" s="2">
        <v>7000</v>
      </c>
      <c r="G17" s="2">
        <v>38700</v>
      </c>
      <c r="H17" s="2">
        <v>122500</v>
      </c>
      <c r="I17" s="2">
        <v>168200</v>
      </c>
    </row>
    <row r="18" spans="1:9">
      <c r="A18" s="2" t="s">
        <v>48</v>
      </c>
      <c r="B18" s="2" t="s">
        <v>49</v>
      </c>
      <c r="C18" s="2" t="s">
        <v>11</v>
      </c>
      <c r="D18" s="2" t="s">
        <v>24</v>
      </c>
      <c r="E18" s="3">
        <v>43350</v>
      </c>
      <c r="F18" s="2">
        <v>5800</v>
      </c>
      <c r="G18" s="2">
        <v>135000</v>
      </c>
      <c r="H18" s="2">
        <v>2020</v>
      </c>
      <c r="I18" s="2">
        <v>142820</v>
      </c>
    </row>
    <row r="19" spans="1:9">
      <c r="A19" s="2" t="s">
        <v>50</v>
      </c>
      <c r="B19" s="2" t="s">
        <v>51</v>
      </c>
      <c r="C19" s="2" t="s">
        <v>11</v>
      </c>
      <c r="D19" s="2" t="s">
        <v>24</v>
      </c>
      <c r="E19" s="3">
        <v>43777</v>
      </c>
      <c r="F19" s="2">
        <v>38700</v>
      </c>
      <c r="G19" s="2">
        <v>37000</v>
      </c>
      <c r="H19" s="2">
        <v>14560</v>
      </c>
      <c r="I19" s="2">
        <v>90260</v>
      </c>
    </row>
    <row r="20" spans="1:9">
      <c r="A20" s="2" t="s">
        <v>52</v>
      </c>
      <c r="B20" s="2" t="s">
        <v>53</v>
      </c>
      <c r="C20" s="2" t="s">
        <v>20</v>
      </c>
      <c r="D20" s="2" t="s">
        <v>30</v>
      </c>
      <c r="E20" s="3">
        <v>44197</v>
      </c>
      <c r="F20" s="2">
        <v>12500</v>
      </c>
      <c r="G20" s="2">
        <v>5800</v>
      </c>
      <c r="H20" s="2">
        <v>22020</v>
      </c>
      <c r="I20" s="2">
        <v>40320</v>
      </c>
    </row>
    <row r="22" spans="1:9">
      <c r="A22" s="2" t="s">
        <v>191</v>
      </c>
    </row>
    <row r="23" spans="1:9">
      <c r="A23" t="b">
        <f>AND(D3="노원",C3="여",I3&gt;=100000,I3&lt;=200000)</f>
        <v>0</v>
      </c>
    </row>
    <row r="27" spans="1:9">
      <c r="A27" s="1" t="s">
        <v>1</v>
      </c>
      <c r="B27" s="1" t="s">
        <v>2</v>
      </c>
      <c r="C27" s="1" t="s">
        <v>3</v>
      </c>
      <c r="D27" s="1" t="s">
        <v>8</v>
      </c>
    </row>
    <row r="28" spans="1:9">
      <c r="A28" s="2" t="s">
        <v>19</v>
      </c>
      <c r="B28" s="2" t="s">
        <v>20</v>
      </c>
      <c r="C28" s="2" t="s">
        <v>21</v>
      </c>
      <c r="D28" s="2">
        <v>190000</v>
      </c>
    </row>
    <row r="29" spans="1:9">
      <c r="A29" s="2" t="s">
        <v>28</v>
      </c>
      <c r="B29" s="2" t="s">
        <v>29</v>
      </c>
      <c r="C29" s="2" t="s">
        <v>30</v>
      </c>
      <c r="D29" s="2">
        <v>105460</v>
      </c>
    </row>
    <row r="30" spans="1:9">
      <c r="A30" s="2" t="s">
        <v>40</v>
      </c>
      <c r="B30" s="2" t="s">
        <v>29</v>
      </c>
      <c r="C30" s="2" t="s">
        <v>30</v>
      </c>
      <c r="D30" s="2">
        <v>104000</v>
      </c>
    </row>
  </sheetData>
  <phoneticPr fontId="1" type="noConversion"/>
  <conditionalFormatting sqref="A3:I20 A22">
    <cfRule type="expression" dxfId="0" priority="1">
      <formula>OR(YEAR($E3)=2017,YEAR($E3)=2019)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 페이지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I20"/>
  <sheetViews>
    <sheetView workbookViewId="0"/>
  </sheetViews>
  <sheetFormatPr defaultRowHeight="17"/>
  <cols>
    <col min="3" max="4" width="12.5" bestFit="1" customWidth="1"/>
    <col min="5" max="5" width="12.6640625" bestFit="1" customWidth="1"/>
    <col min="6" max="8" width="12.4140625" bestFit="1" customWidth="1"/>
    <col min="9" max="9" width="12.5" bestFit="1" customWidth="1"/>
  </cols>
  <sheetData>
    <row r="2" spans="1:9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2" t="s">
        <v>9</v>
      </c>
      <c r="B3" s="2" t="s">
        <v>10</v>
      </c>
      <c r="C3" s="2" t="s">
        <v>11</v>
      </c>
      <c r="D3" s="2" t="s">
        <v>12</v>
      </c>
      <c r="E3" s="3">
        <v>43241</v>
      </c>
      <c r="F3" s="2">
        <v>135000</v>
      </c>
      <c r="G3" s="2">
        <v>55000</v>
      </c>
      <c r="H3" s="2">
        <v>135000</v>
      </c>
      <c r="I3" s="2">
        <v>325000</v>
      </c>
    </row>
    <row r="4" spans="1:9">
      <c r="A4" s="2" t="s">
        <v>13</v>
      </c>
      <c r="B4" s="2" t="s">
        <v>14</v>
      </c>
      <c r="C4" s="2" t="s">
        <v>11</v>
      </c>
      <c r="D4" s="2" t="s">
        <v>15</v>
      </c>
      <c r="E4" s="3">
        <v>43171</v>
      </c>
      <c r="F4" s="2">
        <v>38700</v>
      </c>
      <c r="G4" s="2">
        <v>78000</v>
      </c>
      <c r="H4" s="2">
        <v>38700</v>
      </c>
      <c r="I4" s="2">
        <v>155400</v>
      </c>
    </row>
    <row r="5" spans="1:9">
      <c r="A5" s="2" t="s">
        <v>16</v>
      </c>
      <c r="B5" s="2" t="s">
        <v>17</v>
      </c>
      <c r="C5" s="2" t="s">
        <v>11</v>
      </c>
      <c r="D5" s="2" t="s">
        <v>15</v>
      </c>
      <c r="E5" s="3">
        <v>42808</v>
      </c>
      <c r="F5" s="2">
        <v>7700</v>
      </c>
      <c r="G5" s="2">
        <v>52200</v>
      </c>
      <c r="H5" s="2">
        <v>7700</v>
      </c>
      <c r="I5" s="2">
        <v>67600</v>
      </c>
    </row>
    <row r="6" spans="1:9">
      <c r="A6" s="2" t="s">
        <v>18</v>
      </c>
      <c r="B6" s="2" t="s">
        <v>19</v>
      </c>
      <c r="C6" s="2" t="s">
        <v>20</v>
      </c>
      <c r="D6" s="2" t="s">
        <v>21</v>
      </c>
      <c r="E6" s="3">
        <v>42474</v>
      </c>
      <c r="F6" s="2">
        <v>55000</v>
      </c>
      <c r="G6" s="2">
        <v>122500</v>
      </c>
      <c r="H6" s="2">
        <v>12500</v>
      </c>
      <c r="I6" s="2">
        <v>190000</v>
      </c>
    </row>
    <row r="7" spans="1:9">
      <c r="A7" s="2" t="s">
        <v>22</v>
      </c>
      <c r="B7" s="2" t="s">
        <v>23</v>
      </c>
      <c r="C7" s="2" t="s">
        <v>11</v>
      </c>
      <c r="D7" s="2" t="s">
        <v>24</v>
      </c>
      <c r="E7" s="3">
        <v>42840</v>
      </c>
      <c r="F7" s="2">
        <v>38700</v>
      </c>
      <c r="G7" s="2">
        <v>21020</v>
      </c>
      <c r="H7" s="2">
        <v>37000</v>
      </c>
      <c r="I7" s="2">
        <v>96720</v>
      </c>
    </row>
    <row r="8" spans="1:9">
      <c r="A8" s="2" t="s">
        <v>25</v>
      </c>
      <c r="B8" s="2" t="s">
        <v>26</v>
      </c>
      <c r="C8" s="2" t="s">
        <v>20</v>
      </c>
      <c r="D8" s="2" t="s">
        <v>24</v>
      </c>
      <c r="E8" s="3">
        <v>42446</v>
      </c>
      <c r="F8" s="2">
        <v>78000</v>
      </c>
      <c r="G8" s="2">
        <v>2020</v>
      </c>
      <c r="H8" s="2">
        <v>135000</v>
      </c>
      <c r="I8" s="2">
        <v>215020</v>
      </c>
    </row>
    <row r="9" spans="1:9">
      <c r="A9" s="2" t="s">
        <v>27</v>
      </c>
      <c r="B9" s="2" t="s">
        <v>28</v>
      </c>
      <c r="C9" s="2" t="s">
        <v>29</v>
      </c>
      <c r="D9" s="2" t="s">
        <v>30</v>
      </c>
      <c r="E9" s="3">
        <v>44051</v>
      </c>
      <c r="F9" s="2">
        <v>52200</v>
      </c>
      <c r="G9" s="2">
        <v>14560</v>
      </c>
      <c r="H9" s="2">
        <v>38700</v>
      </c>
      <c r="I9" s="2">
        <v>105460</v>
      </c>
    </row>
    <row r="10" spans="1:9">
      <c r="A10" s="2" t="s">
        <v>31</v>
      </c>
      <c r="B10" s="2" t="s">
        <v>32</v>
      </c>
      <c r="C10" s="2" t="s">
        <v>20</v>
      </c>
      <c r="D10" s="2" t="s">
        <v>30</v>
      </c>
      <c r="E10" s="3">
        <v>43141</v>
      </c>
      <c r="F10" s="2">
        <v>122500</v>
      </c>
      <c r="G10" s="2">
        <v>140520</v>
      </c>
      <c r="H10" s="2">
        <v>78000</v>
      </c>
      <c r="I10" s="2">
        <v>341020</v>
      </c>
    </row>
    <row r="11" spans="1:9">
      <c r="A11" s="2" t="s">
        <v>33</v>
      </c>
      <c r="B11" s="2" t="s">
        <v>34</v>
      </c>
      <c r="C11" s="2" t="s">
        <v>20</v>
      </c>
      <c r="D11" s="2" t="s">
        <v>30</v>
      </c>
      <c r="E11" s="3">
        <v>44242</v>
      </c>
      <c r="F11" s="2">
        <v>11250</v>
      </c>
      <c r="G11" s="2">
        <v>22020</v>
      </c>
      <c r="H11" s="2">
        <v>52200</v>
      </c>
      <c r="I11" s="2">
        <v>85470</v>
      </c>
    </row>
    <row r="12" spans="1:9">
      <c r="A12" s="2" t="s">
        <v>35</v>
      </c>
      <c r="B12" s="2" t="s">
        <v>36</v>
      </c>
      <c r="C12" s="2" t="s">
        <v>11</v>
      </c>
      <c r="D12" s="2" t="s">
        <v>12</v>
      </c>
      <c r="E12" s="3">
        <v>44075</v>
      </c>
      <c r="F12" s="2">
        <v>2020</v>
      </c>
      <c r="G12" s="2">
        <v>80250</v>
      </c>
      <c r="H12" s="2">
        <v>11250</v>
      </c>
      <c r="I12" s="2">
        <v>93520</v>
      </c>
    </row>
    <row r="13" spans="1:9">
      <c r="A13" s="2" t="s">
        <v>37</v>
      </c>
      <c r="B13" s="2" t="s">
        <v>38</v>
      </c>
      <c r="C13" s="2" t="s">
        <v>11</v>
      </c>
      <c r="D13" s="2" t="s">
        <v>15</v>
      </c>
      <c r="E13" s="3">
        <v>43615</v>
      </c>
      <c r="F13" s="2">
        <v>140520</v>
      </c>
      <c r="G13" s="2">
        <v>135000</v>
      </c>
      <c r="H13" s="2">
        <v>152000</v>
      </c>
      <c r="I13" s="2">
        <v>427520</v>
      </c>
    </row>
    <row r="14" spans="1:9">
      <c r="A14" s="2" t="s">
        <v>39</v>
      </c>
      <c r="B14" s="2" t="s">
        <v>40</v>
      </c>
      <c r="C14" s="2" t="s">
        <v>29</v>
      </c>
      <c r="D14" s="2" t="s">
        <v>30</v>
      </c>
      <c r="E14" s="3">
        <v>44499</v>
      </c>
      <c r="F14" s="2">
        <v>37000</v>
      </c>
      <c r="G14" s="2">
        <v>38000</v>
      </c>
      <c r="H14" s="2">
        <v>29000</v>
      </c>
      <c r="I14" s="2">
        <v>104000</v>
      </c>
    </row>
    <row r="15" spans="1:9">
      <c r="A15" s="2" t="s">
        <v>42</v>
      </c>
      <c r="B15" s="2" t="s">
        <v>43</v>
      </c>
      <c r="C15" s="2" t="s">
        <v>20</v>
      </c>
      <c r="D15" s="2" t="s">
        <v>12</v>
      </c>
      <c r="E15" s="3">
        <v>43192</v>
      </c>
      <c r="F15" s="2">
        <v>135000</v>
      </c>
      <c r="G15" s="2">
        <v>178000</v>
      </c>
      <c r="H15" s="2">
        <v>120200</v>
      </c>
      <c r="I15" s="2">
        <v>433200</v>
      </c>
    </row>
    <row r="16" spans="1:9">
      <c r="A16" s="2" t="s">
        <v>44</v>
      </c>
      <c r="B16" s="2" t="s">
        <v>45</v>
      </c>
      <c r="C16" s="2" t="s">
        <v>11</v>
      </c>
      <c r="D16" s="2" t="s">
        <v>12</v>
      </c>
      <c r="E16" s="3">
        <v>42881</v>
      </c>
      <c r="F16" s="2">
        <v>37000</v>
      </c>
      <c r="G16" s="2">
        <v>135000</v>
      </c>
      <c r="H16" s="2">
        <v>78000</v>
      </c>
      <c r="I16" s="2">
        <v>250000</v>
      </c>
    </row>
    <row r="17" spans="1:9">
      <c r="A17" s="2" t="s">
        <v>46</v>
      </c>
      <c r="B17" s="2" t="s">
        <v>47</v>
      </c>
      <c r="C17" s="2" t="s">
        <v>11</v>
      </c>
      <c r="D17" s="2" t="s">
        <v>15</v>
      </c>
      <c r="E17" s="3">
        <v>42810</v>
      </c>
      <c r="F17" s="2">
        <v>7000</v>
      </c>
      <c r="G17" s="2">
        <v>38700</v>
      </c>
      <c r="H17" s="2">
        <v>122500</v>
      </c>
      <c r="I17" s="2">
        <v>168200</v>
      </c>
    </row>
    <row r="18" spans="1:9">
      <c r="A18" s="2" t="s">
        <v>48</v>
      </c>
      <c r="B18" s="2" t="s">
        <v>49</v>
      </c>
      <c r="C18" s="2" t="s">
        <v>11</v>
      </c>
      <c r="D18" s="2" t="s">
        <v>24</v>
      </c>
      <c r="E18" s="3">
        <v>43350</v>
      </c>
      <c r="F18" s="2">
        <v>5800</v>
      </c>
      <c r="G18" s="2">
        <v>135000</v>
      </c>
      <c r="H18" s="2">
        <v>2020</v>
      </c>
      <c r="I18" s="2">
        <v>142820</v>
      </c>
    </row>
    <row r="19" spans="1:9">
      <c r="A19" s="2" t="s">
        <v>50</v>
      </c>
      <c r="B19" s="2" t="s">
        <v>51</v>
      </c>
      <c r="C19" s="2" t="s">
        <v>11</v>
      </c>
      <c r="D19" s="2" t="s">
        <v>24</v>
      </c>
      <c r="E19" s="3">
        <v>43777</v>
      </c>
      <c r="F19" s="2">
        <v>38700</v>
      </c>
      <c r="G19" s="2">
        <v>37000</v>
      </c>
      <c r="H19" s="2">
        <v>14560</v>
      </c>
      <c r="I19" s="2">
        <v>90260</v>
      </c>
    </row>
    <row r="20" spans="1:9">
      <c r="A20" s="2" t="s">
        <v>52</v>
      </c>
      <c r="B20" s="2" t="s">
        <v>53</v>
      </c>
      <c r="C20" s="2" t="s">
        <v>20</v>
      </c>
      <c r="D20" s="2" t="s">
        <v>30</v>
      </c>
      <c r="E20" s="3">
        <v>44197</v>
      </c>
      <c r="F20" s="2">
        <v>12500</v>
      </c>
      <c r="G20" s="2">
        <v>5800</v>
      </c>
      <c r="H20" s="2">
        <v>22020</v>
      </c>
      <c r="I20" s="2">
        <v>40320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 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36"/>
  <sheetViews>
    <sheetView workbookViewId="0"/>
  </sheetViews>
  <sheetFormatPr defaultRowHeight="17"/>
  <cols>
    <col min="11" max="11" width="24.33203125" bestFit="1" customWidth="1"/>
  </cols>
  <sheetData>
    <row r="2" spans="1:11">
      <c r="A2" s="4" t="s">
        <v>54</v>
      </c>
      <c r="B2" s="4"/>
      <c r="C2" s="4"/>
      <c r="D2" s="4"/>
      <c r="E2" s="4"/>
      <c r="F2" s="4"/>
      <c r="G2" s="4"/>
      <c r="H2" s="4"/>
      <c r="I2" s="4"/>
      <c r="J2" s="4" t="s">
        <v>55</v>
      </c>
      <c r="K2" s="4" t="s">
        <v>56</v>
      </c>
    </row>
    <row r="3" spans="1:11">
      <c r="A3" s="5" t="s">
        <v>57</v>
      </c>
      <c r="B3" s="5" t="s">
        <v>58</v>
      </c>
      <c r="C3" s="5" t="s">
        <v>59</v>
      </c>
      <c r="D3" s="5" t="s">
        <v>60</v>
      </c>
      <c r="E3" s="5" t="s">
        <v>61</v>
      </c>
      <c r="F3" s="5" t="s">
        <v>62</v>
      </c>
      <c r="G3" s="5" t="s">
        <v>63</v>
      </c>
      <c r="H3" s="14" t="s">
        <v>64</v>
      </c>
      <c r="I3" s="4"/>
      <c r="J3" s="5" t="s">
        <v>65</v>
      </c>
      <c r="K3" s="14" t="s">
        <v>66</v>
      </c>
    </row>
    <row r="4" spans="1:11">
      <c r="A4" s="6">
        <v>1</v>
      </c>
      <c r="B4" s="6" t="s">
        <v>67</v>
      </c>
      <c r="C4" s="6" t="s">
        <v>68</v>
      </c>
      <c r="D4" s="7">
        <v>82</v>
      </c>
      <c r="E4" s="7">
        <v>56</v>
      </c>
      <c r="F4" s="7">
        <v>77</v>
      </c>
      <c r="G4" s="7">
        <v>91</v>
      </c>
      <c r="H4" s="8">
        <f>fn총점(D4,E4,F4,G4)</f>
        <v>0</v>
      </c>
      <c r="I4" s="4"/>
      <c r="J4" s="9" t="s">
        <v>69</v>
      </c>
      <c r="K4" s="8">
        <f>ROUNDDOWN(AVERAGEIF($C$4:$C$26,J4,$F$4:$F$26),1)</f>
        <v>78.8</v>
      </c>
    </row>
    <row r="5" spans="1:11">
      <c r="A5" s="6">
        <v>2</v>
      </c>
      <c r="B5" s="6" t="s">
        <v>70</v>
      </c>
      <c r="C5" s="6" t="s">
        <v>71</v>
      </c>
      <c r="D5" s="7">
        <v>85</v>
      </c>
      <c r="E5" s="7">
        <v>70</v>
      </c>
      <c r="F5" s="7">
        <v>78</v>
      </c>
      <c r="G5" s="7">
        <v>62</v>
      </c>
      <c r="H5" s="8">
        <f t="shared" ref="H5:H26" si="0">fn총점(D5,E5,F5,G5)</f>
        <v>72.2</v>
      </c>
      <c r="I5" s="4"/>
      <c r="J5" s="9" t="s">
        <v>72</v>
      </c>
      <c r="K5" s="8">
        <f t="shared" ref="K5:K7" si="1">ROUNDDOWN(AVERAGEIF($C$4:$C$26,J5,$F$4:$F$26),1)</f>
        <v>76.2</v>
      </c>
    </row>
    <row r="6" spans="1:11">
      <c r="A6" s="6">
        <v>3</v>
      </c>
      <c r="B6" s="6" t="s">
        <v>73</v>
      </c>
      <c r="C6" s="10" t="s">
        <v>72</v>
      </c>
      <c r="D6" s="7">
        <v>91</v>
      </c>
      <c r="E6" s="7">
        <v>62</v>
      </c>
      <c r="F6" s="7">
        <v>70</v>
      </c>
      <c r="G6" s="7">
        <v>82</v>
      </c>
      <c r="H6" s="8">
        <f t="shared" si="0"/>
        <v>75.399999999999991</v>
      </c>
      <c r="I6" s="4"/>
      <c r="J6" s="9" t="s">
        <v>71</v>
      </c>
      <c r="K6" s="8">
        <f t="shared" si="1"/>
        <v>81</v>
      </c>
    </row>
    <row r="7" spans="1:11">
      <c r="A7" s="6">
        <v>4</v>
      </c>
      <c r="B7" s="6" t="s">
        <v>74</v>
      </c>
      <c r="C7" s="10" t="s">
        <v>75</v>
      </c>
      <c r="D7" s="7">
        <v>92</v>
      </c>
      <c r="E7" s="7">
        <v>90</v>
      </c>
      <c r="F7" s="7">
        <v>78</v>
      </c>
      <c r="G7" s="7">
        <v>85</v>
      </c>
      <c r="H7" s="8">
        <f t="shared" si="0"/>
        <v>86.5</v>
      </c>
      <c r="I7" s="4"/>
      <c r="J7" s="9" t="s">
        <v>76</v>
      </c>
      <c r="K7" s="8">
        <f t="shared" si="1"/>
        <v>79.5</v>
      </c>
    </row>
    <row r="8" spans="1:11">
      <c r="A8" s="6">
        <v>5</v>
      </c>
      <c r="B8" s="6" t="s">
        <v>77</v>
      </c>
      <c r="C8" s="11" t="s">
        <v>71</v>
      </c>
      <c r="D8" s="7">
        <v>87</v>
      </c>
      <c r="E8" s="7">
        <v>85</v>
      </c>
      <c r="F8" s="7">
        <v>82</v>
      </c>
      <c r="G8" s="7">
        <v>70</v>
      </c>
      <c r="H8" s="8">
        <f t="shared" si="0"/>
        <v>80.300000000000011</v>
      </c>
      <c r="I8" s="4"/>
      <c r="J8" s="4"/>
      <c r="K8" s="4"/>
    </row>
    <row r="9" spans="1:11">
      <c r="A9" s="6">
        <v>6</v>
      </c>
      <c r="B9" s="6" t="s">
        <v>78</v>
      </c>
      <c r="C9" s="10" t="s">
        <v>69</v>
      </c>
      <c r="D9" s="8">
        <v>78</v>
      </c>
      <c r="E9" s="7">
        <v>68</v>
      </c>
      <c r="F9" s="7">
        <v>78</v>
      </c>
      <c r="G9" s="7">
        <v>91</v>
      </c>
      <c r="H9" s="8">
        <f t="shared" si="0"/>
        <v>78.900000000000006</v>
      </c>
      <c r="I9" s="4"/>
      <c r="J9" s="4"/>
      <c r="K9" s="4"/>
    </row>
    <row r="10" spans="1:11">
      <c r="A10" s="6">
        <v>7</v>
      </c>
      <c r="B10" s="6" t="s">
        <v>79</v>
      </c>
      <c r="C10" s="10" t="s">
        <v>80</v>
      </c>
      <c r="D10" s="8">
        <v>77</v>
      </c>
      <c r="E10" s="7">
        <v>78</v>
      </c>
      <c r="F10" s="7">
        <v>82</v>
      </c>
      <c r="G10" s="7">
        <v>91</v>
      </c>
      <c r="H10" s="8">
        <f t="shared" si="0"/>
        <v>82.5</v>
      </c>
      <c r="I10" s="4"/>
      <c r="J10" s="12" t="s">
        <v>81</v>
      </c>
      <c r="K10" s="12" t="s">
        <v>82</v>
      </c>
    </row>
    <row r="11" spans="1:11">
      <c r="A11" s="6">
        <v>8</v>
      </c>
      <c r="B11" s="6" t="s">
        <v>83</v>
      </c>
      <c r="C11" s="10" t="s">
        <v>84</v>
      </c>
      <c r="D11" s="8">
        <v>77</v>
      </c>
      <c r="E11" s="7">
        <v>78</v>
      </c>
      <c r="F11" s="7">
        <v>76</v>
      </c>
      <c r="G11" s="7">
        <v>80</v>
      </c>
      <c r="H11" s="8">
        <f t="shared" si="0"/>
        <v>78</v>
      </c>
      <c r="I11" s="4"/>
      <c r="J11" s="5" t="s">
        <v>85</v>
      </c>
      <c r="K11" s="14" t="s">
        <v>57</v>
      </c>
    </row>
    <row r="12" spans="1:11">
      <c r="A12" s="6">
        <v>9</v>
      </c>
      <c r="B12" s="6" t="s">
        <v>86</v>
      </c>
      <c r="C12" s="10" t="s">
        <v>72</v>
      </c>
      <c r="D12" s="8">
        <v>96</v>
      </c>
      <c r="E12" s="7">
        <v>82</v>
      </c>
      <c r="F12" s="7">
        <v>78</v>
      </c>
      <c r="G12" s="7">
        <v>56</v>
      </c>
      <c r="H12" s="8">
        <f t="shared" si="0"/>
        <v>0</v>
      </c>
      <c r="I12" s="4"/>
      <c r="J12" s="9" t="s">
        <v>84</v>
      </c>
      <c r="K12" s="8">
        <f t="array" ref="K12">MATCH(DMAX(A3:H26,D3,J11:J12),(C4:C26=J12)*D4:D26,0)</f>
        <v>23</v>
      </c>
    </row>
    <row r="13" spans="1:11">
      <c r="A13" s="6">
        <v>10</v>
      </c>
      <c r="B13" s="6" t="s">
        <v>87</v>
      </c>
      <c r="C13" s="6" t="s">
        <v>71</v>
      </c>
      <c r="D13" s="8">
        <v>84</v>
      </c>
      <c r="E13" s="7">
        <v>78</v>
      </c>
      <c r="F13" s="7">
        <v>69</v>
      </c>
      <c r="G13" s="7">
        <v>70</v>
      </c>
      <c r="H13" s="8">
        <f t="shared" si="0"/>
        <v>75</v>
      </c>
      <c r="I13" s="4"/>
      <c r="J13" s="4"/>
      <c r="K13" s="4"/>
    </row>
    <row r="14" spans="1:11">
      <c r="A14" s="6">
        <v>11</v>
      </c>
      <c r="B14" s="6" t="s">
        <v>88</v>
      </c>
      <c r="C14" s="6" t="s">
        <v>71</v>
      </c>
      <c r="D14" s="8">
        <v>75</v>
      </c>
      <c r="E14" s="7">
        <v>79</v>
      </c>
      <c r="F14" s="7">
        <v>82</v>
      </c>
      <c r="G14" s="7">
        <v>82</v>
      </c>
      <c r="H14" s="8">
        <f t="shared" si="0"/>
        <v>79.7</v>
      </c>
      <c r="I14" s="4"/>
      <c r="J14" s="4"/>
      <c r="K14" s="4"/>
    </row>
    <row r="15" spans="1:11">
      <c r="A15" s="6">
        <v>12</v>
      </c>
      <c r="B15" s="6" t="s">
        <v>89</v>
      </c>
      <c r="C15" s="10" t="s">
        <v>84</v>
      </c>
      <c r="D15" s="8">
        <v>72</v>
      </c>
      <c r="E15" s="7">
        <v>92</v>
      </c>
      <c r="F15" s="7">
        <v>95</v>
      </c>
      <c r="G15" s="7">
        <v>90</v>
      </c>
      <c r="H15" s="8">
        <f t="shared" si="0"/>
        <v>88</v>
      </c>
      <c r="I15" s="4"/>
      <c r="J15" s="4" t="s">
        <v>90</v>
      </c>
      <c r="K15" s="4" t="s">
        <v>91</v>
      </c>
    </row>
    <row r="16" spans="1:11">
      <c r="A16" s="6">
        <v>13</v>
      </c>
      <c r="B16" s="6" t="s">
        <v>92</v>
      </c>
      <c r="C16" s="10" t="s">
        <v>84</v>
      </c>
      <c r="D16" s="8">
        <v>88</v>
      </c>
      <c r="E16" s="7">
        <v>95</v>
      </c>
      <c r="F16" s="7">
        <v>59</v>
      </c>
      <c r="G16" s="7">
        <v>82</v>
      </c>
      <c r="H16" s="8">
        <f t="shared" si="0"/>
        <v>0</v>
      </c>
      <c r="I16" s="4"/>
      <c r="J16" s="5" t="s">
        <v>93</v>
      </c>
      <c r="K16" s="14" t="s">
        <v>94</v>
      </c>
    </row>
    <row r="17" spans="1:11">
      <c r="A17" s="6">
        <v>14</v>
      </c>
      <c r="B17" s="6" t="s">
        <v>95</v>
      </c>
      <c r="C17" s="10" t="s">
        <v>72</v>
      </c>
      <c r="D17" s="8">
        <v>92</v>
      </c>
      <c r="E17" s="7">
        <v>68</v>
      </c>
      <c r="F17" s="7">
        <v>77</v>
      </c>
      <c r="G17" s="7">
        <v>75</v>
      </c>
      <c r="H17" s="8">
        <f t="shared" si="0"/>
        <v>76.699999999999989</v>
      </c>
      <c r="I17" s="4"/>
      <c r="J17" s="8">
        <v>60</v>
      </c>
      <c r="K17" s="8" t="str">
        <f t="array" ref="K17:K21">TEXT(FREQUENCY(E4:E26,J17:J21),"0명")</f>
        <v>2명</v>
      </c>
    </row>
    <row r="18" spans="1:11">
      <c r="A18" s="6">
        <v>15</v>
      </c>
      <c r="B18" s="6" t="s">
        <v>96</v>
      </c>
      <c r="C18" s="10" t="s">
        <v>84</v>
      </c>
      <c r="D18" s="8">
        <v>84</v>
      </c>
      <c r="E18" s="7">
        <v>56</v>
      </c>
      <c r="F18" s="7">
        <v>67</v>
      </c>
      <c r="G18" s="7">
        <v>87</v>
      </c>
      <c r="H18" s="8">
        <f t="shared" si="0"/>
        <v>0</v>
      </c>
      <c r="I18" s="4"/>
      <c r="J18" s="8">
        <v>70</v>
      </c>
      <c r="K18" s="8" t="str">
        <v>6명</v>
      </c>
    </row>
    <row r="19" spans="1:11">
      <c r="A19" s="6">
        <v>16</v>
      </c>
      <c r="B19" s="6" t="s">
        <v>97</v>
      </c>
      <c r="C19" s="11" t="s">
        <v>71</v>
      </c>
      <c r="D19" s="8">
        <v>97</v>
      </c>
      <c r="E19" s="7">
        <v>89</v>
      </c>
      <c r="F19" s="7">
        <v>88</v>
      </c>
      <c r="G19" s="7">
        <v>77</v>
      </c>
      <c r="H19" s="8">
        <f t="shared" si="0"/>
        <v>86.8</v>
      </c>
      <c r="I19" s="4"/>
      <c r="J19" s="8">
        <v>80</v>
      </c>
      <c r="K19" s="8" t="str">
        <v>5명</v>
      </c>
    </row>
    <row r="20" spans="1:11">
      <c r="A20" s="6">
        <v>17</v>
      </c>
      <c r="B20" s="6" t="s">
        <v>98</v>
      </c>
      <c r="C20" s="10" t="s">
        <v>69</v>
      </c>
      <c r="D20" s="8">
        <v>88</v>
      </c>
      <c r="E20" s="7">
        <v>69</v>
      </c>
      <c r="F20" s="7">
        <v>72</v>
      </c>
      <c r="G20" s="7">
        <v>68</v>
      </c>
      <c r="H20" s="8">
        <f t="shared" si="0"/>
        <v>73.099999999999994</v>
      </c>
      <c r="I20" s="4"/>
      <c r="J20" s="8">
        <v>90</v>
      </c>
      <c r="K20" s="8" t="str">
        <v>5명</v>
      </c>
    </row>
    <row r="21" spans="1:11">
      <c r="A21" s="6">
        <v>18</v>
      </c>
      <c r="B21" s="6" t="s">
        <v>99</v>
      </c>
      <c r="C21" s="10" t="s">
        <v>100</v>
      </c>
      <c r="D21" s="8">
        <v>88</v>
      </c>
      <c r="E21" s="7">
        <v>91</v>
      </c>
      <c r="F21" s="7">
        <v>78</v>
      </c>
      <c r="G21" s="7">
        <v>85</v>
      </c>
      <c r="H21" s="8">
        <f t="shared" si="0"/>
        <v>86</v>
      </c>
      <c r="I21" s="4"/>
      <c r="J21" s="8">
        <v>100</v>
      </c>
      <c r="K21" s="8" t="str">
        <v>5명</v>
      </c>
    </row>
    <row r="22" spans="1:11">
      <c r="A22" s="6">
        <v>19</v>
      </c>
      <c r="B22" s="6" t="s">
        <v>101</v>
      </c>
      <c r="C22" s="10" t="s">
        <v>76</v>
      </c>
      <c r="D22" s="8">
        <v>66</v>
      </c>
      <c r="E22" s="7">
        <v>92</v>
      </c>
      <c r="F22" s="7">
        <v>90</v>
      </c>
      <c r="G22" s="7">
        <v>97</v>
      </c>
      <c r="H22" s="8">
        <f t="shared" si="0"/>
        <v>87.899999999999991</v>
      </c>
      <c r="I22" s="4"/>
      <c r="J22" s="4"/>
      <c r="K22" s="4"/>
    </row>
    <row r="23" spans="1:11">
      <c r="A23" s="6">
        <v>20</v>
      </c>
      <c r="B23" s="6" t="s">
        <v>102</v>
      </c>
      <c r="C23" s="11" t="s">
        <v>71</v>
      </c>
      <c r="D23" s="8">
        <v>92</v>
      </c>
      <c r="E23" s="7">
        <v>68</v>
      </c>
      <c r="F23" s="7">
        <v>91</v>
      </c>
      <c r="G23" s="7">
        <v>91</v>
      </c>
      <c r="H23" s="8">
        <f t="shared" si="0"/>
        <v>84.3</v>
      </c>
      <c r="I23" s="4"/>
      <c r="J23" s="4"/>
      <c r="K23" s="4"/>
    </row>
    <row r="24" spans="1:11">
      <c r="A24" s="6">
        <v>21</v>
      </c>
      <c r="B24" s="6" t="s">
        <v>103</v>
      </c>
      <c r="C24" s="10" t="s">
        <v>69</v>
      </c>
      <c r="D24" s="8">
        <v>81</v>
      </c>
      <c r="E24" s="7">
        <v>78</v>
      </c>
      <c r="F24" s="7">
        <v>82</v>
      </c>
      <c r="G24" s="7">
        <v>77</v>
      </c>
      <c r="H24" s="8">
        <f t="shared" si="0"/>
        <v>79.099999999999994</v>
      </c>
      <c r="I24" s="4"/>
      <c r="J24" s="4"/>
      <c r="K24" s="4"/>
    </row>
    <row r="25" spans="1:11">
      <c r="A25" s="6">
        <v>22</v>
      </c>
      <c r="B25" s="6" t="s">
        <v>104</v>
      </c>
      <c r="C25" s="10" t="s">
        <v>69</v>
      </c>
      <c r="D25" s="8">
        <v>76</v>
      </c>
      <c r="E25" s="7">
        <v>82</v>
      </c>
      <c r="F25" s="7">
        <v>80</v>
      </c>
      <c r="G25" s="7">
        <v>75</v>
      </c>
      <c r="H25" s="8">
        <f t="shared" si="0"/>
        <v>78.3</v>
      </c>
      <c r="I25" s="4"/>
      <c r="J25" s="4"/>
      <c r="K25" s="4"/>
    </row>
    <row r="26" spans="1:11">
      <c r="A26" s="6">
        <v>23</v>
      </c>
      <c r="B26" s="6" t="s">
        <v>105</v>
      </c>
      <c r="C26" s="10" t="s">
        <v>84</v>
      </c>
      <c r="D26" s="8">
        <v>98</v>
      </c>
      <c r="E26" s="7">
        <v>98</v>
      </c>
      <c r="F26" s="7">
        <v>90</v>
      </c>
      <c r="G26" s="7">
        <v>80</v>
      </c>
      <c r="H26" s="8">
        <f t="shared" si="0"/>
        <v>91</v>
      </c>
      <c r="I26" s="4"/>
      <c r="J26" s="4"/>
      <c r="K26" s="4"/>
    </row>
    <row r="27" spans="1:11">
      <c r="A27" s="4"/>
      <c r="B27" s="4"/>
      <c r="C27" s="4"/>
      <c r="D27" s="4"/>
      <c r="E27" s="2"/>
      <c r="F27" s="2"/>
      <c r="G27" s="2"/>
      <c r="H27" s="4"/>
      <c r="I27" s="4"/>
      <c r="J27" s="4"/>
      <c r="K27" s="4"/>
    </row>
    <row r="28" spans="1:11">
      <c r="A28" s="4" t="s">
        <v>106</v>
      </c>
      <c r="B28" s="4"/>
      <c r="C28" s="4"/>
      <c r="D28" s="4"/>
      <c r="E28" s="2"/>
      <c r="F28" s="2"/>
      <c r="G28" s="2"/>
      <c r="H28" s="4"/>
      <c r="I28" s="4"/>
      <c r="J28" s="4" t="s">
        <v>107</v>
      </c>
      <c r="K28" s="4"/>
    </row>
    <row r="29" spans="1:11">
      <c r="A29" s="8" t="s">
        <v>108</v>
      </c>
      <c r="B29" s="13">
        <v>0.2</v>
      </c>
      <c r="C29" s="13">
        <v>0.3</v>
      </c>
      <c r="D29" s="13">
        <v>0.2</v>
      </c>
      <c r="E29" s="13">
        <v>0.3</v>
      </c>
      <c r="F29" s="15" t="s">
        <v>109</v>
      </c>
      <c r="G29" s="4"/>
      <c r="H29" s="4"/>
      <c r="I29" s="4"/>
      <c r="J29" s="9" t="s">
        <v>110</v>
      </c>
      <c r="K29" s="9" t="s">
        <v>111</v>
      </c>
    </row>
    <row r="30" spans="1:11">
      <c r="A30" s="8" t="s">
        <v>112</v>
      </c>
      <c r="B30" s="8">
        <v>90</v>
      </c>
      <c r="C30" s="7">
        <v>92</v>
      </c>
      <c r="D30" s="7">
        <v>95</v>
      </c>
      <c r="E30" s="7">
        <v>90</v>
      </c>
      <c r="F30" s="9" t="str">
        <f>VLOOKUP(SUMPRODUCT(B30:E30,$B$29:$E$29),$J$30:$K$34,2)</f>
        <v>A</v>
      </c>
      <c r="G30" s="4"/>
      <c r="H30" s="4"/>
      <c r="I30" s="4"/>
      <c r="J30" s="8">
        <v>0</v>
      </c>
      <c r="K30" s="9" t="s">
        <v>113</v>
      </c>
    </row>
    <row r="31" spans="1:11">
      <c r="A31" s="8" t="s">
        <v>114</v>
      </c>
      <c r="B31" s="8">
        <v>95</v>
      </c>
      <c r="C31" s="7">
        <v>95</v>
      </c>
      <c r="D31" s="7">
        <v>89</v>
      </c>
      <c r="E31" s="7">
        <v>82</v>
      </c>
      <c r="F31" s="9" t="str">
        <f t="shared" ref="F31:F35" si="2">VLOOKUP(SUMPRODUCT(B31:E31,$B$29:$E$29),$J$30:$K$34,2)</f>
        <v>B</v>
      </c>
      <c r="G31" s="4"/>
      <c r="H31" s="4"/>
      <c r="I31" s="4"/>
      <c r="J31" s="8">
        <v>60</v>
      </c>
      <c r="K31" s="9" t="s">
        <v>115</v>
      </c>
    </row>
    <row r="32" spans="1:11">
      <c r="A32" s="8" t="s">
        <v>116</v>
      </c>
      <c r="B32" s="8">
        <v>92</v>
      </c>
      <c r="C32" s="7">
        <v>68</v>
      </c>
      <c r="D32" s="7">
        <v>77</v>
      </c>
      <c r="E32" s="7">
        <v>75</v>
      </c>
      <c r="F32" s="9" t="str">
        <f t="shared" si="2"/>
        <v>C</v>
      </c>
      <c r="G32" s="4"/>
      <c r="H32" s="4"/>
      <c r="I32" s="4"/>
      <c r="J32" s="8">
        <v>70</v>
      </c>
      <c r="K32" s="9" t="s">
        <v>117</v>
      </c>
    </row>
    <row r="33" spans="1:11">
      <c r="A33" s="8" t="s">
        <v>118</v>
      </c>
      <c r="B33" s="8">
        <v>65</v>
      </c>
      <c r="C33" s="7">
        <v>56</v>
      </c>
      <c r="D33" s="7">
        <v>67</v>
      </c>
      <c r="E33" s="7">
        <v>87</v>
      </c>
      <c r="F33" s="9" t="str">
        <f t="shared" si="2"/>
        <v>D</v>
      </c>
      <c r="G33" s="4"/>
      <c r="H33" s="4"/>
      <c r="I33" s="4"/>
      <c r="J33" s="8">
        <v>80</v>
      </c>
      <c r="K33" s="9" t="s">
        <v>119</v>
      </c>
    </row>
    <row r="34" spans="1:11">
      <c r="A34" s="8" t="s">
        <v>120</v>
      </c>
      <c r="B34" s="8">
        <v>97</v>
      </c>
      <c r="C34" s="7">
        <v>89</v>
      </c>
      <c r="D34" s="7">
        <v>88</v>
      </c>
      <c r="E34" s="7">
        <v>77</v>
      </c>
      <c r="F34" s="9" t="str">
        <f t="shared" si="2"/>
        <v>B</v>
      </c>
      <c r="G34" s="4"/>
      <c r="H34" s="4"/>
      <c r="I34" s="4"/>
      <c r="J34" s="8">
        <v>90</v>
      </c>
      <c r="K34" s="9" t="s">
        <v>121</v>
      </c>
    </row>
    <row r="35" spans="1:11">
      <c r="A35" s="8" t="s">
        <v>122</v>
      </c>
      <c r="B35" s="8">
        <v>59</v>
      </c>
      <c r="C35" s="7">
        <v>69</v>
      </c>
      <c r="D35" s="7">
        <v>72</v>
      </c>
      <c r="E35" s="7">
        <v>68</v>
      </c>
      <c r="F35" s="9" t="str">
        <f t="shared" si="2"/>
        <v>D</v>
      </c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E18"/>
  <sheetViews>
    <sheetView workbookViewId="0"/>
  </sheetViews>
  <sheetFormatPr defaultRowHeight="17"/>
  <cols>
    <col min="2" max="2" width="12.25" customWidth="1"/>
    <col min="3" max="3" width="10.75" customWidth="1"/>
    <col min="4" max="4" width="14.5" bestFit="1" customWidth="1"/>
    <col min="5" max="5" width="8.83203125" customWidth="1"/>
    <col min="6" max="6" width="14.5" bestFit="1" customWidth="1"/>
  </cols>
  <sheetData>
    <row r="3" spans="2:5">
      <c r="B3" s="24" t="s">
        <v>123</v>
      </c>
      <c r="C3" t="s">
        <v>161</v>
      </c>
    </row>
    <row r="5" spans="2:5">
      <c r="B5" s="24" t="s">
        <v>124</v>
      </c>
      <c r="C5" s="24" t="s">
        <v>125</v>
      </c>
      <c r="D5" t="s">
        <v>164</v>
      </c>
      <c r="E5" t="s">
        <v>165</v>
      </c>
    </row>
    <row r="6" spans="2:5">
      <c r="B6" t="s">
        <v>127</v>
      </c>
      <c r="D6" s="25">
        <v>2034</v>
      </c>
      <c r="E6" s="26">
        <v>0.55062263129399025</v>
      </c>
    </row>
    <row r="7" spans="2:5">
      <c r="C7" t="s">
        <v>163</v>
      </c>
      <c r="D7" s="25">
        <v>92</v>
      </c>
      <c r="E7" s="26">
        <v>2.490525175961018E-2</v>
      </c>
    </row>
    <row r="8" spans="2:5">
      <c r="C8" t="s">
        <v>198</v>
      </c>
      <c r="D8" s="25">
        <v>1032</v>
      </c>
      <c r="E8" s="26">
        <v>0.27937195452084462</v>
      </c>
    </row>
    <row r="9" spans="2:5">
      <c r="C9" t="s">
        <v>199</v>
      </c>
      <c r="D9" s="25">
        <v>429</v>
      </c>
      <c r="E9" s="26">
        <v>0.11613427179209529</v>
      </c>
    </row>
    <row r="10" spans="2:5">
      <c r="C10" t="s">
        <v>200</v>
      </c>
      <c r="D10" s="25">
        <v>150</v>
      </c>
      <c r="E10" s="26">
        <v>4.0606388738494856E-2</v>
      </c>
    </row>
    <row r="11" spans="2:5">
      <c r="C11" t="s">
        <v>201</v>
      </c>
      <c r="D11" s="25">
        <v>254</v>
      </c>
      <c r="E11" s="26">
        <v>6.8760151597184627E-2</v>
      </c>
    </row>
    <row r="12" spans="2:5">
      <c r="C12" t="s">
        <v>202</v>
      </c>
      <c r="D12" s="25">
        <v>77</v>
      </c>
      <c r="E12" s="26">
        <v>2.0844612885760692E-2</v>
      </c>
    </row>
    <row r="13" spans="2:5">
      <c r="B13" t="s">
        <v>126</v>
      </c>
      <c r="D13" s="25">
        <v>1660</v>
      </c>
      <c r="E13" s="26">
        <v>0.44937736870600975</v>
      </c>
    </row>
    <row r="14" spans="2:5">
      <c r="C14" t="s">
        <v>163</v>
      </c>
      <c r="D14" s="25">
        <v>347</v>
      </c>
      <c r="E14" s="26">
        <v>9.3936112615051429E-2</v>
      </c>
    </row>
    <row r="15" spans="2:5">
      <c r="C15" t="s">
        <v>201</v>
      </c>
      <c r="D15" s="25">
        <v>530</v>
      </c>
      <c r="E15" s="26">
        <v>0.14347590687601516</v>
      </c>
    </row>
    <row r="16" spans="2:5">
      <c r="C16" t="s">
        <v>202</v>
      </c>
      <c r="D16" s="25">
        <v>310</v>
      </c>
      <c r="E16" s="26">
        <v>8.3919870059556034E-2</v>
      </c>
    </row>
    <row r="17" spans="2:5">
      <c r="C17" t="s">
        <v>203</v>
      </c>
      <c r="D17" s="25">
        <v>473</v>
      </c>
      <c r="E17" s="26">
        <v>0.12804547915538711</v>
      </c>
    </row>
    <row r="18" spans="2:5">
      <c r="B18" t="s">
        <v>162</v>
      </c>
      <c r="D18" s="25">
        <v>3694</v>
      </c>
      <c r="E18" s="26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B2:I11"/>
  <sheetViews>
    <sheetView workbookViewId="0"/>
  </sheetViews>
  <sheetFormatPr defaultRowHeight="17"/>
  <cols>
    <col min="2" max="2" width="18.25" bestFit="1" customWidth="1"/>
  </cols>
  <sheetData>
    <row r="2" spans="2:9" ht="34">
      <c r="B2" s="27" t="s">
        <v>174</v>
      </c>
      <c r="C2" s="28" t="s">
        <v>175</v>
      </c>
      <c r="D2" s="28" t="s">
        <v>176</v>
      </c>
      <c r="E2" s="28" t="s">
        <v>177</v>
      </c>
      <c r="F2" s="28" t="s">
        <v>178</v>
      </c>
      <c r="G2" s="28" t="s">
        <v>179</v>
      </c>
      <c r="H2" s="28" t="s">
        <v>180</v>
      </c>
      <c r="I2" s="28" t="s">
        <v>181</v>
      </c>
    </row>
    <row r="3" spans="2:9" hidden="1">
      <c r="B3" s="29" t="s">
        <v>190</v>
      </c>
      <c r="C3" s="30">
        <v>0.375</v>
      </c>
      <c r="D3" s="30">
        <v>0.83333333333333337</v>
      </c>
      <c r="E3" s="27">
        <v>100</v>
      </c>
      <c r="F3" s="27">
        <v>3000</v>
      </c>
      <c r="G3" s="27">
        <v>1000</v>
      </c>
      <c r="H3" s="27">
        <v>14</v>
      </c>
      <c r="I3" s="27">
        <v>7</v>
      </c>
    </row>
    <row r="4" spans="2:9">
      <c r="B4" s="29" t="s">
        <v>182</v>
      </c>
      <c r="C4" s="30">
        <v>0.41666666666666669</v>
      </c>
      <c r="D4" s="30">
        <v>0.66666666666666663</v>
      </c>
      <c r="E4" s="27">
        <v>28</v>
      </c>
      <c r="F4" s="27">
        <v>15000</v>
      </c>
      <c r="G4" s="27">
        <v>150</v>
      </c>
      <c r="H4" s="27">
        <v>6</v>
      </c>
      <c r="I4" s="27">
        <v>7</v>
      </c>
    </row>
    <row r="5" spans="2:9">
      <c r="B5" s="29" t="s">
        <v>183</v>
      </c>
      <c r="C5" s="30">
        <v>0.41666666666666669</v>
      </c>
      <c r="D5" s="30">
        <v>0.875</v>
      </c>
      <c r="E5" s="27">
        <v>30</v>
      </c>
      <c r="F5" s="27">
        <v>1000</v>
      </c>
      <c r="G5" s="27">
        <v>100</v>
      </c>
      <c r="H5" s="27">
        <v>14</v>
      </c>
      <c r="I5" s="27">
        <v>14</v>
      </c>
    </row>
    <row r="6" spans="2:9" hidden="1">
      <c r="B6" s="29" t="s">
        <v>184</v>
      </c>
      <c r="C6" s="30">
        <v>0.375</v>
      </c>
      <c r="D6" s="30">
        <v>0.83333333333333337</v>
      </c>
      <c r="E6" s="27">
        <v>8</v>
      </c>
      <c r="F6" s="27">
        <v>800</v>
      </c>
      <c r="G6" s="27">
        <v>200</v>
      </c>
      <c r="H6" s="27">
        <v>5</v>
      </c>
      <c r="I6" s="27">
        <v>7</v>
      </c>
    </row>
    <row r="7" spans="2:9">
      <c r="B7" s="29" t="s">
        <v>185</v>
      </c>
      <c r="C7" s="30">
        <v>0.41666666666666669</v>
      </c>
      <c r="D7" s="30">
        <v>0.875</v>
      </c>
      <c r="E7" s="27">
        <v>15</v>
      </c>
      <c r="F7" s="27">
        <v>840</v>
      </c>
      <c r="G7" s="27">
        <v>500</v>
      </c>
      <c r="H7" s="27">
        <v>7</v>
      </c>
      <c r="I7" s="27">
        <v>14</v>
      </c>
    </row>
    <row r="8" spans="2:9" hidden="1">
      <c r="B8" s="29" t="s">
        <v>186</v>
      </c>
      <c r="C8" s="30">
        <v>0.375</v>
      </c>
      <c r="D8" s="30">
        <v>0.79166666666666663</v>
      </c>
      <c r="E8" s="27">
        <v>18</v>
      </c>
      <c r="F8" s="27">
        <v>560</v>
      </c>
      <c r="G8" s="27">
        <v>300</v>
      </c>
      <c r="H8" s="27">
        <v>7</v>
      </c>
      <c r="I8" s="27">
        <v>7</v>
      </c>
    </row>
    <row r="9" spans="2:9" hidden="1">
      <c r="B9" s="29" t="s">
        <v>187</v>
      </c>
      <c r="C9" s="30">
        <v>0.375</v>
      </c>
      <c r="D9" s="30">
        <v>0.83333333333333337</v>
      </c>
      <c r="E9" s="27">
        <v>20</v>
      </c>
      <c r="F9" s="27">
        <v>500</v>
      </c>
      <c r="G9" s="27">
        <v>100</v>
      </c>
      <c r="H9" s="27">
        <v>5</v>
      </c>
      <c r="I9" s="27">
        <v>7</v>
      </c>
    </row>
    <row r="10" spans="2:9" hidden="1">
      <c r="B10" s="29" t="s">
        <v>188</v>
      </c>
      <c r="C10" s="30">
        <v>0.375</v>
      </c>
      <c r="D10" s="30">
        <v>0.83333333333333337</v>
      </c>
      <c r="E10" s="27">
        <v>24</v>
      </c>
      <c r="F10" s="27">
        <v>1000</v>
      </c>
      <c r="G10" s="27">
        <v>400</v>
      </c>
      <c r="H10" s="27">
        <v>5</v>
      </c>
      <c r="I10" s="27">
        <v>7</v>
      </c>
    </row>
    <row r="11" spans="2:9">
      <c r="B11" s="29" t="s">
        <v>189</v>
      </c>
      <c r="C11" s="30">
        <v>0.45833333333333331</v>
      </c>
      <c r="D11" s="30">
        <v>0.91666666666666663</v>
      </c>
      <c r="E11" s="27">
        <v>30</v>
      </c>
      <c r="F11" s="27">
        <v>2000</v>
      </c>
      <c r="G11" s="27">
        <v>200</v>
      </c>
      <c r="H11" s="27">
        <v>14</v>
      </c>
      <c r="I11" s="27">
        <v>14</v>
      </c>
    </row>
  </sheetData>
  <autoFilter ref="B2:I11">
    <filterColumn colId="1">
      <customFilters>
        <customFilter operator="greaterThanOrEqual" val="0.41666666666666669"/>
      </customFilters>
    </filterColumn>
  </autoFilter>
  <phoneticPr fontId="1" type="noConversion"/>
  <dataValidations count="1">
    <dataValidation type="custom" errorStyle="information" allowBlank="1" showInputMessage="1" showErrorMessage="1" errorTitle="배수입력" error="7배수로만 입력하세요." promptTitle="7배수 입력" prompt="7배수로 입력하시오." sqref="I3:I11">
      <formula1>MOD(I3,7)=0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H8"/>
  <sheetViews>
    <sheetView workbookViewId="0"/>
  </sheetViews>
  <sheetFormatPr defaultRowHeight="17"/>
  <cols>
    <col min="4" max="4" width="12.33203125" bestFit="1" customWidth="1"/>
  </cols>
  <sheetData>
    <row r="1" spans="2:8">
      <c r="B1" s="2"/>
      <c r="C1" s="2"/>
      <c r="D1" s="2"/>
      <c r="E1" s="2"/>
      <c r="F1" s="1" t="s">
        <v>139</v>
      </c>
      <c r="G1" s="2"/>
      <c r="H1" s="2"/>
    </row>
    <row r="2" spans="2:8">
      <c r="B2" s="16" t="s">
        <v>140</v>
      </c>
      <c r="C2" s="16" t="s">
        <v>141</v>
      </c>
      <c r="D2" s="16" t="s">
        <v>142</v>
      </c>
      <c r="E2" s="16" t="s">
        <v>143</v>
      </c>
      <c r="F2" s="16" t="s">
        <v>144</v>
      </c>
      <c r="G2" s="9" t="s">
        <v>145</v>
      </c>
      <c r="H2" s="9" t="s">
        <v>146</v>
      </c>
    </row>
    <row r="3" spans="2:8">
      <c r="B3" s="16" t="s">
        <v>147</v>
      </c>
      <c r="C3" s="17">
        <v>1500</v>
      </c>
      <c r="D3" s="17">
        <v>500</v>
      </c>
      <c r="E3" s="18">
        <v>800</v>
      </c>
      <c r="F3" s="18">
        <v>880</v>
      </c>
      <c r="G3" s="19">
        <f t="shared" ref="G3:G8" si="0">F3/E3</f>
        <v>1.1000000000000001</v>
      </c>
      <c r="H3" s="20">
        <f t="shared" ref="H3:H8" si="1">C3*F3</f>
        <v>1320000</v>
      </c>
    </row>
    <row r="4" spans="2:8">
      <c r="B4" s="16" t="s">
        <v>148</v>
      </c>
      <c r="C4" s="17">
        <v>2200</v>
      </c>
      <c r="D4" s="17">
        <v>450</v>
      </c>
      <c r="E4" s="18">
        <v>600</v>
      </c>
      <c r="F4" s="18">
        <v>560</v>
      </c>
      <c r="G4" s="19">
        <f t="shared" si="0"/>
        <v>0.93333333333333335</v>
      </c>
      <c r="H4" s="20">
        <f t="shared" si="1"/>
        <v>1232000</v>
      </c>
    </row>
    <row r="5" spans="2:8">
      <c r="B5" s="16" t="s">
        <v>149</v>
      </c>
      <c r="C5" s="17">
        <v>2800</v>
      </c>
      <c r="D5" s="17">
        <v>500</v>
      </c>
      <c r="E5" s="18">
        <v>550</v>
      </c>
      <c r="F5" s="18">
        <v>620</v>
      </c>
      <c r="G5" s="19">
        <f t="shared" si="0"/>
        <v>1.1272727272727272</v>
      </c>
      <c r="H5" s="20">
        <f t="shared" si="1"/>
        <v>1736000</v>
      </c>
    </row>
    <row r="6" spans="2:8">
      <c r="B6" s="16" t="s">
        <v>150</v>
      </c>
      <c r="C6" s="17">
        <v>3500</v>
      </c>
      <c r="D6" s="17">
        <v>400</v>
      </c>
      <c r="E6" s="18">
        <v>500</v>
      </c>
      <c r="F6" s="18">
        <v>540</v>
      </c>
      <c r="G6" s="19">
        <f t="shared" si="0"/>
        <v>1.08</v>
      </c>
      <c r="H6" s="20">
        <f t="shared" si="1"/>
        <v>1890000</v>
      </c>
    </row>
    <row r="7" spans="2:8">
      <c r="B7" s="16" t="s">
        <v>151</v>
      </c>
      <c r="C7" s="17">
        <v>4200</v>
      </c>
      <c r="D7" s="17">
        <v>250</v>
      </c>
      <c r="E7" s="18">
        <v>300</v>
      </c>
      <c r="F7" s="18">
        <v>300</v>
      </c>
      <c r="G7" s="19">
        <f t="shared" si="0"/>
        <v>1</v>
      </c>
      <c r="H7" s="20">
        <f t="shared" si="1"/>
        <v>1260000</v>
      </c>
    </row>
    <row r="8" spans="2:8">
      <c r="B8" s="16" t="s">
        <v>152</v>
      </c>
      <c r="C8" s="17">
        <v>5800</v>
      </c>
      <c r="D8" s="17">
        <v>400</v>
      </c>
      <c r="E8" s="18">
        <v>450</v>
      </c>
      <c r="F8" s="18">
        <v>540</v>
      </c>
      <c r="G8" s="19">
        <f t="shared" si="0"/>
        <v>1.2</v>
      </c>
      <c r="H8" s="20">
        <f t="shared" si="1"/>
        <v>3132000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D21"/>
  <sheetViews>
    <sheetView workbookViewId="0"/>
  </sheetViews>
  <sheetFormatPr defaultRowHeight="17"/>
  <cols>
    <col min="4" max="4" width="11.1640625" bestFit="1" customWidth="1"/>
  </cols>
  <sheetData>
    <row r="2" spans="1:4">
      <c r="A2" s="16" t="s">
        <v>1</v>
      </c>
      <c r="B2" s="16" t="s">
        <v>195</v>
      </c>
      <c r="C2" s="16" t="s">
        <v>196</v>
      </c>
      <c r="D2" s="16" t="s">
        <v>197</v>
      </c>
    </row>
    <row r="3" spans="1:4">
      <c r="A3" s="16" t="s">
        <v>170</v>
      </c>
      <c r="B3" s="16">
        <v>72</v>
      </c>
      <c r="C3" s="16">
        <v>82</v>
      </c>
      <c r="D3" s="31">
        <v>10</v>
      </c>
    </row>
    <row r="4" spans="1:4">
      <c r="A4" s="16" t="s">
        <v>171</v>
      </c>
      <c r="B4" s="16">
        <v>56</v>
      </c>
      <c r="C4" s="16">
        <v>77</v>
      </c>
      <c r="D4" s="31">
        <v>8</v>
      </c>
    </row>
    <row r="5" spans="1:4">
      <c r="A5" s="16" t="s">
        <v>173</v>
      </c>
      <c r="B5" s="16">
        <v>72</v>
      </c>
      <c r="C5" s="16">
        <v>68</v>
      </c>
      <c r="D5" s="31">
        <v>5</v>
      </c>
    </row>
    <row r="6" spans="1:4">
      <c r="A6" s="16" t="s">
        <v>167</v>
      </c>
      <c r="B6" s="16">
        <v>77</v>
      </c>
      <c r="C6" s="16">
        <v>75</v>
      </c>
      <c r="D6" s="31">
        <v>3</v>
      </c>
    </row>
    <row r="7" spans="1:4">
      <c r="A7" s="16" t="s">
        <v>168</v>
      </c>
      <c r="B7" s="16">
        <v>67</v>
      </c>
      <c r="C7" s="16">
        <v>87</v>
      </c>
      <c r="D7" s="31">
        <v>7</v>
      </c>
    </row>
    <row r="8" spans="1:4">
      <c r="A8" s="16" t="s">
        <v>172</v>
      </c>
      <c r="B8" s="16">
        <v>70</v>
      </c>
      <c r="C8" s="16">
        <v>78</v>
      </c>
      <c r="D8" s="31" t="s">
        <v>192</v>
      </c>
    </row>
    <row r="9" spans="1:4">
      <c r="A9" s="16" t="s">
        <v>166</v>
      </c>
      <c r="B9" s="16">
        <v>82</v>
      </c>
      <c r="C9" s="16">
        <v>89</v>
      </c>
      <c r="D9" s="31">
        <v>0</v>
      </c>
    </row>
    <row r="10" spans="1:4">
      <c r="A10" s="16" t="s">
        <v>128</v>
      </c>
      <c r="B10" s="16">
        <v>89</v>
      </c>
      <c r="C10" s="16">
        <v>82</v>
      </c>
      <c r="D10" s="31" t="s">
        <v>193</v>
      </c>
    </row>
    <row r="11" spans="1:4">
      <c r="A11" s="16" t="s">
        <v>129</v>
      </c>
      <c r="B11" s="16">
        <v>78</v>
      </c>
      <c r="C11" s="16">
        <v>85</v>
      </c>
      <c r="D11" s="31">
        <v>10</v>
      </c>
    </row>
    <row r="12" spans="1:4">
      <c r="A12" s="16" t="s">
        <v>130</v>
      </c>
      <c r="B12" s="16">
        <v>90</v>
      </c>
      <c r="C12" s="16">
        <v>97</v>
      </c>
      <c r="D12" s="31">
        <v>10</v>
      </c>
    </row>
    <row r="13" spans="1:4">
      <c r="A13" s="16" t="s">
        <v>131</v>
      </c>
      <c r="B13" s="16">
        <v>90</v>
      </c>
      <c r="C13" s="16">
        <v>80</v>
      </c>
      <c r="D13" s="31">
        <v>9</v>
      </c>
    </row>
    <row r="14" spans="1:4">
      <c r="A14" s="16" t="s">
        <v>169</v>
      </c>
      <c r="B14" s="16">
        <v>76</v>
      </c>
      <c r="C14" s="16">
        <v>84</v>
      </c>
      <c r="D14" s="31">
        <v>9</v>
      </c>
    </row>
    <row r="15" spans="1:4">
      <c r="A15" s="16" t="s">
        <v>132</v>
      </c>
      <c r="B15" s="16">
        <v>80</v>
      </c>
      <c r="C15" s="16">
        <v>82</v>
      </c>
      <c r="D15" s="31">
        <v>6</v>
      </c>
    </row>
    <row r="16" spans="1:4">
      <c r="A16" s="16" t="s">
        <v>133</v>
      </c>
      <c r="B16" s="16">
        <v>61</v>
      </c>
      <c r="C16" s="16">
        <v>62</v>
      </c>
      <c r="D16" s="31">
        <v>5</v>
      </c>
    </row>
    <row r="17" spans="1:4">
      <c r="A17" s="16" t="s">
        <v>134</v>
      </c>
      <c r="B17" s="16">
        <v>85</v>
      </c>
      <c r="C17" s="16">
        <v>82</v>
      </c>
      <c r="D17" s="31">
        <v>4</v>
      </c>
    </row>
    <row r="18" spans="1:4">
      <c r="A18" s="16" t="s">
        <v>135</v>
      </c>
      <c r="B18" s="16">
        <v>68</v>
      </c>
      <c r="C18" s="16">
        <v>77</v>
      </c>
      <c r="D18" s="31">
        <v>9</v>
      </c>
    </row>
    <row r="19" spans="1:4">
      <c r="A19" s="16" t="s">
        <v>136</v>
      </c>
      <c r="B19" s="16">
        <v>78</v>
      </c>
      <c r="C19" s="16">
        <v>91</v>
      </c>
      <c r="D19" s="31">
        <v>7</v>
      </c>
    </row>
    <row r="20" spans="1:4">
      <c r="A20" s="16" t="s">
        <v>137</v>
      </c>
      <c r="B20" s="16">
        <v>72</v>
      </c>
      <c r="C20" s="16">
        <v>67</v>
      </c>
      <c r="D20" s="31">
        <v>0</v>
      </c>
    </row>
    <row r="21" spans="1:4">
      <c r="A21" s="16" t="s">
        <v>138</v>
      </c>
      <c r="B21" s="16">
        <v>90</v>
      </c>
      <c r="C21" s="16">
        <v>92</v>
      </c>
      <c r="D21" s="31" t="s">
        <v>194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4" r:id="rId4" name="Button 4">
              <controlPr defaultSize="0" print="0" autoFill="0" autoPict="0" macro="[0]!만족도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5" name="Button 5">
              <controlPr defaultSize="0" print="0" autoFill="0" autoPict="0" macro="[0]!일반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5"/>
  <sheetViews>
    <sheetView workbookViewId="0"/>
  </sheetViews>
  <sheetFormatPr defaultRowHeight="17"/>
  <cols>
    <col min="1" max="1" width="10.33203125" customWidth="1"/>
    <col min="2" max="2" width="10.83203125" customWidth="1"/>
    <col min="3" max="3" width="13.9140625" customWidth="1"/>
    <col min="4" max="4" width="12.58203125" customWidth="1"/>
    <col min="5" max="5" width="12.25" customWidth="1"/>
  </cols>
  <sheetData>
    <row r="1" spans="1:7" ht="17.5">
      <c r="A1" s="21" t="s">
        <v>153</v>
      </c>
      <c r="B1" s="22"/>
      <c r="C1" s="22"/>
      <c r="D1" s="22"/>
      <c r="E1" s="22"/>
    </row>
    <row r="2" spans="1:7">
      <c r="A2" s="2"/>
      <c r="B2" s="2"/>
      <c r="C2" s="2"/>
      <c r="D2" s="2"/>
      <c r="E2" s="2"/>
    </row>
    <row r="3" spans="1:7">
      <c r="A3" s="2"/>
      <c r="B3" s="2"/>
      <c r="C3" s="2"/>
      <c r="D3" s="2"/>
      <c r="E3" s="2"/>
    </row>
    <row r="4" spans="1:7">
      <c r="A4" s="23" t="s">
        <v>85</v>
      </c>
      <c r="B4" s="23" t="s">
        <v>154</v>
      </c>
      <c r="C4" s="23" t="s">
        <v>155</v>
      </c>
      <c r="D4" s="23" t="s">
        <v>156</v>
      </c>
      <c r="E4" s="5" t="s">
        <v>157</v>
      </c>
      <c r="G4" s="1" t="s">
        <v>159</v>
      </c>
    </row>
    <row r="5" spans="1:7">
      <c r="A5" s="7" t="s">
        <v>80</v>
      </c>
      <c r="B5" s="7" t="s">
        <v>158</v>
      </c>
      <c r="C5" s="7">
        <v>100</v>
      </c>
      <c r="D5" s="7">
        <v>100</v>
      </c>
      <c r="E5" s="7">
        <v>100</v>
      </c>
      <c r="G5" s="2" t="s">
        <v>80</v>
      </c>
    </row>
    <row r="6" spans="1:7">
      <c r="A6" s="7"/>
      <c r="B6" s="7"/>
      <c r="C6" s="7"/>
      <c r="D6" s="7"/>
      <c r="E6" s="7"/>
      <c r="G6" s="2" t="s">
        <v>75</v>
      </c>
    </row>
    <row r="7" spans="1:7">
      <c r="A7" s="7"/>
      <c r="B7" s="7"/>
      <c r="C7" s="7"/>
      <c r="D7" s="7"/>
      <c r="E7" s="7"/>
      <c r="G7" s="2" t="s">
        <v>68</v>
      </c>
    </row>
    <row r="8" spans="1:7">
      <c r="A8" s="7"/>
      <c r="B8" s="7"/>
      <c r="C8" s="7"/>
      <c r="D8" s="7"/>
      <c r="E8" s="7"/>
      <c r="G8" s="2" t="s">
        <v>76</v>
      </c>
    </row>
    <row r="9" spans="1:7">
      <c r="A9" s="7"/>
      <c r="B9" s="7"/>
      <c r="C9" s="7"/>
      <c r="D9" s="7"/>
      <c r="E9" s="7"/>
      <c r="G9" s="2" t="s">
        <v>160</v>
      </c>
    </row>
    <row r="10" spans="1:7">
      <c r="A10" s="7"/>
      <c r="B10" s="7"/>
      <c r="C10" s="7"/>
      <c r="D10" s="7"/>
      <c r="E10" s="7"/>
    </row>
    <row r="11" spans="1:7">
      <c r="A11" s="7"/>
      <c r="B11" s="7"/>
      <c r="C11" s="7"/>
      <c r="D11" s="7"/>
      <c r="E11" s="7"/>
    </row>
    <row r="12" spans="1:7">
      <c r="A12" s="7"/>
      <c r="B12" s="7"/>
      <c r="C12" s="7"/>
      <c r="D12" s="7"/>
      <c r="E12" s="7"/>
    </row>
    <row r="13" spans="1:7">
      <c r="A13" s="7"/>
      <c r="B13" s="7"/>
      <c r="C13" s="7"/>
      <c r="D13" s="7"/>
      <c r="E13" s="7"/>
    </row>
    <row r="14" spans="1:7">
      <c r="A14" s="7"/>
      <c r="B14" s="7"/>
      <c r="C14" s="7"/>
      <c r="D14" s="7"/>
      <c r="E14" s="7"/>
    </row>
    <row r="15" spans="1:7">
      <c r="A15" s="7"/>
      <c r="B15" s="7"/>
      <c r="C15" s="7"/>
      <c r="D15" s="7"/>
      <c r="E15" s="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인사고과입력현황">
          <controlPr defaultSize="0" autoLine="0" r:id="rId4">
            <anchor moveWithCells="1">
              <from>
                <xdr:col>6</xdr:col>
                <xdr:colOff>0</xdr:colOff>
                <xdr:row>0</xdr:row>
                <xdr:rowOff>158750</xdr:rowOff>
              </from>
              <to>
                <xdr:col>8</xdr:col>
                <xdr:colOff>0</xdr:colOff>
                <xdr:row>2</xdr:row>
                <xdr:rowOff>69850</xdr:rowOff>
              </to>
            </anchor>
          </controlPr>
        </control>
      </mc:Choice>
      <mc:Fallback>
        <control shapeId="7169" r:id="rId3" name="인사고과입력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2020-07-29T09:35:20Z</cp:lastPrinted>
  <dcterms:created xsi:type="dcterms:W3CDTF">2020-04-07T06:00:22Z</dcterms:created>
  <dcterms:modified xsi:type="dcterms:W3CDTF">2022-07-15T06:15:19Z</dcterms:modified>
</cp:coreProperties>
</file>